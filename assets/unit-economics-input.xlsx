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Read me" sheetId="2" r:id="rId2"/>
    <sheet name="Settings" sheetId="3" r:id="rId3"/>
    <sheet name="Catalogue" sheetId="4" r:id="rId4"/>
    <sheet name="Pricing &amp; promotions" sheetId="5" r:id="rId5"/>
    <sheet name="Pricing planner" sheetId="6" r:id="rId6"/>
    <sheet name="Orders" sheetId="7" r:id="rId7"/>
  </sheet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€#,##0.00"/>
  </numFmts>
  <fonts count="4">
    <font>
      <sz val="11"/>
      <name val="Calibri"/>
    </font>
    <font>
      <b/>
      <sz val="14"/>
      <color rgb="FF1B1B2F"/>
      <name val="Calibri"/>
    </font>
    <font>
      <b/>
      <sz val="11"/>
      <color rgb="FFFFFFFF"/>
      <name val="Calibri"/>
    </font>
    <font>
      <i/>
      <sz val="10"/>
      <color rgb="FF6666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A4FE8"/>
        <bgColor indexed="64"/>
      </patternFill>
    </fill>
    <fill>
      <patternFill patternType="solid">
        <fgColor rgb="FFFFF6CC"/>
        <bgColor indexed="64"/>
      </patternFill>
    </fill>
    <fill>
      <patternFill patternType="solid">
        <fgColor rgb="FFEFF5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0" borderId="0" xfId="0" applyFont="1"/>
    <xf numFmtId="0" fontId="0" fillId="4" borderId="0" xfId="0" applyFill="1"/>
    <xf numFmtId="164" fontId="0" fillId="4" borderId="0" xfId="0" applyNumberFormat="1" applyFill="1"/>
    <xf numFmtId="10" fontId="0" fillId="4" borderId="0" xfId="0" applyNumberFormat="1" applyFill="1"/>
    <xf numFmtId="164" fontId="0" fillId="3" borderId="0" xfId="0" applyNumberFormat="1" applyFill="1"/>
    <xf numFmtId="10" fontId="0" fillId="3" borderId="0" xfId="0" applyNumberFormat="1" applyFill="1"/>
    <xf numFmtId="0" fontId="2" fillId="2" borderId="0" xfId="0" applyFont="1" applyFill="1"/>
    <xf numFmtId="164" fontId="2" fillId="2" borderId="0" xfId="0" applyFont="1" applyFill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lang val="en-US"/>
  <c:roundedCorners val="0"/>
  <c:chart>
    <c:title>
      <c:tx>
        <c:rich>
          <a:bodyPr/>
          <a:lstStyle/>
          <a:p>
            <a:r>
              <a:rPr lang="en-US" sz="1400" b="1">
                <a:solidFill>
                  <a:srgbClr val="1B1B2F"/>
                </a:solidFill>
              </a:rPr>
              <a:t>Gross sales by product (€)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v>Gross sales</c:v>
          </c:tx>
          <c:spPr>
            <a:solidFill>
              <a:srgbClr val="5A4FE8"/>
            </a:solidFill>
            <a:ln>
              <a:noFill/>
            </a:ln>
          </c:spPr>
          <c:cat>
            <c:strRef>
              <c:f>Dashboard!$B$27:$B$33</c:f>
              <c:strCache>
                <c:ptCount val="7"/>
                <c:pt idx="0">
                  <c:v>Renewal Serum</c:v>
                </c:pt>
                <c:pt idx="1">
                  <c:v>Barrier Balm</c:v>
                </c:pt>
                <c:pt idx="2">
                  <c:v>Contour Stone</c:v>
                </c:pt>
                <c:pt idx="3">
                  <c:v>Cloud Cleanser</c:v>
                </c:pt>
                <c:pt idx="4">
                  <c:v>Daily Duo</c:v>
                </c:pt>
                <c:pt idx="5">
                  <c:v>Complete Ritual</c:v>
                </c:pt>
                <c:pt idx="6">
                  <c:v>Daily Reset Set</c:v>
                </c:pt>
              </c:strCache>
            </c:strRef>
          </c:cat>
          <c:val>
            <c:numRef>
              <c:f>Dashboard!$C$27:$C$33</c:f>
              <c:numCache>
                <c:formatCode>€#,##0</c:formatCode>
                <c:ptCount val="7"/>
                <c:pt idx="0">
                  <c:v>26205.28</c:v>
                </c:pt>
                <c:pt idx="1">
                  <c:v>2713.2</c:v>
                </c:pt>
                <c:pt idx="2">
                  <c:v>2009.7</c:v>
                </c:pt>
                <c:pt idx="3">
                  <c:v>2323.9</c:v>
                </c:pt>
                <c:pt idx="4">
                  <c:v>19599.9</c:v>
                </c:pt>
                <c:pt idx="5">
                  <c:v>19597.8</c:v>
                </c:pt>
                <c:pt idx="6">
                  <c:v>11305.65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5"/>
        <c:axId val="101"/>
        <c:axId val="102"/>
      </c:barChart>
      <c:catAx>
        <c:axId val="101"/>
        <c:scaling>
          <c:orientation val="maxMin"/>
        </c:scaling>
        <c:delete val="0"/>
        <c:axPos val="l"/>
        <c:tickLblPos val="nextTo"/>
        <c:crossAx val="102"/>
        <c:crosses val="autoZero"/>
        <c:auto val="1"/>
        <c:lblAlgn val="ctr"/>
        <c:lblOffset val="100"/>
      </c:catAx>
      <c:valAx>
        <c:axId val="102"/>
        <c:scaling>
          <c:orientation val="minMax"/>
        </c:scaling>
        <c:delete val="0"/>
        <c:axPos val="b"/>
        <c:majorGridlines/>
        <c:numFmt formatCode="€#,##0" sourceLinked="0"/>
        <c:tickLblPos val="nextTo"/>
        <c:crossAx val="101"/>
        <c:crosses val="autoZero"/>
        <c:crossBetween val="between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>
  <c:lang val="en-US"/>
  <c:roundedCorners val="0"/>
  <c:chart>
    <c:title>
      <c:tx>
        <c:rich>
          <a:bodyPr/>
          <a:lstStyle/>
          <a:p>
            <a:r>
              <a:rPr lang="en-US" sz="1400" b="1">
                <a:solidFill>
                  <a:srgbClr val="1B1B2F"/>
                </a:solidFill>
              </a:rPr>
              <a:t>Gross-sales benchmark</a:t>
            </a:r>
          </a:p>
        </c:rich>
      </c:tx>
      <c:layout/>
      <c:overlay val="0"/>
    </c:title>
    <c:plotArea>
      <c:layout/>
      <c:doughnutChart>
        <c:varyColors val="0"/>
        <c:ser>
          <c:idx val="0"/>
          <c:order val="0"/>
          <c:tx>
            <c:v>Gross-sales benchmark</c:v>
          </c:tx>
          <c:dPt>
            <c:idx val="0"/>
            <c:spPr>
              <a:solidFill>
                <a:srgbClr val="5A4FE8"/>
              </a:solidFill>
              <a:ln>
                <a:noFill/>
              </a:ln>
            </c:spPr>
          </c:dPt>
          <c:dPt>
            <c:idx val="1"/>
            <c:spPr>
              <a:solidFill>
                <a:srgbClr val="E6E9F2"/>
              </a:solidFill>
              <a:ln>
                <a:noFill/>
              </a:ln>
            </c:spPr>
          </c:dPt>
          <c:cat>
            <c:strRef>
              <c:f>Dashboard!$A$36:$A$37</c:f>
              <c:strCache>
                <c:ptCount val="2"/>
                <c:pt idx="0">
                  <c:v>Achieved</c:v>
                </c:pt>
                <c:pt idx="1">
                  <c:v>Remaining</c:v>
                </c:pt>
              </c:strCache>
            </c:strRef>
          </c:cat>
          <c:val>
            <c:numRef>
              <c:f>Dashboard!$B$36:$B$37</c:f>
              <c:numCache>
                <c:formatCode>€#,##0</c:formatCode>
                <c:ptCount val="2"/>
                <c:pt idx="0">
                  <c:v>83755.43</c:v>
                </c:pt>
                <c:pt idx="1">
                  <c:v>16244.57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270"/>
        <c:holeSize val="68"/>
      </c:doughnutChart>
    </c:plotArea>
    <c:legend>
      <c:legendPos val="b"/>
      <c:layout/>
      <c:overlay val="0"/>
    </c:legend>
    <c:plotVisOnly val="0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<Relationship Id="rId1" Type="http://schemas.openxmlformats.org/officeDocument/2006/relationships/chart" Target="../charts/chart1.xml"/>
 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2" name="Gross sales by product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3" name="Gross-sales benchmark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2" topLeftCell="A3" activePane="bottomLeft" state="frozen"/>
    </sheetView>
  </sheetViews>
  <cols>
    <col min="1" max="1" width="30" customWidth="1"/>
    <col min="2" max="2" width="38" customWidth="1"/>
    <col min="3" max="3" width="22" customWidth="1"/>
    <col min="4" max="4" width="36" customWidth="1"/>
    <col min="5" max="5" width="20" customWidth="1"/>
    <col min="6" max="6" width="16" customWidth="1"/>
    <col min="7" max="7" width="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</cols>
  <sheetData>
    <row r="1">
      <c r="A1" s="1" t="inlineStr">
        <is>
          <t xml:space="preserve">Luma Vale | Excel dashboard</t>
        </is>
      </c>
    </row>
    <row r="2">
      <c r="A2" s="4" t="inlineStr">
        <is>
          <t xml:space="preserve">Instant workbook view: yellow Catalogue and promotion edits flow through blue calculated Orders values.</t>
        </is>
      </c>
    </row>
    <row r="3">
      <c r="A3" s="5"/>
    </row>
    <row r="4">
      <c r="A4" s="1" t="inlineStr">
        <is>
          <t xml:space="preserve">About this workbook</t>
        </is>
      </c>
    </row>
    <row r="5">
      <c r="A5" s="4" t="inlineStr">
        <is>
          <t xml:space="preserve">Built first for a Shopify e-commerce store, then adapted as a credential-free public demo.</t>
        </is>
      </c>
    </row>
    <row r="6">
      <c r="A6" s="4" t="inlineStr">
        <is>
          <t xml:space="preserve">This tab updates immediately in Excel. The polished interactive dashboard is published online.</t>
        </is>
      </c>
    </row>
    <row r="7">
      <c r="A7" s="10" t="inlineStr">
        <is>
          <t xml:space="preserve">Online dashboard</t>
        </is>
      </c>
      <c r="B7" s="0" t="inlineStr">
        <is>
          <t xml:space="preserve">https://marginmap.eilvi.com/</t>
        </is>
      </c>
    </row>
    <row r="8">
      <c r="A8" s="5"/>
    </row>
    <row r="9">
      <c r="A9" s="1" t="inlineStr">
        <is>
          <t xml:space="preserve">Live commercial picture</t>
        </is>
      </c>
      <c r="B9" s="1" t="inlineStr">
        <is>
          <t xml:space="preserve">Value</t>
        </is>
      </c>
      <c r="C9" s="1"/>
      <c r="D9" s="1" t="inlineStr">
        <is>
          <t xml:space="preserve">After variable costs</t>
        </is>
      </c>
      <c r="E9" s="1" t="inlineStr">
        <is>
          <t xml:space="preserve">Value</t>
        </is>
      </c>
    </row>
    <row r="10">
      <c r="A10" s="5" t="inlineStr">
        <is>
          <t xml:space="preserve">Gross sales</t>
        </is>
      </c>
      <c r="B10" s="11">
        <f>SUMPRODUCT(('Orders'!$E$3:$E$1200*'Orders'!$G$3:$G$1200)-'Orders'!$H$3:$H$1200)</f>
        <v>83755.43</v>
      </c>
      <c r="C10" s="5"/>
      <c r="D10" s="5" t="inlineStr">
        <is>
          <t xml:space="preserve">Contribution margin</t>
        </is>
      </c>
      <c r="E10" s="6">
        <f>B11</f>
        <v>51319.39</v>
      </c>
    </row>
    <row r="11">
      <c r="A11" s="5" t="inlineStr">
        <is>
          <t xml:space="preserve">Contribution margin</t>
        </is>
      </c>
      <c r="B11" s="6">
        <f>SUM(E27:E33)</f>
        <v>51319.39</v>
      </c>
      <c r="C11" s="5"/>
      <c r="D11" s="5" t="inlineStr">
        <is>
          <t xml:space="preserve">+ Shipping charged ex VAT</t>
        </is>
      </c>
      <c r="E11" s="6">
        <f>ROUND(ROUND('Settings'!B13/(1+'Settings'!B6/100),2)*SUM('Orders'!$N$3:$N$1200),2)</f>
        <v>2174.04</v>
      </c>
    </row>
    <row r="12">
      <c r="A12" s="5" t="inlineStr">
        <is>
          <t xml:space="preserve">Order lines</t>
        </is>
      </c>
      <c r="B12" s="10">
        <f>COUNTA('Orders'!$A$3:$A$1200)</f>
        <v>1198</v>
      </c>
      <c r="C12" s="5"/>
      <c r="D12" s="5" t="inlineStr">
        <is>
          <t xml:space="preserve">- Fulfilment</t>
        </is>
      </c>
      <c r="E12" s="6">
        <f>ROUND('Settings'!B12*SUM('Orders'!$N$3:$N$1200),2)</f>
        <v>4811.4</v>
      </c>
    </row>
    <row r="13">
      <c r="A13" s="5" t="inlineStr">
        <is>
          <t xml:space="preserve">Units sold</t>
        </is>
      </c>
      <c r="B13" s="10">
        <f>SUM('Orders'!$G$3:$G$1200)</f>
        <v>1358</v>
      </c>
      <c r="C13" s="5"/>
      <c r="D13" s="5" t="inlineStr">
        <is>
          <t xml:space="preserve">- Payment fees</t>
        </is>
      </c>
      <c r="E13" s="6">
        <f>SUM('Orders'!$O$3:$O$1200)</f>
        <v>1518.12</v>
      </c>
    </row>
    <row r="14">
      <c r="A14" s="5"/>
      <c r="B14" s="5"/>
      <c r="C14" s="5"/>
      <c r="D14" s="5" t="inlineStr">
        <is>
          <t xml:space="preserve">- Advertising</t>
        </is>
      </c>
      <c r="E14" s="6">
        <f>SUM('Settings'!$B$19:$B$60)</f>
        <v>11997</v>
      </c>
    </row>
    <row r="15">
      <c r="A15" s="1" t="inlineStr">
        <is>
          <t xml:space="preserve">Gross-sales benchmark</t>
        </is>
      </c>
      <c r="B15" s="1" t="inlineStr">
        <is>
          <t xml:space="preserve">Value</t>
        </is>
      </c>
      <c r="C15" s="1"/>
      <c r="D15" s="10" t="inlineStr">
        <is>
          <t xml:space="preserve">After variable costs</t>
        </is>
      </c>
      <c r="E15" s="11">
        <f>E10+E11-E12-E13-E14</f>
        <v>35166.91</v>
      </c>
    </row>
    <row r="16">
      <c r="A16" s="5" t="inlineStr">
        <is>
          <t xml:space="preserve">Gross sales target</t>
        </is>
      </c>
      <c r="B16" s="6">
        <f>'Settings'!B8</f>
        <v>100000</v>
      </c>
      <c r="C16" s="5"/>
      <c r="D16" s="5" t="inlineStr">
        <is>
          <t xml:space="preserve">Share of net sales</t>
        </is>
      </c>
      <c r="E16" s="7">
        <f>IF(SUM('Orders'!$I$3:$I$1200)=0,0,E15/SUM('Orders'!$I$3:$I$1200))</f>
        <v>0.5081</v>
      </c>
    </row>
    <row r="17">
      <c r="A17" s="5" t="inlineStr">
        <is>
          <t xml:space="preserve">Progress</t>
        </is>
      </c>
      <c r="B17" s="7">
        <f>B10/B16</f>
        <v>0.8376</v>
      </c>
      <c r="C17" s="5"/>
      <c r="D17" s="4" t="inlineStr">
        <is>
          <t xml:space="preserve">Costs come from Settings. Not net profit.</t>
        </is>
      </c>
      <c r="E17" s="5"/>
    </row>
    <row r="18">
      <c r="A18" s="5" t="inlineStr">
        <is>
          <t xml:space="preserve">Remaining</t>
        </is>
      </c>
      <c r="B18" s="6">
        <f>MAX(B16-B10,0)</f>
        <v>16244.569999999978</v>
      </c>
    </row>
    <row r="19">
      <c r="A19" s="5"/>
    </row>
    <row r="20">
      <c r="A20" s="1" t="inlineStr">
        <is>
          <t xml:space="preserve">Data-driven observations</t>
        </is>
      </c>
    </row>
    <row r="21">
      <c r="A21" s="5" t="str">
        <f>INDEX(B27:B33,MATCH(MAX(C27:C33),C27:C33,0))&amp;" leads scenario gross sales at "&amp;TEXT(MAX(C27:C33),"€#,##0")&amp;"."</f>
        <v>Renewal Serum leads scenario gross sales at €26,205.</v>
      </c>
    </row>
    <row r="22">
      <c r="A22" s="5" t="str">
        <f>IF(COUNTIF('Pricing planner'!G6:G9,"Below cost")+COUNTIF('Pricing planner'!I13:I15,"Below cost")&gt;0,"Price warning: at least one current offer is below cost. Review Pricing planner.","All current product and bundle prices are above cost.")</f>
        <v>All current product and bundle prices are above cost.</v>
      </c>
    </row>
    <row r="23">
      <c r="A23" s="5" t="str">
        <f>IF(B17&gt;=1,"Gross-sales benchmark reached.",TEXT(B18,"€#,##0")&amp;" remains to reach the benchmark.")</f>
        <v>€16,245 remains to reach the benchmark.</v>
      </c>
    </row>
    <row r="24">
      <c r="A24" s="5"/>
    </row>
    <row r="25">
      <c r="A25" s="1" t="inlineStr">
        <is>
          <t xml:space="preserve">Sales by SKU</t>
        </is>
      </c>
    </row>
    <row r="26">
      <c r="A26" s="2" t="inlineStr">
        <is>
          <t xml:space="preserve">SKU</t>
        </is>
      </c>
      <c r="B26" s="2" t="inlineStr">
        <is>
          <t xml:space="preserve">Product</t>
        </is>
      </c>
      <c r="C26" s="2" t="inlineStr">
        <is>
          <t xml:space="preserve">Scenario gross sales</t>
        </is>
      </c>
      <c r="D26" s="2" t="inlineStr">
        <is>
          <t xml:space="preserve">Units</t>
        </is>
      </c>
      <c r="E26" s="2" t="inlineStr">
        <is>
          <t xml:space="preserve">Contribution margin</t>
        </is>
      </c>
      <c r="F26" s="2" t="inlineStr">
        <is>
          <t xml:space="preserve">Margin %</t>
        </is>
      </c>
    </row>
    <row r="27">
      <c r="A27" s="5" t="str">
        <f>'Catalogue'!B3</f>
        <v>SKU-A</v>
      </c>
      <c r="B27" s="5" t="str">
        <f>'Catalogue'!C3</f>
        <v>Renewal Serum</v>
      </c>
      <c r="C27" s="6">
        <f>SUMPRODUCT(('Orders'!$C$3:$C$1200=A27)*(('Orders'!$E$3:$E$1200*'Orders'!$G$3:$G$1200)-'Orders'!$H$3:$H$1200))</f>
        <v>26205.28</v>
      </c>
      <c r="D27" s="5">
        <f>SUMIF('Orders'!$C$3:$C$1200,A27,'Orders'!$G$3:$G$1200)</f>
        <v>395</v>
      </c>
      <c r="E27" s="6">
        <f>ROUND(SUMIF('Orders'!$C$3:$C$1200,A27,'Orders'!$I$3:$I$1200)-('Catalogue'!D3)*D27,2)</f>
        <v>16601.39</v>
      </c>
      <c r="F27" s="7">
        <f>IF(C27=0,0,E27/SUMIF('Orders'!$C$3:$C$1200,A27,'Orders'!$I$3:$I$1200))</f>
        <v>0.7665510000000001</v>
      </c>
    </row>
    <row r="28">
      <c r="A28" s="5" t="str">
        <f>'Catalogue'!B4</f>
        <v>SKU-B</v>
      </c>
      <c r="B28" s="5" t="str">
        <f>'Catalogue'!C4</f>
        <v>Barrier Balm</v>
      </c>
      <c r="C28" s="6">
        <f>SUMPRODUCT(('Orders'!$C$3:$C$1200=A28)*(('Orders'!$E$3:$E$1200*'Orders'!$G$3:$G$1200)-'Orders'!$H$3:$H$1200))</f>
        <v>2713.2</v>
      </c>
      <c r="D28" s="5">
        <f>SUMIF('Orders'!$C$3:$C$1200,A28,'Orders'!$G$3:$G$1200)</f>
        <v>150</v>
      </c>
      <c r="E28" s="6">
        <f>ROUND(SUMIF('Orders'!$C$3:$C$1200,A28,'Orders'!$I$3:$I$1200)-('Catalogue'!D4)*D28,2)</f>
        <v>1657.02</v>
      </c>
      <c r="F28" s="7">
        <f>IF(C28=0,0,E28/SUMIF('Orders'!$C$3:$C$1200,A28,'Orders'!$I$3:$I$1200))</f>
        <v>0.738978</v>
      </c>
    </row>
    <row r="29">
      <c r="A29" s="5" t="str">
        <f>'Catalogue'!B5</f>
        <v>SKU-C</v>
      </c>
      <c r="B29" s="5" t="str">
        <f>'Catalogue'!C5</f>
        <v>Contour Stone</v>
      </c>
      <c r="C29" s="6">
        <f>SUMPRODUCT(('Orders'!$C$3:$C$1200=A29)*(('Orders'!$E$3:$E$1200*'Orders'!$G$3:$G$1200)-'Orders'!$H$3:$H$1200))</f>
        <v>2009.7</v>
      </c>
      <c r="D29" s="5">
        <f>SUMIF('Orders'!$C$3:$C$1200,A29,'Orders'!$G$3:$G$1200)</f>
        <v>73</v>
      </c>
      <c r="E29" s="6">
        <f>ROUND(SUMIF('Orders'!$C$3:$C$1200,A29,'Orders'!$I$3:$I$1200)-('Catalogue'!D5)*D29,2)</f>
        <v>1266.75</v>
      </c>
      <c r="F29" s="7">
        <f>IF(C29=0,0,E29/SUMIF('Orders'!$C$3:$C$1200,A29,'Orders'!$I$3:$I$1200))</f>
        <v>0.7626850000000001</v>
      </c>
    </row>
    <row r="30">
      <c r="A30" s="5" t="str">
        <f>'Catalogue'!B6</f>
        <v>SKU-F</v>
      </c>
      <c r="B30" s="5" t="str">
        <f>'Catalogue'!C6</f>
        <v>Cloud Cleanser</v>
      </c>
      <c r="C30" s="6">
        <f>SUMPRODUCT(('Orders'!$C$3:$C$1200=A30)*(('Orders'!$E$3:$E$1200*'Orders'!$G$3:$G$1200)-'Orders'!$H$3:$H$1200))</f>
        <v>2323.9</v>
      </c>
      <c r="D30" s="5">
        <f>SUMIF('Orders'!$C$3:$C$1200,A30,'Orders'!$G$3:$G$1200)</f>
        <v>72</v>
      </c>
      <c r="E30" s="6">
        <f>ROUND(SUMIF('Orders'!$C$3:$C$1200,A30,'Orders'!$I$3:$I$1200)-('Catalogue'!D6)*D30,2)</f>
        <v>1438.2</v>
      </c>
      <c r="F30" s="7">
        <f>IF(C30=0,0,E30/SUMIF('Orders'!$C$3:$C$1200,A30,'Orders'!$I$3:$I$1200))</f>
        <v>0.7488370000000001</v>
      </c>
    </row>
    <row r="31">
      <c r="A31" s="5" t="str">
        <f>'Catalogue'!B7</f>
        <v>SKU-D</v>
      </c>
      <c r="B31" s="5" t="str">
        <f>'Catalogue'!C7</f>
        <v>Daily Duo</v>
      </c>
      <c r="C31" s="6">
        <f>SUMPRODUCT(('Orders'!$C$3:$C$1200=A31)*(('Orders'!$E$3:$E$1200*'Orders'!$G$3:$G$1200)-'Orders'!$H$3:$H$1200))</f>
        <v>19599.9</v>
      </c>
      <c r="D31" s="5">
        <f>SUMIF('Orders'!$C$3:$C$1200,A31,'Orders'!$G$3:$G$1200)</f>
        <v>262</v>
      </c>
      <c r="E31" s="6">
        <f>ROUND(SUMIF('Orders'!$C$3:$C$1200,A31,'Orders'!$I$3:$I$1200)-('Catalogue'!D3+'Catalogue'!D4)*D31,2)</f>
        <v>11823.07</v>
      </c>
      <c r="F31" s="7">
        <f>IF(C31=0,0,E31/SUMIF('Orders'!$C$3:$C$1200,A31,'Orders'!$I$3:$I$1200))</f>
        <v>0.729897</v>
      </c>
    </row>
    <row r="32">
      <c r="A32" s="5" t="str">
        <f>'Catalogue'!B8</f>
        <v>SKU-E</v>
      </c>
      <c r="B32" s="5" t="str">
        <f>'Catalogue'!C8</f>
        <v>Complete Ritual</v>
      </c>
      <c r="C32" s="6">
        <f>SUMPRODUCT(('Orders'!$C$3:$C$1200=A32)*(('Orders'!$E$3:$E$1200*'Orders'!$G$3:$G$1200)-'Orders'!$H$3:$H$1200))</f>
        <v>19597.8</v>
      </c>
      <c r="D32" s="5">
        <f>SUMIF('Orders'!$C$3:$C$1200,A32,'Orders'!$G$3:$G$1200)</f>
        <v>232</v>
      </c>
      <c r="E32" s="6">
        <f>ROUND(SUMIF('Orders'!$C$3:$C$1200,A32,'Orders'!$I$3:$I$1200)-('Catalogue'!D3+'Catalogue'!D5)*D32,2)</f>
        <v>11973.88</v>
      </c>
      <c r="F32" s="7">
        <f>IF(C32=0,0,E32/SUMIF('Orders'!$C$3:$C$1200,A32,'Orders'!$I$3:$I$1200))</f>
        <v>0.739287</v>
      </c>
    </row>
    <row r="33">
      <c r="A33" s="5" t="str">
        <f>'Catalogue'!B9</f>
        <v>SKU-G</v>
      </c>
      <c r="B33" s="5" t="str">
        <f>'Catalogue'!C9</f>
        <v>Daily Reset Set</v>
      </c>
      <c r="C33" s="6">
        <f>SUMPRODUCT(('Orders'!$C$3:$C$1200=A33)*(('Orders'!$E$3:$E$1200*'Orders'!$G$3:$G$1200)-'Orders'!$H$3:$H$1200))</f>
        <v>11305.65</v>
      </c>
      <c r="D33" s="5">
        <f>SUMIF('Orders'!$C$3:$C$1200,A33,'Orders'!$G$3:$G$1200)</f>
        <v>174</v>
      </c>
      <c r="E33" s="6">
        <f>ROUND(SUMIF('Orders'!$C$3:$C$1200,A33,'Orders'!$I$3:$I$1200)-('Catalogue'!D4+'Catalogue'!D5+'Catalogue'!D6)*D33,2)</f>
        <v>6559.08</v>
      </c>
      <c r="F33" s="7">
        <f>IF(C33=0,0,E33/SUMIF('Orders'!$C$3:$C$1200,A33,'Orders'!$I$3:$I$1200))</f>
        <v>0.701993</v>
      </c>
    </row>
    <row r="34">
      <c r="A34" s="5"/>
    </row>
    <row r="35" hidden="1">
      <c r="A35" s="2" t="inlineStr">
        <is>
          <t xml:space="preserve">Target chart data</t>
        </is>
      </c>
      <c r="B35" s="2" t="inlineStr">
        <is>
          <t xml:space="preserve">Value</t>
        </is>
      </c>
    </row>
    <row r="36" hidden="1">
      <c r="A36" s="5" t="inlineStr">
        <is>
          <t xml:space="preserve">Achieved</t>
        </is>
      </c>
      <c r="B36" s="6">
        <f>MIN(B10,B16)</f>
        <v>83755.43</v>
      </c>
    </row>
    <row r="37" hidden="1">
      <c r="A37" s="5" t="inlineStr">
        <is>
          <t xml:space="preserve">Remaining</t>
        </is>
      </c>
      <c r="B37" s="6">
        <f>MAX(B16-B10,0)</f>
        <v>16244.569999999978</v>
      </c>
    </row>
  </sheetData>
  <drawing r:id="rId1"/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36" customWidth="1"/>
    <col min="2" max="2" width="92" customWidth="1"/>
  </cols>
  <sheetData>
    <row r="1">
      <c r="A1" s="1" t="inlineStr">
        <is>
          <t xml:space="preserve">Luma Vale | editable unit economics input</t>
        </is>
      </c>
    </row>
    <row r="2">
      <c r="A2" s="4" t="inlineStr">
        <is>
          <t xml:space="preserve">Start with Dashboard. Edit yellow cells only; blue and purple cells calculate automatically.</t>
        </is>
      </c>
    </row>
    <row r="3">
      <c r="A3" s="0"/>
    </row>
    <row r="4">
      <c r="A4" s="2" t="inlineStr">
        <is>
          <t xml:space="preserve">Sheet</t>
        </is>
      </c>
      <c r="B4" s="2" t="inlineStr">
        <is>
          <t xml:space="preserve">What it is for</t>
        </is>
      </c>
    </row>
    <row r="5">
      <c r="A5" s="0" t="inlineStr">
        <is>
          <t xml:space="preserve">Dashboard</t>
        </is>
      </c>
      <c r="B5" s="0" t="inlineStr">
        <is>
          <t xml:space="preserve">Live, formula-driven Excel companion, including what remains after variable costs. The polished interactive dashboard is online.</t>
        </is>
      </c>
    </row>
    <row r="6">
      <c r="A6" s="0" t="inlineStr">
        <is>
          <t xml:space="preserve">Settings</t>
        </is>
      </c>
      <c r="B6" s="0" t="inlineStr">
        <is>
          <t xml:space="preserve">Store identity, VAT rate, targets, pricing mode and optional fulfilment, payment and advertising costs.</t>
        </is>
      </c>
    </row>
    <row r="7">
      <c r="A7" s="0" t="inlineStr">
        <is>
          <t xml:space="preserve">Catalogue</t>
        </is>
      </c>
      <c r="B7" s="0" t="inlineStr">
        <is>
          <t xml:space="preserve">Products and bundles together. Use Type to distinguish them.</t>
        </is>
      </c>
    </row>
    <row r="8">
      <c r="A8" s="0" t="inlineStr">
        <is>
          <t xml:space="preserve">Pricing &amp; promotions</t>
        </is>
      </c>
      <c r="B8" s="0" t="inlineStr">
        <is>
          <t xml:space="preserve">Price history and the discount rules that drive calculated order discounts.</t>
        </is>
      </c>
    </row>
    <row r="9">
      <c r="A9" s="0" t="inlineStr">
        <is>
          <t xml:space="preserve">Pricing planner</t>
        </is>
      </c>
      <c r="B9" s="0" t="inlineStr">
        <is>
          <t xml:space="preserve">Live Excel price, margin and bundle-saving checks. It updates when yellow price inputs change.</t>
        </is>
      </c>
    </row>
    <row r="10">
      <c r="A10" s="0" t="inlineStr">
        <is>
          <t xml:space="preserve">Orders</t>
        </is>
      </c>
      <c r="B10" s="0" t="inlineStr">
        <is>
          <t xml:space="preserve">Blue price and discount cells follow Catalogue and promotion inputs in Scenario mode.</t>
        </is>
      </c>
    </row>
    <row r="11">
      <c r="A11" s="0"/>
    </row>
    <row r="12">
      <c r="A12" s="0" t="inlineStr">
        <is>
          <t xml:space="preserve">This copy holds 1198 order lines across 891 orders (1358 units, EUR 83,755 gross after discounts) for the 12 months to 2026-10-22.</t>
        </is>
      </c>
    </row>
    <row r="13">
      <c r="A13" s="0" t="inlineStr">
        <is>
          <t xml:space="preserve">Regenerate it any time with: python3 src/make_demo_workbook.py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34" customWidth="1"/>
    <col min="2" max="2" width="26" customWidth="1"/>
  </cols>
  <sheetData>
    <row r="1">
      <c r="A1" s="1" t="inlineStr">
        <is>
          <t xml:space="preserve">Settings</t>
        </is>
      </c>
    </row>
    <row r="2">
      <c r="A2" s="2" t="inlineStr">
        <is>
          <t xml:space="preserve">Setting</t>
        </is>
      </c>
      <c r="B2" s="2" t="inlineStr">
        <is>
          <t xml:space="preserve">Value</t>
        </is>
      </c>
    </row>
    <row r="3">
      <c r="A3" s="3" t="inlineStr">
        <is>
          <t xml:space="preserve">Store name</t>
        </is>
      </c>
      <c r="B3" s="3" t="inlineStr">
        <is>
          <t xml:space="preserve">Luma Vale</t>
        </is>
      </c>
    </row>
    <row r="4">
      <c r="A4" s="3" t="inlineStr">
        <is>
          <t xml:space="preserve">Store domain</t>
        </is>
      </c>
      <c r="B4" s="3" t="inlineStr">
        <is>
          <t xml:space="preserve">lumavale.example</t>
        </is>
      </c>
    </row>
    <row r="5">
      <c r="A5" s="3" t="inlineStr">
        <is>
          <t xml:space="preserve">Currency</t>
        </is>
      </c>
      <c r="B5" s="3" t="inlineStr">
        <is>
          <t xml:space="preserve">EUR</t>
        </is>
      </c>
    </row>
    <row r="6">
      <c r="A6" s="3" t="inlineStr">
        <is>
          <t xml:space="preserve">VAT rate (%)</t>
        </is>
      </c>
      <c r="B6" s="3">
        <v>21.0</v>
      </c>
    </row>
    <row r="7">
      <c r="A7" s="3" t="inlineStr">
        <is>
          <t xml:space="preserve">Target units</t>
        </is>
      </c>
      <c r="B7" s="3">
        <v>1500</v>
      </c>
    </row>
    <row r="8">
      <c r="A8" s="3" t="inlineStr">
        <is>
          <t xml:space="preserve">Gross sales target</t>
        </is>
      </c>
      <c r="B8" s="3">
        <v>100000</v>
      </c>
    </row>
    <row r="9">
      <c r="A9" s="3" t="inlineStr">
        <is>
          <t xml:space="preserve">Target start</t>
        </is>
      </c>
      <c r="B9" s="3" t="inlineStr">
        <is>
          <t xml:space="preserve">2026-01-01</t>
        </is>
      </c>
    </row>
    <row r="10">
      <c r="A10" s="3" t="inlineStr">
        <is>
          <t xml:space="preserve">Target end</t>
        </is>
      </c>
      <c r="B10" s="3" t="inlineStr">
        <is>
          <t xml:space="preserve">2026-12-31</t>
        </is>
      </c>
    </row>
    <row r="11">
      <c r="A11" s="3" t="inlineStr">
        <is>
          <t xml:space="preserve">Pricing model</t>
        </is>
      </c>
      <c r="B11" s="3" t="inlineStr">
        <is>
          <t xml:space="preserve">Scenario</t>
        </is>
      </c>
    </row>
    <row r="12">
      <c r="A12" s="3" t="inlineStr">
        <is>
          <t xml:space="preserve">Fulfilment cost per order ex VAT</t>
        </is>
      </c>
      <c r="B12" s="8">
        <v>5.4</v>
      </c>
    </row>
    <row r="13">
      <c r="A13" s="3" t="inlineStr">
        <is>
          <t xml:space="preserve">Shipping charged per order incl VAT</t>
        </is>
      </c>
      <c r="B13" s="8">
        <v>2.95</v>
      </c>
    </row>
    <row r="14">
      <c r="A14" s="3" t="inlineStr">
        <is>
          <t xml:space="preserve">Payment fee (%)</t>
        </is>
      </c>
      <c r="B14" s="3">
        <v>1.5</v>
      </c>
    </row>
    <row r="15">
      <c r="A15" s="3" t="inlineStr">
        <is>
          <t xml:space="preserve">Payment fee per order</t>
        </is>
      </c>
      <c r="B15" s="8">
        <v>0.25</v>
      </c>
    </row>
    <row r="16">
      <c r="A16" s="0"/>
    </row>
    <row r="17">
      <c r="A17" s="1" t="inlineStr">
        <is>
          <t xml:space="preserve">Advertising by month | optional</t>
        </is>
      </c>
    </row>
    <row r="18">
      <c r="A18" s="2" t="inlineStr">
        <is>
          <t xml:space="preserve">Month (YYYY-MM)</t>
        </is>
      </c>
      <c r="B18" s="2" t="inlineStr">
        <is>
          <t xml:space="preserve">Advertising spend ex VAT</t>
        </is>
      </c>
    </row>
    <row r="19">
      <c r="A19" s="3" t="inlineStr">
        <is>
          <t xml:space="preserve">2025-10</t>
        </is>
      </c>
      <c r="B19" s="8">
        <v>1035</v>
      </c>
    </row>
    <row r="20">
      <c r="A20" s="3" t="inlineStr">
        <is>
          <t xml:space="preserve">2025-11</t>
        </is>
      </c>
      <c r="B20" s="8">
        <v>1305</v>
      </c>
    </row>
    <row r="21">
      <c r="A21" s="3" t="inlineStr">
        <is>
          <t xml:space="preserve">2025-12</t>
        </is>
      </c>
      <c r="B21" s="8">
        <v>1170</v>
      </c>
    </row>
    <row r="22">
      <c r="A22" s="3" t="inlineStr">
        <is>
          <t xml:space="preserve">2026-01</t>
        </is>
      </c>
      <c r="B22" s="8">
        <v>702</v>
      </c>
    </row>
    <row r="23">
      <c r="A23" s="3" t="inlineStr">
        <is>
          <t xml:space="preserve">2026-02</t>
        </is>
      </c>
      <c r="B23" s="8">
        <v>765</v>
      </c>
    </row>
    <row r="24">
      <c r="A24" s="3" t="inlineStr">
        <is>
          <t xml:space="preserve">2026-03</t>
        </is>
      </c>
      <c r="B24" s="8">
        <v>855</v>
      </c>
    </row>
    <row r="25">
      <c r="A25" s="3" t="inlineStr">
        <is>
          <t xml:space="preserve">2026-04</t>
        </is>
      </c>
      <c r="B25" s="8">
        <v>900</v>
      </c>
    </row>
    <row r="26">
      <c r="A26" s="3" t="inlineStr">
        <is>
          <t xml:space="preserve">2026-05</t>
        </is>
      </c>
      <c r="B26" s="8">
        <v>945</v>
      </c>
    </row>
    <row r="27">
      <c r="A27" s="3" t="inlineStr">
        <is>
          <t xml:space="preserve">2026-06</t>
        </is>
      </c>
      <c r="B27" s="8">
        <v>855</v>
      </c>
    </row>
    <row r="28">
      <c r="A28" s="3" t="inlineStr">
        <is>
          <t xml:space="preserve">2026-07</t>
        </is>
      </c>
      <c r="B28" s="8">
        <v>792</v>
      </c>
    </row>
    <row r="29">
      <c r="A29" s="3" t="inlineStr">
        <is>
          <t xml:space="preserve">2026-08</t>
        </is>
      </c>
      <c r="B29" s="8">
        <v>720</v>
      </c>
    </row>
    <row r="30">
      <c r="A30" s="3" t="inlineStr">
        <is>
          <t xml:space="preserve">2026-09</t>
        </is>
      </c>
      <c r="B30" s="8">
        <v>918</v>
      </c>
    </row>
    <row r="31">
      <c r="A31" s="3" t="inlineStr">
        <is>
          <t xml:space="preserve">2026-10</t>
        </is>
      </c>
      <c r="B31" s="8">
        <v>1035</v>
      </c>
    </row>
    <row r="32">
      <c r="A32" s="0"/>
    </row>
    <row r="33">
      <c r="A33" s="4" t="inlineStr">
        <is>
          <t xml:space="preserve">Leave the four cost rows and this table blank to see product margin only. Per-order costs are shared across lines by value; advertising by each month's net revenue.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" customWidth="1"/>
    <col min="2" max="2" width="10" customWidth="1"/>
    <col min="3" max="3" width="24" customWidth="1"/>
    <col min="4" max="4" width="16" customWidth="1"/>
    <col min="5" max="5" width="18" customWidth="1"/>
    <col min="6" max="6" width="14" customWidth="1"/>
    <col min="7" max="7" width="14" customWidth="1"/>
    <col min="8" max="8" width="32" customWidth="1"/>
    <col min="9" max="9" width="18" customWidth="1"/>
    <col min="10" max="10" width="16" customWidth="1"/>
    <col min="11" max="11" width="24" customWidth="1"/>
    <col min="12" max="12" width="26" customWidth="1"/>
    <col min="13" max="13" width="28" customWidth="1"/>
    <col min="14" max="14" width="18" customWidth="1"/>
  </cols>
  <sheetData>
    <row r="1">
      <c r="A1" s="1" t="inlineStr">
        <is>
          <t xml:space="preserve">Catalogue</t>
        </is>
      </c>
    </row>
    <row r="2">
      <c r="A2" s="2" t="inlineStr">
        <is>
          <t xml:space="preserve">Type</t>
        </is>
      </c>
      <c r="B2" s="2" t="inlineStr">
        <is>
          <t xml:space="preserve">SKU</t>
        </is>
      </c>
      <c r="C2" s="2" t="inlineStr">
        <is>
          <t xml:space="preserve">Name</t>
        </is>
      </c>
      <c r="D2" s="2" t="inlineStr">
        <is>
          <t xml:space="preserve">Unit cost ex VAT</t>
        </is>
      </c>
      <c r="E2" s="2" t="inlineStr">
        <is>
          <t xml:space="preserve">Web price incl VAT</t>
        </is>
      </c>
      <c r="F2" s="2" t="inlineStr">
        <is>
          <t xml:space="preserve">Batch quantity</t>
        </is>
      </c>
      <c r="G2" s="2" t="inlineStr">
        <is>
          <t xml:space="preserve">Stock on hand</t>
        </is>
      </c>
      <c r="H2" s="2" t="inlineStr">
        <is>
          <t xml:space="preserve">Bundle contents</t>
        </is>
      </c>
      <c r="I2" s="2" t="inlineStr">
        <is>
          <t xml:space="preserve">Declared solo total</t>
        </is>
      </c>
      <c r="J2" s="2" t="inlineStr">
        <is>
          <t xml:space="preserve">Claimed saving</t>
        </is>
      </c>
      <c r="K2" s="2" t="inlineStr">
        <is>
          <t xml:space="preserve">Confirmed (TRUE/FALSE)</t>
        </is>
      </c>
      <c r="L2" s="2" t="inlineStr">
        <is>
          <t xml:space="preserve">Cost source</t>
        </is>
      </c>
      <c r="M2" s="2" t="inlineStr">
        <is>
          <t xml:space="preserve">Notes</t>
        </is>
      </c>
      <c r="N2" s="2" t="inlineStr">
        <is>
          <t xml:space="preserve">Bundle discount %</t>
        </is>
      </c>
    </row>
    <row r="3">
      <c r="A3" s="3" t="inlineStr">
        <is>
          <t xml:space="preserve">Product</t>
        </is>
      </c>
      <c r="B3" s="3" t="inlineStr">
        <is>
          <t xml:space="preserve">SKU-A</t>
        </is>
      </c>
      <c r="C3" s="3" t="inlineStr">
        <is>
          <t xml:space="preserve">Renewal Serum</t>
        </is>
      </c>
      <c r="D3" s="8">
        <v>12.8</v>
      </c>
      <c r="E3" s="8">
        <v>69.9</v>
      </c>
      <c r="F3" s="3">
        <v>4000</v>
      </c>
      <c r="G3" s="3">
        <v>1180</v>
      </c>
      <c r="H3" s="3"/>
      <c r="I3" s="3"/>
      <c r="J3" s="3"/>
      <c r="K3" s="3"/>
      <c r="L3" s="3" t="inlineStr">
        <is>
          <t xml:space="preserve">Synthetic supplier invoice</t>
        </is>
      </c>
      <c r="M3" s="3" t="inlineStr">
        <is>
          <t xml:space="preserve">Hero product</t>
        </is>
      </c>
      <c r="N3" s="3"/>
    </row>
    <row r="4">
      <c r="A4" s="3" t="inlineStr">
        <is>
          <t xml:space="preserve">Product</t>
        </is>
      </c>
      <c r="B4" s="3" t="inlineStr">
        <is>
          <t xml:space="preserve">SKU-B</t>
        </is>
      </c>
      <c r="C4" s="3" t="inlineStr">
        <is>
          <t xml:space="preserve">Barrier Balm</t>
        </is>
      </c>
      <c r="D4" s="8">
        <v>3.9</v>
      </c>
      <c r="E4" s="8">
        <v>19</v>
      </c>
      <c r="F4" s="3">
        <v>2200</v>
      </c>
      <c r="G4" s="3">
        <v>940</v>
      </c>
      <c r="H4" s="3"/>
      <c r="I4" s="3"/>
      <c r="J4" s="3"/>
      <c r="K4" s="3"/>
      <c r="L4" s="3" t="inlineStr">
        <is>
          <t xml:space="preserve">Synthetic supplier invoice</t>
        </is>
      </c>
      <c r="M4" s="3" t="inlineStr">
        <is>
          <t xml:space="preserve">Add-on product</t>
        </is>
      </c>
      <c r="N4" s="3"/>
    </row>
    <row r="5">
      <c r="A5" s="3" t="inlineStr">
        <is>
          <t xml:space="preserve">Product</t>
        </is>
      </c>
      <c r="B5" s="3" t="inlineStr">
        <is>
          <t xml:space="preserve">SKU-C</t>
        </is>
      </c>
      <c r="C5" s="3" t="inlineStr">
        <is>
          <t xml:space="preserve">Contour Stone</t>
        </is>
      </c>
      <c r="D5" s="8">
        <v>5.4</v>
      </c>
      <c r="E5" s="8">
        <v>29</v>
      </c>
      <c r="F5" s="3">
        <v>1200</v>
      </c>
      <c r="G5" s="3">
        <v>145</v>
      </c>
      <c r="H5" s="3"/>
      <c r="I5" s="3"/>
      <c r="J5" s="3"/>
      <c r="K5" s="3"/>
      <c r="L5" s="3" t="inlineStr">
        <is>
          <t xml:space="preserve">Synthetic supplier invoice</t>
        </is>
      </c>
      <c r="M5" s="3" t="inlineStr">
        <is>
          <t xml:space="preserve">Accessory, tightest stock line</t>
        </is>
      </c>
      <c r="N5" s="3"/>
    </row>
    <row r="6">
      <c r="A6" s="3" t="inlineStr">
        <is>
          <t xml:space="preserve">Product</t>
        </is>
      </c>
      <c r="B6" s="3" t="inlineStr">
        <is>
          <t xml:space="preserve">SKU-F</t>
        </is>
      </c>
      <c r="C6" s="3" t="inlineStr">
        <is>
          <t xml:space="preserve">Cloud Cleanser</t>
        </is>
      </c>
      <c r="D6" s="8">
        <v>6.7</v>
      </c>
      <c r="E6" s="8">
        <v>34</v>
      </c>
      <c r="F6" s="3">
        <v>1800</v>
      </c>
      <c r="G6" s="3">
        <v>690</v>
      </c>
      <c r="H6" s="3"/>
      <c r="I6" s="3"/>
      <c r="J6" s="3"/>
      <c r="K6" s="3"/>
      <c r="L6" s="3" t="inlineStr">
        <is>
          <t xml:space="preserve">Synthetic supplier invoice</t>
        </is>
      </c>
      <c r="M6" s="3" t="inlineStr">
        <is>
          <t xml:space="preserve">Daily-use cleanser</t>
        </is>
      </c>
      <c r="N6" s="3"/>
    </row>
    <row r="7">
      <c r="A7" s="3" t="inlineStr">
        <is>
          <t xml:space="preserve">Bundle</t>
        </is>
      </c>
      <c r="B7" s="3" t="inlineStr">
        <is>
          <t xml:space="preserve">SKU-D</t>
        </is>
      </c>
      <c r="C7" s="3" t="inlineStr">
        <is>
          <t xml:space="preserve">Daily Duo</t>
        </is>
      </c>
      <c r="D7" s="3"/>
      <c r="E7" s="6">
        <f>ROUND(I7*(1-N7),2)</f>
        <v>79</v>
      </c>
      <c r="F7" s="3"/>
      <c r="G7" s="3"/>
      <c r="H7" s="3" t="inlineStr">
        <is>
          <t xml:space="preserve">SKU-A:1|SKU-B:1</t>
        </is>
      </c>
      <c r="I7" s="6">
        <f>E3+E4</f>
        <v>88.9</v>
      </c>
      <c r="J7" s="6">
        <f>ROUND(I7-E7,2)</f>
        <v>9.9</v>
      </c>
      <c r="K7" s="3" t="inlineStr">
        <is>
          <t xml:space="preserve">TRUE</t>
        </is>
      </c>
      <c r="L7" s="3"/>
      <c r="M7" s="3" t="inlineStr">
        <is>
          <t xml:space="preserve">Core bundle</t>
        </is>
      </c>
      <c r="N7" s="9">
        <v>0.111361</v>
      </c>
    </row>
    <row r="8">
      <c r="A8" s="3" t="inlineStr">
        <is>
          <t xml:space="preserve">Bundle</t>
        </is>
      </c>
      <c r="B8" s="3" t="inlineStr">
        <is>
          <t xml:space="preserve">SKU-E</t>
        </is>
      </c>
      <c r="C8" s="3" t="inlineStr">
        <is>
          <t xml:space="preserve">Complete Ritual</t>
        </is>
      </c>
      <c r="D8" s="3"/>
      <c r="E8" s="6">
        <f>ROUND(I8*(1-N8),2)</f>
        <v>89</v>
      </c>
      <c r="F8" s="3"/>
      <c r="G8" s="3"/>
      <c r="H8" s="3" t="inlineStr">
        <is>
          <t xml:space="preserve">SKU-A:1|SKU-C:1</t>
        </is>
      </c>
      <c r="I8" s="6">
        <f>E3+E5</f>
        <v>98.9</v>
      </c>
      <c r="J8" s="6">
        <f>ROUND(I8-E8,2)</f>
        <v>9.9</v>
      </c>
      <c r="K8" s="3" t="inlineStr">
        <is>
          <t xml:space="preserve">TRUE</t>
        </is>
      </c>
      <c r="L8" s="3"/>
      <c r="M8" s="3" t="inlineStr">
        <is>
          <t xml:space="preserve">Premium bundle</t>
        </is>
      </c>
      <c r="N8" s="9">
        <v>0.100101</v>
      </c>
    </row>
    <row r="9">
      <c r="A9" s="3" t="inlineStr">
        <is>
          <t xml:space="preserve">Bundle</t>
        </is>
      </c>
      <c r="B9" s="3" t="inlineStr">
        <is>
          <t xml:space="preserve">SKU-G</t>
        </is>
      </c>
      <c r="C9" s="3" t="inlineStr">
        <is>
          <t xml:space="preserve">Daily Reset Set</t>
        </is>
      </c>
      <c r="D9" s="3"/>
      <c r="E9" s="6">
        <f>ROUND(I9*(1-N9),2)</f>
        <v>69</v>
      </c>
      <c r="F9" s="3"/>
      <c r="G9" s="3"/>
      <c r="H9" s="3" t="inlineStr">
        <is>
          <t xml:space="preserve">SKU-B:1|SKU-C:1|SKU-F:1</t>
        </is>
      </c>
      <c r="I9" s="6">
        <f>E4+E5+E6</f>
        <v>82</v>
      </c>
      <c r="J9" s="6">
        <f>ROUND(I9-E9,2)</f>
        <v>13</v>
      </c>
      <c r="K9" s="3" t="inlineStr">
        <is>
          <t xml:space="preserve">TRUE</t>
        </is>
      </c>
      <c r="L9" s="3"/>
      <c r="M9" s="3" t="inlineStr">
        <is>
          <t xml:space="preserve">Three-product starter bundle</t>
        </is>
      </c>
      <c r="N9" s="9">
        <v>0.158537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8" customWidth="1"/>
    <col min="2" max="2" width="16" customWidth="1"/>
    <col min="3" max="3" width="16" customWidth="1"/>
    <col min="4" max="4" width="24" customWidth="1"/>
    <col min="5" max="5" width="16" customWidth="1"/>
  </cols>
  <sheetData>
    <row r="1">
      <c r="A1" s="1" t="inlineStr">
        <is>
          <t xml:space="preserve">Pricing &amp; promotions</t>
        </is>
      </c>
    </row>
    <row r="2">
      <c r="A2" s="4" t="inlineStr">
        <is>
          <t xml:space="preserve">Edit yellow promotion rules. Scenario-mode Orders discounts recalculate from these values.</t>
        </is>
      </c>
    </row>
    <row r="3">
      <c r="A3" s="4"/>
    </row>
    <row r="4">
      <c r="A4" s="1" t="inlineStr">
        <is>
          <t xml:space="preserve">Promotion rules | live scenario inputs</t>
        </is>
      </c>
    </row>
    <row r="5">
      <c r="A5" s="2" t="inlineStr">
        <is>
          <t xml:space="preserve">Discount code</t>
        </is>
      </c>
      <c r="B5" s="2" t="inlineStr">
        <is>
          <t xml:space="preserve">Discount %</t>
        </is>
      </c>
      <c r="C5" s="2" t="inlineStr">
        <is>
          <t xml:space="preserve">Active from</t>
        </is>
      </c>
      <c r="D5" s="2" t="inlineStr">
        <is>
          <t xml:space="preserve">Active to</t>
        </is>
      </c>
      <c r="E5" s="2" t="inlineStr">
        <is>
          <t xml:space="preserve">Status</t>
        </is>
      </c>
    </row>
    <row r="6">
      <c r="A6" s="3" t="inlineStr">
        <is>
          <t xml:space="preserve">WELCOME10</t>
        </is>
      </c>
      <c r="B6" s="3">
        <v>10</v>
      </c>
      <c r="C6" s="3" t="inlineStr">
        <is>
          <t xml:space="preserve">2025-08-01</t>
        </is>
      </c>
      <c r="D6" s="3" t="inlineStr">
        <is>
          <t xml:space="preserve">2026-12-31</t>
        </is>
      </c>
      <c r="E6" s="3" t="inlineStr">
        <is>
          <t xml:space="preserve">TRUE</t>
        </is>
      </c>
    </row>
    <row r="7">
      <c r="A7" s="3" t="inlineStr">
        <is>
          <t xml:space="preserve">SUMMER15</t>
        </is>
      </c>
      <c r="B7" s="3">
        <v>15</v>
      </c>
      <c r="C7" s="3" t="inlineStr">
        <is>
          <t xml:space="preserve">2025-08-01</t>
        </is>
      </c>
      <c r="D7" s="3" t="inlineStr">
        <is>
          <t xml:space="preserve">2026-12-31</t>
        </is>
      </c>
      <c r="E7" s="3" t="inlineStr">
        <is>
          <t xml:space="preserve">TRUE</t>
        </is>
      </c>
    </row>
    <row r="8">
      <c r="A8" s="3" t="inlineStr">
        <is>
          <t xml:space="preserve">VIP20</t>
        </is>
      </c>
      <c r="B8" s="3">
        <v>20</v>
      </c>
      <c r="C8" s="3" t="inlineStr">
        <is>
          <t xml:space="preserve">2025-08-01</t>
        </is>
      </c>
      <c r="D8" s="3" t="inlineStr">
        <is>
          <t xml:space="preserve">2026-12-31</t>
        </is>
      </c>
      <c r="E8" s="3" t="inlineStr">
        <is>
          <t xml:space="preserve">TRUE</t>
        </is>
      </c>
    </row>
    <row r="9">
      <c r="A9" s="4"/>
    </row>
    <row r="10">
      <c r="A10" s="1" t="inlineStr">
        <is>
          <t xml:space="preserve">Price history | reference for Actual mode</t>
        </is>
      </c>
    </row>
    <row r="11">
      <c r="A11" s="2" t="inlineStr">
        <is>
          <t xml:space="preserve">SKU</t>
        </is>
      </c>
      <c r="B11" s="2" t="inlineStr">
        <is>
          <t xml:space="preserve">Start date</t>
        </is>
      </c>
      <c r="C11" s="2" t="inlineStr">
        <is>
          <t xml:space="preserve">Price incl VAT</t>
        </is>
      </c>
      <c r="D11" s="2" t="inlineStr">
        <is>
          <t xml:space="preserve">Source</t>
        </is>
      </c>
    </row>
    <row r="12">
      <c r="A12" s="5" t="inlineStr">
        <is>
          <t xml:space="preserve">SKU-A</t>
        </is>
      </c>
      <c r="B12" s="5" t="inlineStr">
        <is>
          <t xml:space="preserve">2025-08-01</t>
        </is>
      </c>
      <c r="C12" s="5">
        <v>64</v>
      </c>
      <c r="D12" s="5" t="inlineStr">
        <is>
          <t xml:space="preserve">Synthetic launch price</t>
        </is>
      </c>
    </row>
    <row r="13">
      <c r="A13" s="5" t="inlineStr">
        <is>
          <t xml:space="preserve">SKU-A</t>
        </is>
      </c>
      <c r="B13" s="5" t="inlineStr">
        <is>
          <t xml:space="preserve">2026-01-01</t>
        </is>
      </c>
      <c r="C13" s="5">
        <v>69.9</v>
      </c>
      <c r="D13" s="5" t="inlineStr">
        <is>
          <t xml:space="preserve">Synthetic price increase</t>
        </is>
      </c>
    </row>
    <row r="14">
      <c r="A14" s="5" t="inlineStr">
        <is>
          <t xml:space="preserve">SKU-B</t>
        </is>
      </c>
      <c r="B14" s="5" t="inlineStr">
        <is>
          <t xml:space="preserve">2025-08-01</t>
        </is>
      </c>
      <c r="C14" s="5">
        <v>18</v>
      </c>
      <c r="D14" s="5" t="inlineStr">
        <is>
          <t xml:space="preserve">Synthetic launch price</t>
        </is>
      </c>
    </row>
    <row r="15">
      <c r="A15" s="5" t="inlineStr">
        <is>
          <t xml:space="preserve">SKU-B</t>
        </is>
      </c>
      <c r="B15" s="5" t="inlineStr">
        <is>
          <t xml:space="preserve">2026-03-01</t>
        </is>
      </c>
      <c r="C15" s="5">
        <v>19</v>
      </c>
      <c r="D15" s="5" t="inlineStr">
        <is>
          <t xml:space="preserve">Synthetic price increase</t>
        </is>
      </c>
    </row>
    <row r="16">
      <c r="A16" s="5" t="inlineStr">
        <is>
          <t xml:space="preserve">SKU-C</t>
        </is>
      </c>
      <c r="B16" s="5" t="inlineStr">
        <is>
          <t xml:space="preserve">2025-08-01</t>
        </is>
      </c>
      <c r="C16" s="5">
        <v>29</v>
      </c>
      <c r="D16" s="5" t="inlineStr">
        <is>
          <t xml:space="preserve">Synthetic launch price</t>
        </is>
      </c>
    </row>
    <row r="17">
      <c r="A17" s="5" t="inlineStr">
        <is>
          <t xml:space="preserve">SKU-F</t>
        </is>
      </c>
      <c r="B17" s="5" t="inlineStr">
        <is>
          <t xml:space="preserve">2025-08-01</t>
        </is>
      </c>
      <c r="C17" s="5">
        <v>34</v>
      </c>
      <c r="D17" s="5" t="inlineStr">
        <is>
          <t xml:space="preserve">Synthetic launch price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" customWidth="1"/>
    <col min="2" max="2" width="24" customWidth="1"/>
    <col min="3" max="3" width="20" customWidth="1"/>
    <col min="4" max="4" width="18" customWidth="1"/>
    <col min="5" max="5" width="20" customWidth="1"/>
    <col min="6" max="6" width="16" customWidth="1"/>
    <col min="7" max="7" width="20" customWidth="1"/>
    <col min="8" max="8" width="20" customWidth="1"/>
    <col min="9" max="9" width="28" customWidth="1"/>
  </cols>
  <sheetData>
    <row r="1">
      <c r="A1" s="1" t="inlineStr">
        <is>
          <t xml:space="preserve">Pricing planner | live Excel checks</t>
        </is>
      </c>
    </row>
    <row r="2">
      <c r="A2" s="5" t="inlineStr">
        <is>
          <t xml:space="preserve">Change only yellow cells in Catalogue. This sheet updates immediately in Excel, Numbers or LibreOffice.</t>
        </is>
      </c>
    </row>
    <row r="3">
      <c r="A3" s="5"/>
    </row>
    <row r="4">
      <c r="A4" s="1" t="inlineStr">
        <is>
          <t xml:space="preserve">Product price health</t>
        </is>
      </c>
    </row>
    <row r="5">
      <c r="A5" s="2" t="inlineStr">
        <is>
          <t xml:space="preserve">SKU</t>
        </is>
      </c>
      <c r="B5" s="2" t="inlineStr">
        <is>
          <t xml:space="preserve">Product</t>
        </is>
      </c>
      <c r="C5" s="2" t="inlineStr">
        <is>
          <t xml:space="preserve">Unit cost ex VAT</t>
        </is>
      </c>
      <c r="D5" s="2" t="inlineStr">
        <is>
          <t xml:space="preserve">Web price incl VAT</t>
        </is>
      </c>
      <c r="E5" s="2" t="inlineStr">
        <is>
          <t xml:space="preserve">Gross profit ex VAT</t>
        </is>
      </c>
      <c r="F5" s="2" t="inlineStr">
        <is>
          <t xml:space="preserve">Gross margin %</t>
        </is>
      </c>
      <c r="G5" s="2" t="inlineStr">
        <is>
          <t xml:space="preserve">Status</t>
        </is>
      </c>
    </row>
    <row r="6">
      <c r="A6" s="5" t="str">
        <f>'Catalogue'!B3</f>
        <v>SKU-A</v>
      </c>
      <c r="B6" s="5" t="str">
        <f>'Catalogue'!C3</f>
        <v>Renewal Serum</v>
      </c>
      <c r="C6" s="6">
        <f>'Catalogue'!D3</f>
        <v>12.8</v>
      </c>
      <c r="D6" s="6">
        <f>'Catalogue'!E3</f>
        <v>69.9</v>
      </c>
      <c r="E6" s="6">
        <f>ROUND(D6/(1+'Settings'!B6/100)-C6,2)</f>
        <v>44.97</v>
      </c>
      <c r="F6" s="7">
        <f>IF(D6&lt;=0,0,E6/(D6/(1+'Settings'!B6/100)) )</f>
        <v>0.7784</v>
      </c>
      <c r="G6" s="5" t="str">
        <f>IF(D6&lt;=0,"FIX: price must be positive",IF(E6&lt;0,"Below cost",IF(F6&lt;0.5,"Low margin","Healthy")))</f>
        <v>Healthy</v>
      </c>
    </row>
    <row r="7">
      <c r="A7" s="5" t="str">
        <f>'Catalogue'!B4</f>
        <v>SKU-B</v>
      </c>
      <c r="B7" s="5" t="str">
        <f>'Catalogue'!C4</f>
        <v>Barrier Balm</v>
      </c>
      <c r="C7" s="6">
        <f>'Catalogue'!D4</f>
        <v>3.9</v>
      </c>
      <c r="D7" s="6">
        <f>'Catalogue'!E4</f>
        <v>19</v>
      </c>
      <c r="E7" s="6">
        <f>ROUND(D7/(1+'Settings'!B6/100)-C7,2)</f>
        <v>11.8</v>
      </c>
      <c r="F7" s="7">
        <f>IF(D7&lt;=0,0,E7/(D7/(1+'Settings'!B6/100)) )</f>
        <v>0.7516</v>
      </c>
      <c r="G7" s="5" t="str">
        <f>IF(D7&lt;=0,"FIX: price must be positive",IF(E7&lt;0,"Below cost",IF(F7&lt;0.5,"Low margin","Healthy")))</f>
        <v>Healthy</v>
      </c>
    </row>
    <row r="8">
      <c r="A8" s="5" t="str">
        <f>'Catalogue'!B5</f>
        <v>SKU-C</v>
      </c>
      <c r="B8" s="5" t="str">
        <f>'Catalogue'!C5</f>
        <v>Contour Stone</v>
      </c>
      <c r="C8" s="6">
        <f>'Catalogue'!D5</f>
        <v>5.4</v>
      </c>
      <c r="D8" s="6">
        <f>'Catalogue'!E5</f>
        <v>29</v>
      </c>
      <c r="E8" s="6">
        <f>ROUND(D8/(1+'Settings'!B6/100)-C8,2)</f>
        <v>18.57</v>
      </c>
      <c r="F8" s="7">
        <f>IF(D8&lt;=0,0,E8/(D8/(1+'Settings'!B6/100)) )</f>
        <v>0.7747</v>
      </c>
      <c r="G8" s="5" t="str">
        <f>IF(D8&lt;=0,"FIX: price must be positive",IF(E8&lt;0,"Below cost",IF(F8&lt;0.5,"Low margin","Healthy")))</f>
        <v>Healthy</v>
      </c>
    </row>
    <row r="9">
      <c r="A9" s="5" t="str">
        <f>'Catalogue'!B6</f>
        <v>SKU-F</v>
      </c>
      <c r="B9" s="5" t="str">
        <f>'Catalogue'!C6</f>
        <v>Cloud Cleanser</v>
      </c>
      <c r="C9" s="6">
        <f>'Catalogue'!D6</f>
        <v>6.7</v>
      </c>
      <c r="D9" s="6">
        <f>'Catalogue'!E6</f>
        <v>34</v>
      </c>
      <c r="E9" s="6">
        <f>ROUND(D9/(1+'Settings'!B6/100)-C9,2)</f>
        <v>21.4</v>
      </c>
      <c r="F9" s="7">
        <f>IF(D9&lt;=0,0,E9/(D9/(1+'Settings'!B6/100)) )</f>
        <v>0.7616</v>
      </c>
      <c r="G9" s="5" t="str">
        <f>IF(D9&lt;=0,"FIX: price must be positive",IF(E9&lt;0,"Below cost",IF(F9&lt;0.5,"Low margin","Healthy")))</f>
        <v>Healthy</v>
      </c>
    </row>
    <row r="10">
      <c r="A10" s="5"/>
    </row>
    <row r="11">
      <c r="A11" s="1" t="inlineStr">
        <is>
          <t xml:space="preserve">Bundle price health</t>
        </is>
      </c>
    </row>
    <row r="12">
      <c r="A12" s="2" t="inlineStr">
        <is>
          <t xml:space="preserve">SKU</t>
        </is>
      </c>
      <c r="B12" s="2" t="inlineStr">
        <is>
          <t xml:space="preserve">Bundle</t>
        </is>
      </c>
      <c r="C12" s="2" t="inlineStr">
        <is>
          <t xml:space="preserve">Bundle price incl VAT</t>
        </is>
      </c>
      <c r="D12" s="2" t="inlineStr">
        <is>
          <t xml:space="preserve">Buy separately</t>
        </is>
      </c>
      <c r="E12" s="2" t="inlineStr">
        <is>
          <t xml:space="preserve">Customer saving</t>
        </is>
      </c>
      <c r="F12" s="2" t="inlineStr">
        <is>
          <t xml:space="preserve">Discount %</t>
        </is>
      </c>
      <c r="G12" s="2" t="inlineStr">
        <is>
          <t xml:space="preserve">Product cost ex VAT</t>
        </is>
      </c>
      <c r="H12" s="2" t="inlineStr">
        <is>
          <t xml:space="preserve">Contribution ex VAT</t>
        </is>
      </c>
      <c r="I12" s="2" t="inlineStr">
        <is>
          <t xml:space="preserve">Status</t>
        </is>
      </c>
    </row>
    <row r="13">
      <c r="A13" s="5" t="str">
        <f>'Catalogue'!B7</f>
        <v>SKU-D</v>
      </c>
      <c r="B13" s="5" t="str">
        <f>'Catalogue'!C7</f>
        <v>Daily Duo</v>
      </c>
      <c r="C13" s="6">
        <f>'Catalogue'!E7</f>
        <v>79</v>
      </c>
      <c r="D13" s="6">
        <f>'Catalogue'!I7</f>
        <v>88.9</v>
      </c>
      <c r="E13" s="6">
        <f>'Catalogue'!J7</f>
        <v>9.9</v>
      </c>
      <c r="F13" s="7">
        <f>'Catalogue'!N7</f>
        <v>0.1114</v>
      </c>
      <c r="G13" s="6">
        <f>'Catalogue'!D3+'Catalogue'!D4</f>
        <v>16.7</v>
      </c>
      <c r="H13" s="6">
        <f>ROUND(C13/(1+'Settings'!B6/100)-G13,2)</f>
        <v>48.59</v>
      </c>
      <c r="I13" s="5" t="str">
        <f>IF(C13&lt;=0,"FIX: price must be positive",IF(H13&lt;0,"Below cost",IF(C13&gt;=D13,"No customer saving","Healthy")))</f>
        <v>Healthy</v>
      </c>
    </row>
    <row r="14">
      <c r="A14" s="5" t="str">
        <f>'Catalogue'!B8</f>
        <v>SKU-E</v>
      </c>
      <c r="B14" s="5" t="str">
        <f>'Catalogue'!C8</f>
        <v>Complete Ritual</v>
      </c>
      <c r="C14" s="6">
        <f>'Catalogue'!E8</f>
        <v>89</v>
      </c>
      <c r="D14" s="6">
        <f>'Catalogue'!I8</f>
        <v>98.9</v>
      </c>
      <c r="E14" s="6">
        <f>'Catalogue'!J8</f>
        <v>9.9</v>
      </c>
      <c r="F14" s="7">
        <f>'Catalogue'!N8</f>
        <v>0.1001</v>
      </c>
      <c r="G14" s="6">
        <f>'Catalogue'!D3+'Catalogue'!D5</f>
        <v>18.200000000000003</v>
      </c>
      <c r="H14" s="6">
        <f>ROUND(C14/(1+'Settings'!B6/100)-G14,2)</f>
        <v>55.35</v>
      </c>
      <c r="I14" s="5" t="str">
        <f>IF(C14&lt;=0,"FIX: price must be positive",IF(H14&lt;0,"Below cost",IF(C14&gt;=D14,"No customer saving","Healthy")))</f>
        <v>Healthy</v>
      </c>
    </row>
    <row r="15">
      <c r="A15" s="5" t="str">
        <f>'Catalogue'!B9</f>
        <v>SKU-G</v>
      </c>
      <c r="B15" s="5" t="str">
        <f>'Catalogue'!C9</f>
        <v>Daily Reset Set</v>
      </c>
      <c r="C15" s="6">
        <f>'Catalogue'!E9</f>
        <v>69</v>
      </c>
      <c r="D15" s="6">
        <f>'Catalogue'!I9</f>
        <v>82</v>
      </c>
      <c r="E15" s="6">
        <f>'Catalogue'!J9</f>
        <v>13</v>
      </c>
      <c r="F15" s="7">
        <f>'Catalogue'!N9</f>
        <v>0.1585</v>
      </c>
      <c r="G15" s="6">
        <f>'Catalogue'!D4+'Catalogue'!D5+'Catalogue'!D6</f>
        <v>16.0</v>
      </c>
      <c r="H15" s="6">
        <f>ROUND(C15/(1+'Settings'!B6/100)-G15,2)</f>
        <v>41.02</v>
      </c>
      <c r="I15" s="5" t="str">
        <f>IF(C15&lt;=0,"FIX: price must be positive",IF(H15&lt;0,"Below cost",IF(C15&gt;=D15,"No customer saving","Healthy")))</f>
        <v>Healthy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4" customWidth="1"/>
    <col min="2" max="2" width="14" customWidth="1"/>
    <col min="3" max="3" width="10" customWidth="1"/>
    <col min="4" max="4" width="24" customWidth="1"/>
    <col min="5" max="5" width="20" customWidth="1"/>
    <col min="6" max="6" width="26" customWidth="1"/>
    <col min="7" max="7" width="12" customWidth="1"/>
    <col min="8" max="8" width="24" customWidth="1"/>
    <col min="9" max="9" width="18" customWidth="1"/>
    <col min="10" max="10" width="24" customWidth="1"/>
    <col min="11" max="11" width="18" customWidth="1"/>
    <col min="12" max="12" width="16" customWidth="1"/>
    <col min="13" max="13" width="20" customWidth="1"/>
    <col min="14" max="14" width="20" customWidth="1"/>
    <col min="15" max="15" width="24" customWidth="1"/>
  </cols>
  <sheetData>
    <row r="1">
      <c r="A1" s="1" t="inlineStr">
        <is>
          <t xml:space="preserve">Orders</t>
        </is>
      </c>
    </row>
    <row r="2">
      <c r="A2" s="2" t="inlineStr">
        <is>
          <t xml:space="preserve">Order ID</t>
        </is>
      </c>
      <c r="B2" s="2" t="inlineStr">
        <is>
          <t xml:space="preserve">Order date</t>
        </is>
      </c>
      <c r="C2" s="2" t="inlineStr">
        <is>
          <t xml:space="preserve">SKU</t>
        </is>
      </c>
      <c r="D2" s="2" t="inlineStr">
        <is>
          <t xml:space="preserve">Product title</t>
        </is>
      </c>
      <c r="E2" s="2" t="inlineStr">
        <is>
          <t xml:space="preserve">Unit price incl VAT</t>
        </is>
      </c>
      <c r="F2" s="2" t="inlineStr">
        <is>
          <t xml:space="preserve">Recorded unit price incl VAT</t>
        </is>
      </c>
      <c r="G2" s="2" t="inlineStr">
        <is>
          <t xml:space="preserve">Quantity</t>
        </is>
      </c>
      <c r="H2" s="2" t="inlineStr">
        <is>
          <t xml:space="preserve">Discount allocated incl VAT</t>
        </is>
      </c>
      <c r="I2" s="2" t="inlineStr">
        <is>
          <t xml:space="preserve">Revenue ex VAT</t>
        </is>
      </c>
      <c r="J2" s="2" t="inlineStr">
        <is>
          <t xml:space="preserve">Recorded discount incl VAT</t>
        </is>
      </c>
      <c r="K2" s="2" t="inlineStr">
        <is>
          <t xml:space="preserve">Taxable (TRUE/FALSE)</t>
        </is>
      </c>
      <c r="L2" s="2" t="inlineStr">
        <is>
          <t xml:space="preserve">Discount code</t>
        </is>
      </c>
      <c r="M2" s="2" t="inlineStr">
        <is>
          <t xml:space="preserve">Gross line sales</t>
        </is>
      </c>
      <c r="N2" s="2" t="inlineStr">
        <is>
          <t xml:space="preserve">First line of order</t>
        </is>
      </c>
      <c r="O2" s="2" t="inlineStr">
        <is>
          <t xml:space="preserve">Payment fee per order</t>
        </is>
      </c>
    </row>
    <row r="3">
      <c r="A3" s="3" t="inlineStr">
        <is>
          <t xml:space="preserve">#1001</t>
        </is>
      </c>
      <c r="B3" s="3" t="inlineStr">
        <is>
          <t xml:space="preserve">2025-10-22</t>
        </is>
      </c>
      <c r="C3" s="3" t="inlineStr">
        <is>
          <t xml:space="preserve">SKU-D</t>
        </is>
      </c>
      <c r="D3" s="3" t="inlineStr">
        <is>
          <t xml:space="preserve">Daily Duo</t>
        </is>
      </c>
      <c r="E3" s="6">
        <f>IF('Settings'!$B$11="Scenario",IFERROR(INDEX('Catalogue'!$E$3:$E$100,MATCH(C3,'Catalogue'!$B$3:$B$100,0)),F3),F3)</f>
        <v>79</v>
      </c>
      <c r="F3" s="8">
        <v>79</v>
      </c>
      <c r="G3" s="3">
        <v>1</v>
      </c>
      <c r="H3" s="6">
        <f>IF('Settings'!$B$11="Scenario",ROUND(E3*G3*IFERROR(SUMIF('Pricing &amp; promotions'!$A$6:$A$8,L3,'Pricing &amp; promotions'!$B$6:$B$8)/100,0),2),J3)</f>
        <v>7.9</v>
      </c>
      <c r="I3" s="6">
        <f>ROUND((E3*G3-H3)/IF(OR(K3=TRUE,K3="TRUE",K3="YES",K3=1),1+'Settings'!$B$6/100,1),2)</f>
        <v>58.76</v>
      </c>
      <c r="J3" s="8">
        <v>7.9</v>
      </c>
      <c r="K3" s="3" t="inlineStr">
        <is>
          <t xml:space="preserve">TRUE</t>
        </is>
      </c>
      <c r="L3" s="3" t="inlineStr">
        <is>
          <t xml:space="preserve">WELCOME10</t>
        </is>
      </c>
      <c r="M3" s="6">
        <f>ROUND(E3*G3-H3,2)</f>
        <v>71.1</v>
      </c>
      <c r="N3" s="5">
        <f>IF(COUNTIF($A$3:A3,A3)=1,1,0)</f>
        <v>1</v>
      </c>
      <c r="O3" s="6">
        <f>IF(N3=1,ROUND((SUMIFS($M$3:$M$1200,$A$3:$A$1200,A3)+'Settings'!$B$13)*'Settings'!$B$14/100+'Settings'!$B$15,2),0)</f>
        <v>2.56</v>
      </c>
    </row>
    <row r="4">
      <c r="A4" s="3" t="inlineStr">
        <is>
          <t xml:space="preserve">#1001</t>
        </is>
      </c>
      <c r="B4" s="3" t="inlineStr">
        <is>
          <t xml:space="preserve">2025-10-22</t>
        </is>
      </c>
      <c r="C4" s="3" t="inlineStr">
        <is>
          <t xml:space="preserve">SKU-E</t>
        </is>
      </c>
      <c r="D4" s="3" t="inlineStr">
        <is>
          <t xml:space="preserve">Complete Ritual</t>
        </is>
      </c>
      <c r="E4" s="6">
        <f>IF('Settings'!$B$11="Scenario",IFERROR(INDEX('Catalogue'!$E$3:$E$100,MATCH(C4,'Catalogue'!$B$3:$B$100,0)),F4),F4)</f>
        <v>89</v>
      </c>
      <c r="F4" s="8">
        <v>89</v>
      </c>
      <c r="G4" s="3">
        <v>1</v>
      </c>
      <c r="H4" s="6">
        <f>IF('Settings'!$B$11="Scenario",ROUND(E4*G4*IFERROR(SUMIF('Pricing &amp; promotions'!$A$6:$A$8,L4,'Pricing &amp; promotions'!$B$6:$B$8)/100,0),2),J4)</f>
        <v>8.9</v>
      </c>
      <c r="I4" s="6">
        <f>ROUND((E4*G4-H4)/IF(OR(K4=TRUE,K4="TRUE",K4="YES",K4=1),1+'Settings'!$B$6/100,1),2)</f>
        <v>66.2</v>
      </c>
      <c r="J4" s="8">
        <v>8.9</v>
      </c>
      <c r="K4" s="3" t="inlineStr">
        <is>
          <t xml:space="preserve">TRUE</t>
        </is>
      </c>
      <c r="L4" s="3" t="inlineStr">
        <is>
          <t xml:space="preserve">WELCOME10</t>
        </is>
      </c>
      <c r="M4" s="6">
        <f>ROUND(E4*G4-H4,2)</f>
        <v>80.1</v>
      </c>
      <c r="N4" s="5">
        <f>IF(COUNTIF($A$3:A4,A4)=1,1,0)</f>
        <v>0</v>
      </c>
      <c r="O4" s="6">
        <f>IF(N4=1,ROUND((SUMIFS($M$3:$M$1200,$A$3:$A$1200,A4)+'Settings'!$B$13)*'Settings'!$B$14/100+'Settings'!$B$15,2),0)</f>
        <v>0</v>
      </c>
    </row>
    <row r="5">
      <c r="A5" s="3" t="inlineStr">
        <is>
          <t xml:space="preserve">#1002</t>
        </is>
      </c>
      <c r="B5" s="3" t="inlineStr">
        <is>
          <t xml:space="preserve">2025-10-23</t>
        </is>
      </c>
      <c r="C5" s="3" t="inlineStr">
        <is>
          <t xml:space="preserve">SKU-A</t>
        </is>
      </c>
      <c r="D5" s="3" t="inlineStr">
        <is>
          <t xml:space="preserve">Renewal Serum</t>
        </is>
      </c>
      <c r="E5" s="6">
        <f>IF('Settings'!$B$11="Scenario",IFERROR(INDEX('Catalogue'!$E$3:$E$100,MATCH(C5,'Catalogue'!$B$3:$B$100,0)),F5),F5)</f>
        <v>69.9</v>
      </c>
      <c r="F5" s="8">
        <v>64</v>
      </c>
      <c r="G5" s="3">
        <v>1</v>
      </c>
      <c r="H5" s="6">
        <f>IF('Settings'!$B$11="Scenario",ROUND(E5*G5*IFERROR(SUMIF('Pricing &amp; promotions'!$A$6:$A$8,L5,'Pricing &amp; promotions'!$B$6:$B$8)/100,0),2),J5)</f>
        <v>10.49</v>
      </c>
      <c r="I5" s="6">
        <f>ROUND((E5*G5-H5)/IF(OR(K5=TRUE,K5="TRUE",K5="YES",K5=1),1+'Settings'!$B$6/100,1),2)</f>
        <v>49.1</v>
      </c>
      <c r="J5" s="8">
        <v>9.6</v>
      </c>
      <c r="K5" s="3" t="inlineStr">
        <is>
          <t xml:space="preserve">TRUE</t>
        </is>
      </c>
      <c r="L5" s="3" t="inlineStr">
        <is>
          <t xml:space="preserve">SUMMER15</t>
        </is>
      </c>
      <c r="M5" s="6">
        <f>ROUND(E5*G5-H5,2)</f>
        <v>59.41</v>
      </c>
      <c r="N5" s="5">
        <f>IF(COUNTIF($A$3:A5,A5)=1,1,0)</f>
        <v>1</v>
      </c>
      <c r="O5" s="6">
        <f>IF(N5=1,ROUND((SUMIFS($M$3:$M$1200,$A$3:$A$1200,A5)+'Settings'!$B$13)*'Settings'!$B$14/100+'Settings'!$B$15,2),0)</f>
        <v>1.19</v>
      </c>
    </row>
    <row r="6">
      <c r="A6" s="3" t="inlineStr">
        <is>
          <t xml:space="preserve">#1003</t>
        </is>
      </c>
      <c r="B6" s="3" t="inlineStr">
        <is>
          <t xml:space="preserve">2025-10-23</t>
        </is>
      </c>
      <c r="C6" s="3" t="inlineStr">
        <is>
          <t xml:space="preserve">SKU-F</t>
        </is>
      </c>
      <c r="D6" s="3" t="inlineStr">
        <is>
          <t xml:space="preserve">Cloud Cleanser</t>
        </is>
      </c>
      <c r="E6" s="6">
        <f>IF('Settings'!$B$11="Scenario",IFERROR(INDEX('Catalogue'!$E$3:$E$100,MATCH(C6,'Catalogue'!$B$3:$B$100,0)),F6),F6)</f>
        <v>34</v>
      </c>
      <c r="F6" s="8">
        <v>34</v>
      </c>
      <c r="G6" s="3">
        <v>1</v>
      </c>
      <c r="H6" s="6">
        <f>IF('Settings'!$B$11="Scenario",ROUND(E6*G6*IFERROR(SUMIF('Pricing &amp; promotions'!$A$6:$A$8,L6,'Pricing &amp; promotions'!$B$6:$B$8)/100,0),2),J6)</f>
        <v>0.0</v>
      </c>
      <c r="I6" s="6">
        <f>ROUND((E6*G6-H6)/IF(OR(K6=TRUE,K6="TRUE",K6="YES",K6=1),1+'Settings'!$B$6/100,1),2)</f>
        <v>28.1</v>
      </c>
      <c r="J6" s="8">
        <v>0.0</v>
      </c>
      <c r="K6" s="3" t="inlineStr">
        <is>
          <t xml:space="preserve">TRUE</t>
        </is>
      </c>
      <c r="L6" s="3"/>
      <c r="M6" s="6">
        <f>ROUND(E6*G6-H6,2)</f>
        <v>34.0</v>
      </c>
      <c r="N6" s="5">
        <f>IF(COUNTIF($A$3:A6,A6)=1,1,0)</f>
        <v>1</v>
      </c>
      <c r="O6" s="6">
        <f>IF(N6=1,ROUND((SUMIFS($M$3:$M$1200,$A$3:$A$1200,A6)+'Settings'!$B$13)*'Settings'!$B$14/100+'Settings'!$B$15,2),0)</f>
        <v>0.8</v>
      </c>
    </row>
    <row r="7">
      <c r="A7" s="3" t="inlineStr">
        <is>
          <t xml:space="preserve">#1004</t>
        </is>
      </c>
      <c r="B7" s="3" t="inlineStr">
        <is>
          <t xml:space="preserve">2025-10-23</t>
        </is>
      </c>
      <c r="C7" s="3" t="inlineStr">
        <is>
          <t xml:space="preserve">SKU-A</t>
        </is>
      </c>
      <c r="D7" s="3" t="inlineStr">
        <is>
          <t xml:space="preserve">Renewal Serum</t>
        </is>
      </c>
      <c r="E7" s="6">
        <f>IF('Settings'!$B$11="Scenario",IFERROR(INDEX('Catalogue'!$E$3:$E$100,MATCH(C7,'Catalogue'!$B$3:$B$100,0)),F7),F7)</f>
        <v>69.9</v>
      </c>
      <c r="F7" s="8">
        <v>64</v>
      </c>
      <c r="G7" s="3">
        <v>1</v>
      </c>
      <c r="H7" s="6">
        <f>IF('Settings'!$B$11="Scenario",ROUND(E7*G7*IFERROR(SUMIF('Pricing &amp; promotions'!$A$6:$A$8,L7,'Pricing &amp; promotions'!$B$6:$B$8)/100,0),2),J7)</f>
        <v>6.99</v>
      </c>
      <c r="I7" s="6">
        <f>ROUND((E7*G7-H7)/IF(OR(K7=TRUE,K7="TRUE",K7="YES",K7=1),1+'Settings'!$B$6/100,1),2)</f>
        <v>51.99</v>
      </c>
      <c r="J7" s="8">
        <v>6.4</v>
      </c>
      <c r="K7" s="3" t="inlineStr">
        <is>
          <t xml:space="preserve">TRUE</t>
        </is>
      </c>
      <c r="L7" s="3" t="inlineStr">
        <is>
          <t xml:space="preserve">WELCOME10</t>
        </is>
      </c>
      <c r="M7" s="6">
        <f>ROUND(E7*G7-H7,2)</f>
        <v>62.91</v>
      </c>
      <c r="N7" s="5">
        <f>IF(COUNTIF($A$3:A7,A7)=1,1,0)</f>
        <v>1</v>
      </c>
      <c r="O7" s="6">
        <f>IF(N7=1,ROUND((SUMIFS($M$3:$M$1200,$A$3:$A$1200,A7)+'Settings'!$B$13)*'Settings'!$B$14/100+'Settings'!$B$15,2),0)</f>
        <v>1.24</v>
      </c>
    </row>
    <row r="8">
      <c r="A8" s="3" t="inlineStr">
        <is>
          <t xml:space="preserve">#1005</t>
        </is>
      </c>
      <c r="B8" s="3" t="inlineStr">
        <is>
          <t xml:space="preserve">2025-10-24</t>
        </is>
      </c>
      <c r="C8" s="3" t="inlineStr">
        <is>
          <t xml:space="preserve">SKU-D</t>
        </is>
      </c>
      <c r="D8" s="3" t="inlineStr">
        <is>
          <t xml:space="preserve">Daily Duo</t>
        </is>
      </c>
      <c r="E8" s="6">
        <f>IF('Settings'!$B$11="Scenario",IFERROR(INDEX('Catalogue'!$E$3:$E$100,MATCH(C8,'Catalogue'!$B$3:$B$100,0)),F8),F8)</f>
        <v>79</v>
      </c>
      <c r="F8" s="8">
        <v>79</v>
      </c>
      <c r="G8" s="3">
        <v>1</v>
      </c>
      <c r="H8" s="6">
        <f>IF('Settings'!$B$11="Scenario",ROUND(E8*G8*IFERROR(SUMIF('Pricing &amp; promotions'!$A$6:$A$8,L8,'Pricing &amp; promotions'!$B$6:$B$8)/100,0),2),J8)</f>
        <v>0.0</v>
      </c>
      <c r="I8" s="6">
        <f>ROUND((E8*G8-H8)/IF(OR(K8=TRUE,K8="TRUE",K8="YES",K8=1),1+'Settings'!$B$6/100,1),2)</f>
        <v>65.29</v>
      </c>
      <c r="J8" s="8">
        <v>0.0</v>
      </c>
      <c r="K8" s="3" t="inlineStr">
        <is>
          <t xml:space="preserve">TRUE</t>
        </is>
      </c>
      <c r="L8" s="3"/>
      <c r="M8" s="6">
        <f>ROUND(E8*G8-H8,2)</f>
        <v>79.0</v>
      </c>
      <c r="N8" s="5">
        <f>IF(COUNTIF($A$3:A8,A8)=1,1,0)</f>
        <v>1</v>
      </c>
      <c r="O8" s="6">
        <f>IF(N8=1,ROUND((SUMIFS($M$3:$M$1200,$A$3:$A$1200,A8)+'Settings'!$B$13)*'Settings'!$B$14/100+'Settings'!$B$15,2),0)</f>
        <v>1.48</v>
      </c>
    </row>
    <row r="9">
      <c r="A9" s="3" t="inlineStr">
        <is>
          <t xml:space="preserve">#1006</t>
        </is>
      </c>
      <c r="B9" s="3" t="inlineStr">
        <is>
          <t xml:space="preserve">2025-10-24</t>
        </is>
      </c>
      <c r="C9" s="3" t="inlineStr">
        <is>
          <t xml:space="preserve">SKU-E</t>
        </is>
      </c>
      <c r="D9" s="3" t="inlineStr">
        <is>
          <t xml:space="preserve">Complete Ritual</t>
        </is>
      </c>
      <c r="E9" s="6">
        <f>IF('Settings'!$B$11="Scenario",IFERROR(INDEX('Catalogue'!$E$3:$E$100,MATCH(C9,'Catalogue'!$B$3:$B$100,0)),F9),F9)</f>
        <v>89</v>
      </c>
      <c r="F9" s="8">
        <v>89</v>
      </c>
      <c r="G9" s="3">
        <v>1</v>
      </c>
      <c r="H9" s="6">
        <f>IF('Settings'!$B$11="Scenario",ROUND(E9*G9*IFERROR(SUMIF('Pricing &amp; promotions'!$A$6:$A$8,L9,'Pricing &amp; promotions'!$B$6:$B$8)/100,0),2),J9)</f>
        <v>0.0</v>
      </c>
      <c r="I9" s="6">
        <f>ROUND((E9*G9-H9)/IF(OR(K9=TRUE,K9="TRUE",K9="YES",K9=1),1+'Settings'!$B$6/100,1),2)</f>
        <v>73.55</v>
      </c>
      <c r="J9" s="8">
        <v>0.0</v>
      </c>
      <c r="K9" s="3" t="inlineStr">
        <is>
          <t xml:space="preserve">TRUE</t>
        </is>
      </c>
      <c r="L9" s="3"/>
      <c r="M9" s="6">
        <f>ROUND(E9*G9-H9,2)</f>
        <v>89.0</v>
      </c>
      <c r="N9" s="5">
        <f>IF(COUNTIF($A$3:A9,A9)=1,1,0)</f>
        <v>1</v>
      </c>
      <c r="O9" s="6">
        <f>IF(N9=1,ROUND((SUMIFS($M$3:$M$1200,$A$3:$A$1200,A9)+'Settings'!$B$13)*'Settings'!$B$14/100+'Settings'!$B$15,2),0)</f>
        <v>1.63</v>
      </c>
    </row>
    <row r="10">
      <c r="A10" s="3" t="inlineStr">
        <is>
          <t xml:space="preserve">#1007</t>
        </is>
      </c>
      <c r="B10" s="3" t="inlineStr">
        <is>
          <t xml:space="preserve">2025-10-24</t>
        </is>
      </c>
      <c r="C10" s="3" t="inlineStr">
        <is>
          <t xml:space="preserve">SKU-A</t>
        </is>
      </c>
      <c r="D10" s="3" t="inlineStr">
        <is>
          <t xml:space="preserve">Renewal Serum</t>
        </is>
      </c>
      <c r="E10" s="6">
        <f>IF('Settings'!$B$11="Scenario",IFERROR(INDEX('Catalogue'!$E$3:$E$100,MATCH(C10,'Catalogue'!$B$3:$B$100,0)),F10),F10)</f>
        <v>69.9</v>
      </c>
      <c r="F10" s="8">
        <v>64</v>
      </c>
      <c r="G10" s="3">
        <v>2</v>
      </c>
      <c r="H10" s="6">
        <f>IF('Settings'!$B$11="Scenario",ROUND(E10*G10*IFERROR(SUMIF('Pricing &amp; promotions'!$A$6:$A$8,L10,'Pricing &amp; promotions'!$B$6:$B$8)/100,0),2),J10)</f>
        <v>0.0</v>
      </c>
      <c r="I10" s="6">
        <f>ROUND((E10*G10-H10)/IF(OR(K10=TRUE,K10="TRUE",K10="YES",K10=1),1+'Settings'!$B$6/100,1),2)</f>
        <v>115.54</v>
      </c>
      <c r="J10" s="8">
        <v>0.0</v>
      </c>
      <c r="K10" s="3" t="inlineStr">
        <is>
          <t xml:space="preserve">TRUE</t>
        </is>
      </c>
      <c r="L10" s="3"/>
      <c r="M10" s="6">
        <f>ROUND(E10*G10-H10,2)</f>
        <v>139.8</v>
      </c>
      <c r="N10" s="5">
        <f>IF(COUNTIF($A$3:A10,A10)=1,1,0)</f>
        <v>1</v>
      </c>
      <c r="O10" s="6">
        <f>IF(N10=1,ROUND((SUMIFS($M$3:$M$1200,$A$3:$A$1200,A10)+'Settings'!$B$13)*'Settings'!$B$14/100+'Settings'!$B$15,2),0)</f>
        <v>2.39</v>
      </c>
    </row>
    <row r="11">
      <c r="A11" s="3" t="inlineStr">
        <is>
          <t xml:space="preserve">#1008</t>
        </is>
      </c>
      <c r="B11" s="3" t="inlineStr">
        <is>
          <t xml:space="preserve">2025-10-25</t>
        </is>
      </c>
      <c r="C11" s="3" t="inlineStr">
        <is>
          <t xml:space="preserve">SKU-D</t>
        </is>
      </c>
      <c r="D11" s="3" t="inlineStr">
        <is>
          <t xml:space="preserve">Daily Duo</t>
        </is>
      </c>
      <c r="E11" s="6">
        <f>IF('Settings'!$B$11="Scenario",IFERROR(INDEX('Catalogue'!$E$3:$E$100,MATCH(C11,'Catalogue'!$B$3:$B$100,0)),F11),F11)</f>
        <v>79</v>
      </c>
      <c r="F11" s="8">
        <v>79</v>
      </c>
      <c r="G11" s="3">
        <v>1</v>
      </c>
      <c r="H11" s="6">
        <f>IF('Settings'!$B$11="Scenario",ROUND(E11*G11*IFERROR(SUMIF('Pricing &amp; promotions'!$A$6:$A$8,L11,'Pricing &amp; promotions'!$B$6:$B$8)/100,0),2),J11)</f>
        <v>7.9</v>
      </c>
      <c r="I11" s="6">
        <f>ROUND((E11*G11-H11)/IF(OR(K11=TRUE,K11="TRUE",K11="YES",K11=1),1+'Settings'!$B$6/100,1),2)</f>
        <v>58.76</v>
      </c>
      <c r="J11" s="8">
        <v>7.9</v>
      </c>
      <c r="K11" s="3" t="inlineStr">
        <is>
          <t xml:space="preserve">TRUE</t>
        </is>
      </c>
      <c r="L11" s="3" t="inlineStr">
        <is>
          <t xml:space="preserve">WELCOME10</t>
        </is>
      </c>
      <c r="M11" s="6">
        <f>ROUND(E11*G11-H11,2)</f>
        <v>71.1</v>
      </c>
      <c r="N11" s="5">
        <f>IF(COUNTIF($A$3:A11,A11)=1,1,0)</f>
        <v>1</v>
      </c>
      <c r="O11" s="6">
        <f>IF(N11=1,ROUND((SUMIFS($M$3:$M$1200,$A$3:$A$1200,A11)+'Settings'!$B$13)*'Settings'!$B$14/100+'Settings'!$B$15,2),0)</f>
        <v>2.3</v>
      </c>
    </row>
    <row r="12">
      <c r="A12" s="3" t="inlineStr">
        <is>
          <t xml:space="preserve">#1008</t>
        </is>
      </c>
      <c r="B12" s="3" t="inlineStr">
        <is>
          <t xml:space="preserve">2025-10-25</t>
        </is>
      </c>
      <c r="C12" s="3" t="inlineStr">
        <is>
          <t xml:space="preserve">SKU-A</t>
        </is>
      </c>
      <c r="D12" s="3" t="inlineStr">
        <is>
          <t xml:space="preserve">Renewal Serum</t>
        </is>
      </c>
      <c r="E12" s="6">
        <f>IF('Settings'!$B$11="Scenario",IFERROR(INDEX('Catalogue'!$E$3:$E$100,MATCH(C12,'Catalogue'!$B$3:$B$100,0)),F12),F12)</f>
        <v>69.9</v>
      </c>
      <c r="F12" s="8">
        <v>64</v>
      </c>
      <c r="G12" s="3">
        <v>1</v>
      </c>
      <c r="H12" s="6">
        <f>IF('Settings'!$B$11="Scenario",ROUND(E12*G12*IFERROR(SUMIF('Pricing &amp; promotions'!$A$6:$A$8,L12,'Pricing &amp; promotions'!$B$6:$B$8)/100,0),2),J12)</f>
        <v>6.99</v>
      </c>
      <c r="I12" s="6">
        <f>ROUND((E12*G12-H12)/IF(OR(K12=TRUE,K12="TRUE",K12="YES",K12=1),1+'Settings'!$B$6/100,1),2)</f>
        <v>51.99</v>
      </c>
      <c r="J12" s="8">
        <v>6.4</v>
      </c>
      <c r="K12" s="3" t="inlineStr">
        <is>
          <t xml:space="preserve">TRUE</t>
        </is>
      </c>
      <c r="L12" s="3" t="inlineStr">
        <is>
          <t xml:space="preserve">WELCOME10</t>
        </is>
      </c>
      <c r="M12" s="6">
        <f>ROUND(E12*G12-H12,2)</f>
        <v>62.91</v>
      </c>
      <c r="N12" s="5">
        <f>IF(COUNTIF($A$3:A12,A12)=1,1,0)</f>
        <v>0</v>
      </c>
      <c r="O12" s="6">
        <f>IF(N12=1,ROUND((SUMIFS($M$3:$M$1200,$A$3:$A$1200,A12)+'Settings'!$B$13)*'Settings'!$B$14/100+'Settings'!$B$15,2),0)</f>
        <v>0</v>
      </c>
    </row>
    <row r="13">
      <c r="A13" s="3" t="inlineStr">
        <is>
          <t xml:space="preserve">#1009</t>
        </is>
      </c>
      <c r="B13" s="3" t="inlineStr">
        <is>
          <t xml:space="preserve">2025-10-25</t>
        </is>
      </c>
      <c r="C13" s="3" t="inlineStr">
        <is>
          <t xml:space="preserve">SKU-F</t>
        </is>
      </c>
      <c r="D13" s="3" t="inlineStr">
        <is>
          <t xml:space="preserve">Cloud Cleanser</t>
        </is>
      </c>
      <c r="E13" s="6">
        <f>IF('Settings'!$B$11="Scenario",IFERROR(INDEX('Catalogue'!$E$3:$E$100,MATCH(C13,'Catalogue'!$B$3:$B$100,0)),F13),F13)</f>
        <v>34</v>
      </c>
      <c r="F13" s="8">
        <v>34</v>
      </c>
      <c r="G13" s="3">
        <v>2</v>
      </c>
      <c r="H13" s="6">
        <f>IF('Settings'!$B$11="Scenario",ROUND(E13*G13*IFERROR(SUMIF('Pricing &amp; promotions'!$A$6:$A$8,L13,'Pricing &amp; promotions'!$B$6:$B$8)/100,0),2),J13)</f>
        <v>6.8</v>
      </c>
      <c r="I13" s="6">
        <f>ROUND((E13*G13-H13)/IF(OR(K13=TRUE,K13="TRUE",K13="YES",K13=1),1+'Settings'!$B$6/100,1),2)</f>
        <v>50.58</v>
      </c>
      <c r="J13" s="8">
        <v>6.8</v>
      </c>
      <c r="K13" s="3" t="inlineStr">
        <is>
          <t xml:space="preserve">TRUE</t>
        </is>
      </c>
      <c r="L13" s="3" t="inlineStr">
        <is>
          <t xml:space="preserve">WELCOME10</t>
        </is>
      </c>
      <c r="M13" s="6">
        <f>ROUND(E13*G13-H13,2)</f>
        <v>61.2</v>
      </c>
      <c r="N13" s="5">
        <f>IF(COUNTIF($A$3:A13,A13)=1,1,0)</f>
        <v>1</v>
      </c>
      <c r="O13" s="6">
        <f>IF(N13=1,ROUND((SUMIFS($M$3:$M$1200,$A$3:$A$1200,A13)+'Settings'!$B$13)*'Settings'!$B$14/100+'Settings'!$B$15,2),0)</f>
        <v>1.47</v>
      </c>
    </row>
    <row r="14">
      <c r="A14" s="3" t="inlineStr">
        <is>
          <t xml:space="preserve">#1009</t>
        </is>
      </c>
      <c r="B14" s="3" t="inlineStr">
        <is>
          <t xml:space="preserve">2025-10-25</t>
        </is>
      </c>
      <c r="C14" s="3" t="inlineStr">
        <is>
          <t xml:space="preserve">SKU-B</t>
        </is>
      </c>
      <c r="D14" s="3" t="inlineStr">
        <is>
          <t xml:space="preserve">Barrier Balm</t>
        </is>
      </c>
      <c r="E14" s="6">
        <f>IF('Settings'!$B$11="Scenario",IFERROR(INDEX('Catalogue'!$E$3:$E$100,MATCH(C14,'Catalogue'!$B$3:$B$100,0)),F14),F14)</f>
        <v>19</v>
      </c>
      <c r="F14" s="8">
        <v>18</v>
      </c>
      <c r="G14" s="3">
        <v>1</v>
      </c>
      <c r="H14" s="6">
        <f>IF('Settings'!$B$11="Scenario",ROUND(E14*G14*IFERROR(SUMIF('Pricing &amp; promotions'!$A$6:$A$8,L14,'Pricing &amp; promotions'!$B$6:$B$8)/100,0),2),J14)</f>
        <v>1.9</v>
      </c>
      <c r="I14" s="6">
        <f>ROUND((E14*G14-H14)/IF(OR(K14=TRUE,K14="TRUE",K14="YES",K14=1),1+'Settings'!$B$6/100,1),2)</f>
        <v>14.13</v>
      </c>
      <c r="J14" s="8">
        <v>1.8</v>
      </c>
      <c r="K14" s="3" t="inlineStr">
        <is>
          <t xml:space="preserve">TRUE</t>
        </is>
      </c>
      <c r="L14" s="3" t="inlineStr">
        <is>
          <t xml:space="preserve">WELCOME10</t>
        </is>
      </c>
      <c r="M14" s="6">
        <f>ROUND(E14*G14-H14,2)</f>
        <v>17.1</v>
      </c>
      <c r="N14" s="5">
        <f>IF(COUNTIF($A$3:A14,A14)=1,1,0)</f>
        <v>0</v>
      </c>
      <c r="O14" s="6">
        <f>IF(N14=1,ROUND((SUMIFS($M$3:$M$1200,$A$3:$A$1200,A14)+'Settings'!$B$13)*'Settings'!$B$14/100+'Settings'!$B$15,2),0)</f>
        <v>0</v>
      </c>
    </row>
    <row r="15">
      <c r="A15" s="3" t="inlineStr">
        <is>
          <t xml:space="preserve">#1010</t>
        </is>
      </c>
      <c r="B15" s="3" t="inlineStr">
        <is>
          <t xml:space="preserve">2025-10-25</t>
        </is>
      </c>
      <c r="C15" s="3" t="inlineStr">
        <is>
          <t xml:space="preserve">SKU-A</t>
        </is>
      </c>
      <c r="D15" s="3" t="inlineStr">
        <is>
          <t xml:space="preserve">Renewal Serum</t>
        </is>
      </c>
      <c r="E15" s="6">
        <f>IF('Settings'!$B$11="Scenario",IFERROR(INDEX('Catalogue'!$E$3:$E$100,MATCH(C15,'Catalogue'!$B$3:$B$100,0)),F15),F15)</f>
        <v>69.9</v>
      </c>
      <c r="F15" s="8">
        <v>64</v>
      </c>
      <c r="G15" s="3">
        <v>1</v>
      </c>
      <c r="H15" s="6">
        <f>IF('Settings'!$B$11="Scenario",ROUND(E15*G15*IFERROR(SUMIF('Pricing &amp; promotions'!$A$6:$A$8,L15,'Pricing &amp; promotions'!$B$6:$B$8)/100,0),2),J15)</f>
        <v>0.0</v>
      </c>
      <c r="I15" s="6">
        <f>ROUND((E15*G15-H15)/IF(OR(K15=TRUE,K15="TRUE",K15="YES",K15=1),1+'Settings'!$B$6/100,1),2)</f>
        <v>57.77</v>
      </c>
      <c r="J15" s="8">
        <v>0.0</v>
      </c>
      <c r="K15" s="3" t="inlineStr">
        <is>
          <t xml:space="preserve">TRUE</t>
        </is>
      </c>
      <c r="L15" s="3"/>
      <c r="M15" s="6">
        <f>ROUND(E15*G15-H15,2)</f>
        <v>69.9</v>
      </c>
      <c r="N15" s="5">
        <f>IF(COUNTIF($A$3:A15,A15)=1,1,0)</f>
        <v>1</v>
      </c>
      <c r="O15" s="6">
        <f>IF(N15=1,ROUND((SUMIFS($M$3:$M$1200,$A$3:$A$1200,A15)+'Settings'!$B$13)*'Settings'!$B$14/100+'Settings'!$B$15,2),0)</f>
        <v>2.68</v>
      </c>
    </row>
    <row r="16">
      <c r="A16" s="3" t="inlineStr">
        <is>
          <t xml:space="preserve">#1010</t>
        </is>
      </c>
      <c r="B16" s="3" t="inlineStr">
        <is>
          <t xml:space="preserve">2025-10-25</t>
        </is>
      </c>
      <c r="C16" s="3" t="inlineStr">
        <is>
          <t xml:space="preserve">SKU-E</t>
        </is>
      </c>
      <c r="D16" s="3" t="inlineStr">
        <is>
          <t xml:space="preserve">Complete Ritual</t>
        </is>
      </c>
      <c r="E16" s="6">
        <f>IF('Settings'!$B$11="Scenario",IFERROR(INDEX('Catalogue'!$E$3:$E$100,MATCH(C16,'Catalogue'!$B$3:$B$100,0)),F16),F16)</f>
        <v>89</v>
      </c>
      <c r="F16" s="8">
        <v>89</v>
      </c>
      <c r="G16" s="3">
        <v>1</v>
      </c>
      <c r="H16" s="6">
        <f>IF('Settings'!$B$11="Scenario",ROUND(E16*G16*IFERROR(SUMIF('Pricing &amp; promotions'!$A$6:$A$8,L16,'Pricing &amp; promotions'!$B$6:$B$8)/100,0),2),J16)</f>
        <v>0.0</v>
      </c>
      <c r="I16" s="6">
        <f>ROUND((E16*G16-H16)/IF(OR(K16=TRUE,K16="TRUE",K16="YES",K16=1),1+'Settings'!$B$6/100,1),2)</f>
        <v>73.55</v>
      </c>
      <c r="J16" s="8">
        <v>0.0</v>
      </c>
      <c r="K16" s="3" t="inlineStr">
        <is>
          <t xml:space="preserve">TRUE</t>
        </is>
      </c>
      <c r="L16" s="3"/>
      <c r="M16" s="6">
        <f>ROUND(E16*G16-H16,2)</f>
        <v>89.0</v>
      </c>
      <c r="N16" s="5">
        <f>IF(COUNTIF($A$3:A16,A16)=1,1,0)</f>
        <v>0</v>
      </c>
      <c r="O16" s="6">
        <f>IF(N16=1,ROUND((SUMIFS($M$3:$M$1200,$A$3:$A$1200,A16)+'Settings'!$B$13)*'Settings'!$B$14/100+'Settings'!$B$15,2),0)</f>
        <v>0</v>
      </c>
    </row>
    <row r="17">
      <c r="A17" s="3" t="inlineStr">
        <is>
          <t xml:space="preserve">#1011</t>
        </is>
      </c>
      <c r="B17" s="3" t="inlineStr">
        <is>
          <t xml:space="preserve">2025-10-26</t>
        </is>
      </c>
      <c r="C17" s="3" t="inlineStr">
        <is>
          <t xml:space="preserve">SKU-A</t>
        </is>
      </c>
      <c r="D17" s="3" t="inlineStr">
        <is>
          <t xml:space="preserve">Renewal Serum</t>
        </is>
      </c>
      <c r="E17" s="6">
        <f>IF('Settings'!$B$11="Scenario",IFERROR(INDEX('Catalogue'!$E$3:$E$100,MATCH(C17,'Catalogue'!$B$3:$B$100,0)),F17),F17)</f>
        <v>69.9</v>
      </c>
      <c r="F17" s="8">
        <v>64</v>
      </c>
      <c r="G17" s="3">
        <v>1</v>
      </c>
      <c r="H17" s="6">
        <f>IF('Settings'!$B$11="Scenario",ROUND(E17*G17*IFERROR(SUMIF('Pricing &amp; promotions'!$A$6:$A$8,L17,'Pricing &amp; promotions'!$B$6:$B$8)/100,0),2),J17)</f>
        <v>10.49</v>
      </c>
      <c r="I17" s="6">
        <f>ROUND((E17*G17-H17)/IF(OR(K17=TRUE,K17="TRUE",K17="YES",K17=1),1+'Settings'!$B$6/100,1),2)</f>
        <v>49.1</v>
      </c>
      <c r="J17" s="8">
        <v>9.6</v>
      </c>
      <c r="K17" s="3" t="inlineStr">
        <is>
          <t xml:space="preserve">TRUE</t>
        </is>
      </c>
      <c r="L17" s="3" t="inlineStr">
        <is>
          <t xml:space="preserve">SUMMER15</t>
        </is>
      </c>
      <c r="M17" s="6">
        <f>ROUND(E17*G17-H17,2)</f>
        <v>59.41</v>
      </c>
      <c r="N17" s="5">
        <f>IF(COUNTIF($A$3:A17,A17)=1,1,0)</f>
        <v>1</v>
      </c>
      <c r="O17" s="6">
        <f>IF(N17=1,ROUND((SUMIFS($M$3:$M$1200,$A$3:$A$1200,A17)+'Settings'!$B$13)*'Settings'!$B$14/100+'Settings'!$B$15,2),0)</f>
        <v>2.07</v>
      </c>
    </row>
    <row r="18">
      <c r="A18" s="3" t="inlineStr">
        <is>
          <t xml:space="preserve">#1011</t>
        </is>
      </c>
      <c r="B18" s="3" t="inlineStr">
        <is>
          <t xml:space="preserve">2025-10-26</t>
        </is>
      </c>
      <c r="C18" s="3" t="inlineStr">
        <is>
          <t xml:space="preserve">SKU-G</t>
        </is>
      </c>
      <c r="D18" s="3" t="inlineStr">
        <is>
          <t xml:space="preserve">Daily Reset Set</t>
        </is>
      </c>
      <c r="E18" s="6">
        <f>IF('Settings'!$B$11="Scenario",IFERROR(INDEX('Catalogue'!$E$3:$E$100,MATCH(C18,'Catalogue'!$B$3:$B$100,0)),F18),F18)</f>
        <v>69</v>
      </c>
      <c r="F18" s="8">
        <v>69</v>
      </c>
      <c r="G18" s="3">
        <v>1</v>
      </c>
      <c r="H18" s="6">
        <f>IF('Settings'!$B$11="Scenario",ROUND(E18*G18*IFERROR(SUMIF('Pricing &amp; promotions'!$A$6:$A$8,L18,'Pricing &amp; promotions'!$B$6:$B$8)/100,0),2),J18)</f>
        <v>10.35</v>
      </c>
      <c r="I18" s="6">
        <f>ROUND((E18*G18-H18)/IF(OR(K18=TRUE,K18="TRUE",K18="YES",K18=1),1+'Settings'!$B$6/100,1),2)</f>
        <v>48.47</v>
      </c>
      <c r="J18" s="8">
        <v>10.35</v>
      </c>
      <c r="K18" s="3" t="inlineStr">
        <is>
          <t xml:space="preserve">TRUE</t>
        </is>
      </c>
      <c r="L18" s="3" t="inlineStr">
        <is>
          <t xml:space="preserve">SUMMER15</t>
        </is>
      </c>
      <c r="M18" s="6">
        <f>ROUND(E18*G18-H18,2)</f>
        <v>58.65</v>
      </c>
      <c r="N18" s="5">
        <f>IF(COUNTIF($A$3:A18,A18)=1,1,0)</f>
        <v>0</v>
      </c>
      <c r="O18" s="6">
        <f>IF(N18=1,ROUND((SUMIFS($M$3:$M$1200,$A$3:$A$1200,A18)+'Settings'!$B$13)*'Settings'!$B$14/100+'Settings'!$B$15,2),0)</f>
        <v>0</v>
      </c>
    </row>
    <row r="19">
      <c r="A19" s="3" t="inlineStr">
        <is>
          <t xml:space="preserve">#1012</t>
        </is>
      </c>
      <c r="B19" s="3" t="inlineStr">
        <is>
          <t xml:space="preserve">2025-10-27</t>
        </is>
      </c>
      <c r="C19" s="3" t="inlineStr">
        <is>
          <t xml:space="preserve">SKU-E</t>
        </is>
      </c>
      <c r="D19" s="3" t="inlineStr">
        <is>
          <t xml:space="preserve">Complete Ritual</t>
        </is>
      </c>
      <c r="E19" s="6">
        <f>IF('Settings'!$B$11="Scenario",IFERROR(INDEX('Catalogue'!$E$3:$E$100,MATCH(C19,'Catalogue'!$B$3:$B$100,0)),F19),F19)</f>
        <v>89</v>
      </c>
      <c r="F19" s="8">
        <v>89</v>
      </c>
      <c r="G19" s="3">
        <v>1</v>
      </c>
      <c r="H19" s="6">
        <f>IF('Settings'!$B$11="Scenario",ROUND(E19*G19*IFERROR(SUMIF('Pricing &amp; promotions'!$A$6:$A$8,L19,'Pricing &amp; promotions'!$B$6:$B$8)/100,0),2),J19)</f>
        <v>0.0</v>
      </c>
      <c r="I19" s="6">
        <f>ROUND((E19*G19-H19)/IF(OR(K19=TRUE,K19="TRUE",K19="YES",K19=1),1+'Settings'!$B$6/100,1),2)</f>
        <v>73.55</v>
      </c>
      <c r="J19" s="8">
        <v>0.0</v>
      </c>
      <c r="K19" s="3" t="inlineStr">
        <is>
          <t xml:space="preserve">TRUE</t>
        </is>
      </c>
      <c r="L19" s="3"/>
      <c r="M19" s="6">
        <f>ROUND(E19*G19-H19,2)</f>
        <v>89.0</v>
      </c>
      <c r="N19" s="5">
        <f>IF(COUNTIF($A$3:A19,A19)=1,1,0)</f>
        <v>1</v>
      </c>
      <c r="O19" s="6">
        <f>IF(N19=1,ROUND((SUMIFS($M$3:$M$1200,$A$3:$A$1200,A19)+'Settings'!$B$13)*'Settings'!$B$14/100+'Settings'!$B$15,2),0)</f>
        <v>2.68</v>
      </c>
    </row>
    <row r="20">
      <c r="A20" s="3" t="inlineStr">
        <is>
          <t xml:space="preserve">#1012</t>
        </is>
      </c>
      <c r="B20" s="3" t="inlineStr">
        <is>
          <t xml:space="preserve">2025-10-27</t>
        </is>
      </c>
      <c r="C20" s="3" t="inlineStr">
        <is>
          <t xml:space="preserve">SKU-A</t>
        </is>
      </c>
      <c r="D20" s="3" t="inlineStr">
        <is>
          <t xml:space="preserve">Renewal Serum</t>
        </is>
      </c>
      <c r="E20" s="6">
        <f>IF('Settings'!$B$11="Scenario",IFERROR(INDEX('Catalogue'!$E$3:$E$100,MATCH(C20,'Catalogue'!$B$3:$B$100,0)),F20),F20)</f>
        <v>69.9</v>
      </c>
      <c r="F20" s="8">
        <v>64</v>
      </c>
      <c r="G20" s="3">
        <v>1</v>
      </c>
      <c r="H20" s="6">
        <f>IF('Settings'!$B$11="Scenario",ROUND(E20*G20*IFERROR(SUMIF('Pricing &amp; promotions'!$A$6:$A$8,L20,'Pricing &amp; promotions'!$B$6:$B$8)/100,0),2),J20)</f>
        <v>0.0</v>
      </c>
      <c r="I20" s="6">
        <f>ROUND((E20*G20-H20)/IF(OR(K20=TRUE,K20="TRUE",K20="YES",K20=1),1+'Settings'!$B$6/100,1),2)</f>
        <v>57.77</v>
      </c>
      <c r="J20" s="8">
        <v>0.0</v>
      </c>
      <c r="K20" s="3" t="inlineStr">
        <is>
          <t xml:space="preserve">TRUE</t>
        </is>
      </c>
      <c r="L20" s="3"/>
      <c r="M20" s="6">
        <f>ROUND(E20*G20-H20,2)</f>
        <v>69.9</v>
      </c>
      <c r="N20" s="5">
        <f>IF(COUNTIF($A$3:A20,A20)=1,1,0)</f>
        <v>0</v>
      </c>
      <c r="O20" s="6">
        <f>IF(N20=1,ROUND((SUMIFS($M$3:$M$1200,$A$3:$A$1200,A20)+'Settings'!$B$13)*'Settings'!$B$14/100+'Settings'!$B$15,2),0)</f>
        <v>0</v>
      </c>
    </row>
    <row r="21">
      <c r="A21" s="3" t="inlineStr">
        <is>
          <t xml:space="preserve">#1013</t>
        </is>
      </c>
      <c r="B21" s="3" t="inlineStr">
        <is>
          <t xml:space="preserve">2025-10-27</t>
        </is>
      </c>
      <c r="C21" s="3" t="inlineStr">
        <is>
          <t xml:space="preserve">SKU-A</t>
        </is>
      </c>
      <c r="D21" s="3" t="inlineStr">
        <is>
          <t xml:space="preserve">Renewal Serum</t>
        </is>
      </c>
      <c r="E21" s="6">
        <f>IF('Settings'!$B$11="Scenario",IFERROR(INDEX('Catalogue'!$E$3:$E$100,MATCH(C21,'Catalogue'!$B$3:$B$100,0)),F21),F21)</f>
        <v>69.9</v>
      </c>
      <c r="F21" s="8">
        <v>64</v>
      </c>
      <c r="G21" s="3">
        <v>1</v>
      </c>
      <c r="H21" s="6">
        <f>IF('Settings'!$B$11="Scenario",ROUND(E21*G21*IFERROR(SUMIF('Pricing &amp; promotions'!$A$6:$A$8,L21,'Pricing &amp; promotions'!$B$6:$B$8)/100,0),2),J21)</f>
        <v>6.99</v>
      </c>
      <c r="I21" s="6">
        <f>ROUND((E21*G21-H21)/IF(OR(K21=TRUE,K21="TRUE",K21="YES",K21=1),1+'Settings'!$B$6/100,1),2)</f>
        <v>51.99</v>
      </c>
      <c r="J21" s="8">
        <v>6.4</v>
      </c>
      <c r="K21" s="3" t="inlineStr">
        <is>
          <t xml:space="preserve">TRUE</t>
        </is>
      </c>
      <c r="L21" s="3" t="inlineStr">
        <is>
          <t xml:space="preserve">WELCOME10</t>
        </is>
      </c>
      <c r="M21" s="6">
        <f>ROUND(E21*G21-H21,2)</f>
        <v>62.91</v>
      </c>
      <c r="N21" s="5">
        <f>IF(COUNTIF($A$3:A21,A21)=1,1,0)</f>
        <v>1</v>
      </c>
      <c r="O21" s="6">
        <f>IF(N21=1,ROUND((SUMIFS($M$3:$M$1200,$A$3:$A$1200,A21)+'Settings'!$B$13)*'Settings'!$B$14/100+'Settings'!$B$15,2),0)</f>
        <v>1.49</v>
      </c>
    </row>
    <row r="22">
      <c r="A22" s="3" t="inlineStr">
        <is>
          <t xml:space="preserve">#1013</t>
        </is>
      </c>
      <c r="B22" s="3" t="inlineStr">
        <is>
          <t xml:space="preserve">2025-10-27</t>
        </is>
      </c>
      <c r="C22" s="3" t="inlineStr">
        <is>
          <t xml:space="preserve">SKU-B</t>
        </is>
      </c>
      <c r="D22" s="3" t="inlineStr">
        <is>
          <t xml:space="preserve">Barrier Balm</t>
        </is>
      </c>
      <c r="E22" s="6">
        <f>IF('Settings'!$B$11="Scenario",IFERROR(INDEX('Catalogue'!$E$3:$E$100,MATCH(C22,'Catalogue'!$B$3:$B$100,0)),F22),F22)</f>
        <v>19</v>
      </c>
      <c r="F22" s="8">
        <v>18</v>
      </c>
      <c r="G22" s="3">
        <v>1</v>
      </c>
      <c r="H22" s="6">
        <f>IF('Settings'!$B$11="Scenario",ROUND(E22*G22*IFERROR(SUMIF('Pricing &amp; promotions'!$A$6:$A$8,L22,'Pricing &amp; promotions'!$B$6:$B$8)/100,0),2),J22)</f>
        <v>1.9</v>
      </c>
      <c r="I22" s="6">
        <f>ROUND((E22*G22-H22)/IF(OR(K22=TRUE,K22="TRUE",K22="YES",K22=1),1+'Settings'!$B$6/100,1),2)</f>
        <v>14.13</v>
      </c>
      <c r="J22" s="8">
        <v>1.8</v>
      </c>
      <c r="K22" s="3" t="inlineStr">
        <is>
          <t xml:space="preserve">TRUE</t>
        </is>
      </c>
      <c r="L22" s="3" t="inlineStr">
        <is>
          <t xml:space="preserve">WELCOME10</t>
        </is>
      </c>
      <c r="M22" s="6">
        <f>ROUND(E22*G22-H22,2)</f>
        <v>17.1</v>
      </c>
      <c r="N22" s="5">
        <f>IF(COUNTIF($A$3:A22,A22)=1,1,0)</f>
        <v>0</v>
      </c>
      <c r="O22" s="6">
        <f>IF(N22=1,ROUND((SUMIFS($M$3:$M$1200,$A$3:$A$1200,A22)+'Settings'!$B$13)*'Settings'!$B$14/100+'Settings'!$B$15,2),0)</f>
        <v>0</v>
      </c>
    </row>
    <row r="23">
      <c r="A23" s="3" t="inlineStr">
        <is>
          <t xml:space="preserve">#1014</t>
        </is>
      </c>
      <c r="B23" s="3" t="inlineStr">
        <is>
          <t xml:space="preserve">2025-10-27</t>
        </is>
      </c>
      <c r="C23" s="3" t="inlineStr">
        <is>
          <t xml:space="preserve">SKU-F</t>
        </is>
      </c>
      <c r="D23" s="3" t="inlineStr">
        <is>
          <t xml:space="preserve">Cloud Cleanser</t>
        </is>
      </c>
      <c r="E23" s="6">
        <f>IF('Settings'!$B$11="Scenario",IFERROR(INDEX('Catalogue'!$E$3:$E$100,MATCH(C23,'Catalogue'!$B$3:$B$100,0)),F23),F23)</f>
        <v>34</v>
      </c>
      <c r="F23" s="8">
        <v>34</v>
      </c>
      <c r="G23" s="3">
        <v>1</v>
      </c>
      <c r="H23" s="6">
        <f>IF('Settings'!$B$11="Scenario",ROUND(E23*G23*IFERROR(SUMIF('Pricing &amp; promotions'!$A$6:$A$8,L23,'Pricing &amp; promotions'!$B$6:$B$8)/100,0),2),J23)</f>
        <v>3.4</v>
      </c>
      <c r="I23" s="6">
        <f>ROUND((E23*G23-H23)/IF(OR(K23=TRUE,K23="TRUE",K23="YES",K23=1),1+'Settings'!$B$6/100,1),2)</f>
        <v>25.29</v>
      </c>
      <c r="J23" s="8">
        <v>3.4</v>
      </c>
      <c r="K23" s="3" t="inlineStr">
        <is>
          <t xml:space="preserve">TRUE</t>
        </is>
      </c>
      <c r="L23" s="3" t="inlineStr">
        <is>
          <t xml:space="preserve">WELCOME10</t>
        </is>
      </c>
      <c r="M23" s="6">
        <f>ROUND(E23*G23-H23,2)</f>
        <v>30.6</v>
      </c>
      <c r="N23" s="5">
        <f>IF(COUNTIF($A$3:A23,A23)=1,1,0)</f>
        <v>1</v>
      </c>
      <c r="O23" s="6">
        <f>IF(N23=1,ROUND((SUMIFS($M$3:$M$1200,$A$3:$A$1200,A23)+'Settings'!$B$13)*'Settings'!$B$14/100+'Settings'!$B$15,2),0)</f>
        <v>0.75</v>
      </c>
    </row>
    <row r="24">
      <c r="A24" s="3" t="inlineStr">
        <is>
          <t xml:space="preserve">#1015</t>
        </is>
      </c>
      <c r="B24" s="3" t="inlineStr">
        <is>
          <t xml:space="preserve">2025-10-27</t>
        </is>
      </c>
      <c r="C24" s="3" t="inlineStr">
        <is>
          <t xml:space="preserve">SKU-A</t>
        </is>
      </c>
      <c r="D24" s="3" t="inlineStr">
        <is>
          <t xml:space="preserve">Renewal Serum</t>
        </is>
      </c>
      <c r="E24" s="6">
        <f>IF('Settings'!$B$11="Scenario",IFERROR(INDEX('Catalogue'!$E$3:$E$100,MATCH(C24,'Catalogue'!$B$3:$B$100,0)),F24),F24)</f>
        <v>69.9</v>
      </c>
      <c r="F24" s="8">
        <v>64</v>
      </c>
      <c r="G24" s="3">
        <v>1</v>
      </c>
      <c r="H24" s="6">
        <f>IF('Settings'!$B$11="Scenario",ROUND(E24*G24*IFERROR(SUMIF('Pricing &amp; promotions'!$A$6:$A$8,L24,'Pricing &amp; promotions'!$B$6:$B$8)/100,0),2),J24)</f>
        <v>6.99</v>
      </c>
      <c r="I24" s="6">
        <f>ROUND((E24*G24-H24)/IF(OR(K24=TRUE,K24="TRUE",K24="YES",K24=1),1+'Settings'!$B$6/100,1),2)</f>
        <v>51.99</v>
      </c>
      <c r="J24" s="8">
        <v>6.4</v>
      </c>
      <c r="K24" s="3" t="inlineStr">
        <is>
          <t xml:space="preserve">TRUE</t>
        </is>
      </c>
      <c r="L24" s="3" t="inlineStr">
        <is>
          <t xml:space="preserve">WELCOME10</t>
        </is>
      </c>
      <c r="M24" s="6">
        <f>ROUND(E24*G24-H24,2)</f>
        <v>62.91</v>
      </c>
      <c r="N24" s="5">
        <f>IF(COUNTIF($A$3:A24,A24)=1,1,0)</f>
        <v>1</v>
      </c>
      <c r="O24" s="6">
        <f>IF(N24=1,ROUND((SUMIFS($M$3:$M$1200,$A$3:$A$1200,A24)+'Settings'!$B$13)*'Settings'!$B$14/100+'Settings'!$B$15,2),0)</f>
        <v>1.24</v>
      </c>
    </row>
    <row r="25">
      <c r="A25" s="3" t="inlineStr">
        <is>
          <t xml:space="preserve">#1016</t>
        </is>
      </c>
      <c r="B25" s="3" t="inlineStr">
        <is>
          <t xml:space="preserve">2025-10-27</t>
        </is>
      </c>
      <c r="C25" s="3" t="inlineStr">
        <is>
          <t xml:space="preserve">SKU-E</t>
        </is>
      </c>
      <c r="D25" s="3" t="inlineStr">
        <is>
          <t xml:space="preserve">Complete Ritual</t>
        </is>
      </c>
      <c r="E25" s="6">
        <f>IF('Settings'!$B$11="Scenario",IFERROR(INDEX('Catalogue'!$E$3:$E$100,MATCH(C25,'Catalogue'!$B$3:$B$100,0)),F25),F25)</f>
        <v>89</v>
      </c>
      <c r="F25" s="8">
        <v>89</v>
      </c>
      <c r="G25" s="3">
        <v>2</v>
      </c>
      <c r="H25" s="6">
        <f>IF('Settings'!$B$11="Scenario",ROUND(E25*G25*IFERROR(SUMIF('Pricing &amp; promotions'!$A$6:$A$8,L25,'Pricing &amp; promotions'!$B$6:$B$8)/100,0),2),J25)</f>
        <v>17.8</v>
      </c>
      <c r="I25" s="6">
        <f>ROUND((E25*G25-H25)/IF(OR(K25=TRUE,K25="TRUE",K25="YES",K25=1),1+'Settings'!$B$6/100,1),2)</f>
        <v>132.4</v>
      </c>
      <c r="J25" s="8">
        <v>17.8</v>
      </c>
      <c r="K25" s="3" t="inlineStr">
        <is>
          <t xml:space="preserve">TRUE</t>
        </is>
      </c>
      <c r="L25" s="3" t="inlineStr">
        <is>
          <t xml:space="preserve">WELCOME10</t>
        </is>
      </c>
      <c r="M25" s="6">
        <f>ROUND(E25*G25-H25,2)</f>
        <v>160.2</v>
      </c>
      <c r="N25" s="5">
        <f>IF(COUNTIF($A$3:A25,A25)=1,1,0)</f>
        <v>1</v>
      </c>
      <c r="O25" s="6">
        <f>IF(N25=1,ROUND((SUMIFS($M$3:$M$1200,$A$3:$A$1200,A25)+'Settings'!$B$13)*'Settings'!$B$14/100+'Settings'!$B$15,2),0)</f>
        <v>2.7</v>
      </c>
    </row>
    <row r="26">
      <c r="A26" s="3" t="inlineStr">
        <is>
          <t xml:space="preserve">#1017</t>
        </is>
      </c>
      <c r="B26" s="3" t="inlineStr">
        <is>
          <t xml:space="preserve">2025-10-28</t>
        </is>
      </c>
      <c r="C26" s="3" t="inlineStr">
        <is>
          <t xml:space="preserve">SKU-A</t>
        </is>
      </c>
      <c r="D26" s="3" t="inlineStr">
        <is>
          <t xml:space="preserve">Renewal Serum</t>
        </is>
      </c>
      <c r="E26" s="6">
        <f>IF('Settings'!$B$11="Scenario",IFERROR(INDEX('Catalogue'!$E$3:$E$100,MATCH(C26,'Catalogue'!$B$3:$B$100,0)),F26),F26)</f>
        <v>69.9</v>
      </c>
      <c r="F26" s="8">
        <v>64</v>
      </c>
      <c r="G26" s="3">
        <v>1</v>
      </c>
      <c r="H26" s="6">
        <f>IF('Settings'!$B$11="Scenario",ROUND(E26*G26*IFERROR(SUMIF('Pricing &amp; promotions'!$A$6:$A$8,L26,'Pricing &amp; promotions'!$B$6:$B$8)/100,0),2),J26)</f>
        <v>0.0</v>
      </c>
      <c r="I26" s="6">
        <f>ROUND((E26*G26-H26)/IF(OR(K26=TRUE,K26="TRUE",K26="YES",K26=1),1+'Settings'!$B$6/100,1),2)</f>
        <v>57.77</v>
      </c>
      <c r="J26" s="8">
        <v>0.0</v>
      </c>
      <c r="K26" s="3" t="inlineStr">
        <is>
          <t xml:space="preserve">TRUE</t>
        </is>
      </c>
      <c r="L26" s="3"/>
      <c r="M26" s="6">
        <f>ROUND(E26*G26-H26,2)</f>
        <v>69.9</v>
      </c>
      <c r="N26" s="5">
        <f>IF(COUNTIF($A$3:A26,A26)=1,1,0)</f>
        <v>1</v>
      </c>
      <c r="O26" s="6">
        <f>IF(N26=1,ROUND((SUMIFS($M$3:$M$1200,$A$3:$A$1200,A26)+'Settings'!$B$13)*'Settings'!$B$14/100+'Settings'!$B$15,2),0)</f>
        <v>1.78</v>
      </c>
    </row>
    <row r="27">
      <c r="A27" s="3" t="inlineStr">
        <is>
          <t xml:space="preserve">#1017</t>
        </is>
      </c>
      <c r="B27" s="3" t="inlineStr">
        <is>
          <t xml:space="preserve">2025-10-28</t>
        </is>
      </c>
      <c r="C27" s="3" t="inlineStr">
        <is>
          <t xml:space="preserve">SKU-C</t>
        </is>
      </c>
      <c r="D27" s="3" t="inlineStr">
        <is>
          <t xml:space="preserve">Contour Stone</t>
        </is>
      </c>
      <c r="E27" s="6">
        <f>IF('Settings'!$B$11="Scenario",IFERROR(INDEX('Catalogue'!$E$3:$E$100,MATCH(C27,'Catalogue'!$B$3:$B$100,0)),F27),F27)</f>
        <v>29</v>
      </c>
      <c r="F27" s="8">
        <v>29</v>
      </c>
      <c r="G27" s="3">
        <v>1</v>
      </c>
      <c r="H27" s="6">
        <f>IF('Settings'!$B$11="Scenario",ROUND(E27*G27*IFERROR(SUMIF('Pricing &amp; promotions'!$A$6:$A$8,L27,'Pricing &amp; promotions'!$B$6:$B$8)/100,0),2),J27)</f>
        <v>0.0</v>
      </c>
      <c r="I27" s="6">
        <f>ROUND((E27*G27-H27)/IF(OR(K27=TRUE,K27="TRUE",K27="YES",K27=1),1+'Settings'!$B$6/100,1),2)</f>
        <v>23.97</v>
      </c>
      <c r="J27" s="8">
        <v>0.0</v>
      </c>
      <c r="K27" s="3" t="inlineStr">
        <is>
          <t xml:space="preserve">TRUE</t>
        </is>
      </c>
      <c r="L27" s="3"/>
      <c r="M27" s="6">
        <f>ROUND(E27*G27-H27,2)</f>
        <v>29.0</v>
      </c>
      <c r="N27" s="5">
        <f>IF(COUNTIF($A$3:A27,A27)=1,1,0)</f>
        <v>0</v>
      </c>
      <c r="O27" s="6">
        <f>IF(N27=1,ROUND((SUMIFS($M$3:$M$1200,$A$3:$A$1200,A27)+'Settings'!$B$13)*'Settings'!$B$14/100+'Settings'!$B$15,2),0)</f>
        <v>0</v>
      </c>
    </row>
    <row r="28">
      <c r="A28" s="3" t="inlineStr">
        <is>
          <t xml:space="preserve">#1018</t>
        </is>
      </c>
      <c r="B28" s="3" t="inlineStr">
        <is>
          <t xml:space="preserve">2025-10-29</t>
        </is>
      </c>
      <c r="C28" s="3" t="inlineStr">
        <is>
          <t xml:space="preserve">SKU-A</t>
        </is>
      </c>
      <c r="D28" s="3" t="inlineStr">
        <is>
          <t xml:space="preserve">Renewal Serum</t>
        </is>
      </c>
      <c r="E28" s="6">
        <f>IF('Settings'!$B$11="Scenario",IFERROR(INDEX('Catalogue'!$E$3:$E$100,MATCH(C28,'Catalogue'!$B$3:$B$100,0)),F28),F28)</f>
        <v>69.9</v>
      </c>
      <c r="F28" s="8">
        <v>64</v>
      </c>
      <c r="G28" s="3">
        <v>1</v>
      </c>
      <c r="H28" s="6">
        <f>IF('Settings'!$B$11="Scenario",ROUND(E28*G28*IFERROR(SUMIF('Pricing &amp; promotions'!$A$6:$A$8,L28,'Pricing &amp; promotions'!$B$6:$B$8)/100,0),2),J28)</f>
        <v>0.0</v>
      </c>
      <c r="I28" s="6">
        <f>ROUND((E28*G28-H28)/IF(OR(K28=TRUE,K28="TRUE",K28="YES",K28=1),1+'Settings'!$B$6/100,1),2)</f>
        <v>57.77</v>
      </c>
      <c r="J28" s="8">
        <v>0.0</v>
      </c>
      <c r="K28" s="3" t="inlineStr">
        <is>
          <t xml:space="preserve">TRUE</t>
        </is>
      </c>
      <c r="L28" s="3"/>
      <c r="M28" s="6">
        <f>ROUND(E28*G28-H28,2)</f>
        <v>69.9</v>
      </c>
      <c r="N28" s="5">
        <f>IF(COUNTIF($A$3:A28,A28)=1,1,0)</f>
        <v>1</v>
      </c>
      <c r="O28" s="6">
        <f>IF(N28=1,ROUND((SUMIFS($M$3:$M$1200,$A$3:$A$1200,A28)+'Settings'!$B$13)*'Settings'!$B$14/100+'Settings'!$B$15,2),0)</f>
        <v>2.14</v>
      </c>
    </row>
    <row r="29">
      <c r="A29" s="3" t="inlineStr">
        <is>
          <t xml:space="preserve">#1018</t>
        </is>
      </c>
      <c r="B29" s="3" t="inlineStr">
        <is>
          <t xml:space="preserve">2025-10-29</t>
        </is>
      </c>
      <c r="C29" s="3" t="inlineStr">
        <is>
          <t xml:space="preserve">SKU-F</t>
        </is>
      </c>
      <c r="D29" s="3" t="inlineStr">
        <is>
          <t xml:space="preserve">Cloud Cleanser</t>
        </is>
      </c>
      <c r="E29" s="6">
        <f>IF('Settings'!$B$11="Scenario",IFERROR(INDEX('Catalogue'!$E$3:$E$100,MATCH(C29,'Catalogue'!$B$3:$B$100,0)),F29),F29)</f>
        <v>34</v>
      </c>
      <c r="F29" s="8">
        <v>34</v>
      </c>
      <c r="G29" s="3">
        <v>1</v>
      </c>
      <c r="H29" s="6">
        <f>IF('Settings'!$B$11="Scenario",ROUND(E29*G29*IFERROR(SUMIF('Pricing &amp; promotions'!$A$6:$A$8,L29,'Pricing &amp; promotions'!$B$6:$B$8)/100,0),2),J29)</f>
        <v>0.0</v>
      </c>
      <c r="I29" s="6">
        <f>ROUND((E29*G29-H29)/IF(OR(K29=TRUE,K29="TRUE",K29="YES",K29=1),1+'Settings'!$B$6/100,1),2)</f>
        <v>28.1</v>
      </c>
      <c r="J29" s="8">
        <v>0.0</v>
      </c>
      <c r="K29" s="3" t="inlineStr">
        <is>
          <t xml:space="preserve">TRUE</t>
        </is>
      </c>
      <c r="L29" s="3"/>
      <c r="M29" s="6">
        <f>ROUND(E29*G29-H29,2)</f>
        <v>34.0</v>
      </c>
      <c r="N29" s="5">
        <f>IF(COUNTIF($A$3:A29,A29)=1,1,0)</f>
        <v>0</v>
      </c>
      <c r="O29" s="6">
        <f>IF(N29=1,ROUND((SUMIFS($M$3:$M$1200,$A$3:$A$1200,A29)+'Settings'!$B$13)*'Settings'!$B$14/100+'Settings'!$B$15,2),0)</f>
        <v>0</v>
      </c>
    </row>
    <row r="30">
      <c r="A30" s="3" t="inlineStr">
        <is>
          <t xml:space="preserve">#1018</t>
        </is>
      </c>
      <c r="B30" s="3" t="inlineStr">
        <is>
          <t xml:space="preserve">2025-10-29</t>
        </is>
      </c>
      <c r="C30" s="3" t="inlineStr">
        <is>
          <t xml:space="preserve">SKU-B</t>
        </is>
      </c>
      <c r="D30" s="3" t="inlineStr">
        <is>
          <t xml:space="preserve">Barrier Balm</t>
        </is>
      </c>
      <c r="E30" s="6">
        <f>IF('Settings'!$B$11="Scenario",IFERROR(INDEX('Catalogue'!$E$3:$E$100,MATCH(C30,'Catalogue'!$B$3:$B$100,0)),F30),F30)</f>
        <v>19</v>
      </c>
      <c r="F30" s="8">
        <v>18</v>
      </c>
      <c r="G30" s="3">
        <v>1</v>
      </c>
      <c r="H30" s="6">
        <f>IF('Settings'!$B$11="Scenario",ROUND(E30*G30*IFERROR(SUMIF('Pricing &amp; promotions'!$A$6:$A$8,L30,'Pricing &amp; promotions'!$B$6:$B$8)/100,0),2),J30)</f>
        <v>0.0</v>
      </c>
      <c r="I30" s="6">
        <f>ROUND((E30*G30-H30)/IF(OR(K30=TRUE,K30="TRUE",K30="YES",K30=1),1+'Settings'!$B$6/100,1),2)</f>
        <v>15.7</v>
      </c>
      <c r="J30" s="8">
        <v>0.0</v>
      </c>
      <c r="K30" s="3" t="inlineStr">
        <is>
          <t xml:space="preserve">TRUE</t>
        </is>
      </c>
      <c r="L30" s="3"/>
      <c r="M30" s="6">
        <f>ROUND(E30*G30-H30,2)</f>
        <v>19.0</v>
      </c>
      <c r="N30" s="5">
        <f>IF(COUNTIF($A$3:A30,A30)=1,1,0)</f>
        <v>0</v>
      </c>
      <c r="O30" s="6">
        <f>IF(N30=1,ROUND((SUMIFS($M$3:$M$1200,$A$3:$A$1200,A30)+'Settings'!$B$13)*'Settings'!$B$14/100+'Settings'!$B$15,2),0)</f>
        <v>0</v>
      </c>
    </row>
    <row r="31">
      <c r="A31" s="3" t="inlineStr">
        <is>
          <t xml:space="preserve">#1019</t>
        </is>
      </c>
      <c r="B31" s="3" t="inlineStr">
        <is>
          <t xml:space="preserve">2025-10-29</t>
        </is>
      </c>
      <c r="C31" s="3" t="inlineStr">
        <is>
          <t xml:space="preserve">SKU-G</t>
        </is>
      </c>
      <c r="D31" s="3" t="inlineStr">
        <is>
          <t xml:space="preserve">Daily Reset Set</t>
        </is>
      </c>
      <c r="E31" s="6">
        <f>IF('Settings'!$B$11="Scenario",IFERROR(INDEX('Catalogue'!$E$3:$E$100,MATCH(C31,'Catalogue'!$B$3:$B$100,0)),F31),F31)</f>
        <v>69</v>
      </c>
      <c r="F31" s="8">
        <v>69</v>
      </c>
      <c r="G31" s="3">
        <v>1</v>
      </c>
      <c r="H31" s="6">
        <f>IF('Settings'!$B$11="Scenario",ROUND(E31*G31*IFERROR(SUMIF('Pricing &amp; promotions'!$A$6:$A$8,L31,'Pricing &amp; promotions'!$B$6:$B$8)/100,0),2),J31)</f>
        <v>0.0</v>
      </c>
      <c r="I31" s="6">
        <f>ROUND((E31*G31-H31)/IF(OR(K31=TRUE,K31="TRUE",K31="YES",K31=1),1+'Settings'!$B$6/100,1),2)</f>
        <v>57.02</v>
      </c>
      <c r="J31" s="8">
        <v>0.0</v>
      </c>
      <c r="K31" s="3" t="inlineStr">
        <is>
          <t xml:space="preserve">TRUE</t>
        </is>
      </c>
      <c r="L31" s="3"/>
      <c r="M31" s="6">
        <f>ROUND(E31*G31-H31,2)</f>
        <v>69.0</v>
      </c>
      <c r="N31" s="5">
        <f>IF(COUNTIF($A$3:A31,A31)=1,1,0)</f>
        <v>1</v>
      </c>
      <c r="O31" s="6">
        <f>IF(N31=1,ROUND((SUMIFS($M$3:$M$1200,$A$3:$A$1200,A31)+'Settings'!$B$13)*'Settings'!$B$14/100+'Settings'!$B$15,2),0)</f>
        <v>2.38</v>
      </c>
    </row>
    <row r="32">
      <c r="A32" s="3" t="inlineStr">
        <is>
          <t xml:space="preserve">#1019</t>
        </is>
      </c>
      <c r="B32" s="3" t="inlineStr">
        <is>
          <t xml:space="preserve">2025-10-29</t>
        </is>
      </c>
      <c r="C32" s="3" t="inlineStr">
        <is>
          <t xml:space="preserve">SKU-A</t>
        </is>
      </c>
      <c r="D32" s="3" t="inlineStr">
        <is>
          <t xml:space="preserve">Renewal Serum</t>
        </is>
      </c>
      <c r="E32" s="6">
        <f>IF('Settings'!$B$11="Scenario",IFERROR(INDEX('Catalogue'!$E$3:$E$100,MATCH(C32,'Catalogue'!$B$3:$B$100,0)),F32),F32)</f>
        <v>69.9</v>
      </c>
      <c r="F32" s="8">
        <v>64</v>
      </c>
      <c r="G32" s="3">
        <v>1</v>
      </c>
      <c r="H32" s="6">
        <f>IF('Settings'!$B$11="Scenario",ROUND(E32*G32*IFERROR(SUMIF('Pricing &amp; promotions'!$A$6:$A$8,L32,'Pricing &amp; promotions'!$B$6:$B$8)/100,0),2),J32)</f>
        <v>0.0</v>
      </c>
      <c r="I32" s="6">
        <f>ROUND((E32*G32-H32)/IF(OR(K32=TRUE,K32="TRUE",K32="YES",K32=1),1+'Settings'!$B$6/100,1),2)</f>
        <v>57.77</v>
      </c>
      <c r="J32" s="8">
        <v>0.0</v>
      </c>
      <c r="K32" s="3" t="inlineStr">
        <is>
          <t xml:space="preserve">TRUE</t>
        </is>
      </c>
      <c r="L32" s="3"/>
      <c r="M32" s="6">
        <f>ROUND(E32*G32-H32,2)</f>
        <v>69.9</v>
      </c>
      <c r="N32" s="5">
        <f>IF(COUNTIF($A$3:A32,A32)=1,1,0)</f>
        <v>0</v>
      </c>
      <c r="O32" s="6">
        <f>IF(N32=1,ROUND((SUMIFS($M$3:$M$1200,$A$3:$A$1200,A32)+'Settings'!$B$13)*'Settings'!$B$14/100+'Settings'!$B$15,2),0)</f>
        <v>0</v>
      </c>
    </row>
    <row r="33">
      <c r="A33" s="3" t="inlineStr">
        <is>
          <t xml:space="preserve">#1020</t>
        </is>
      </c>
      <c r="B33" s="3" t="inlineStr">
        <is>
          <t xml:space="preserve">2025-10-29</t>
        </is>
      </c>
      <c r="C33" s="3" t="inlineStr">
        <is>
          <t xml:space="preserve">SKU-G</t>
        </is>
      </c>
      <c r="D33" s="3" t="inlineStr">
        <is>
          <t xml:space="preserve">Daily Reset Set</t>
        </is>
      </c>
      <c r="E33" s="6">
        <f>IF('Settings'!$B$11="Scenario",IFERROR(INDEX('Catalogue'!$E$3:$E$100,MATCH(C33,'Catalogue'!$B$3:$B$100,0)),F33),F33)</f>
        <v>69</v>
      </c>
      <c r="F33" s="8">
        <v>69</v>
      </c>
      <c r="G33" s="3">
        <v>1</v>
      </c>
      <c r="H33" s="6">
        <f>IF('Settings'!$B$11="Scenario",ROUND(E33*G33*IFERROR(SUMIF('Pricing &amp; promotions'!$A$6:$A$8,L33,'Pricing &amp; promotions'!$B$6:$B$8)/100,0),2),J33)</f>
        <v>6.9</v>
      </c>
      <c r="I33" s="6">
        <f>ROUND((E33*G33-H33)/IF(OR(K33=TRUE,K33="TRUE",K33="YES",K33=1),1+'Settings'!$B$6/100,1),2)</f>
        <v>51.32</v>
      </c>
      <c r="J33" s="8">
        <v>6.9</v>
      </c>
      <c r="K33" s="3" t="inlineStr">
        <is>
          <t xml:space="preserve">TRUE</t>
        </is>
      </c>
      <c r="L33" s="3" t="inlineStr">
        <is>
          <t xml:space="preserve">WELCOME10</t>
        </is>
      </c>
      <c r="M33" s="6">
        <f>ROUND(E33*G33-H33,2)</f>
        <v>62.1</v>
      </c>
      <c r="N33" s="5">
        <f>IF(COUNTIF($A$3:A33,A33)=1,1,0)</f>
        <v>1</v>
      </c>
      <c r="O33" s="6">
        <f>IF(N33=1,ROUND((SUMIFS($M$3:$M$1200,$A$3:$A$1200,A33)+'Settings'!$B$13)*'Settings'!$B$14/100+'Settings'!$B$15,2),0)</f>
        <v>1.23</v>
      </c>
    </row>
    <row r="34">
      <c r="A34" s="3" t="inlineStr">
        <is>
          <t xml:space="preserve">#1021</t>
        </is>
      </c>
      <c r="B34" s="3" t="inlineStr">
        <is>
          <t xml:space="preserve">2025-10-30</t>
        </is>
      </c>
      <c r="C34" s="3" t="inlineStr">
        <is>
          <t xml:space="preserve">SKU-C</t>
        </is>
      </c>
      <c r="D34" s="3" t="inlineStr">
        <is>
          <t xml:space="preserve">Contour Stone</t>
        </is>
      </c>
      <c r="E34" s="6">
        <f>IF('Settings'!$B$11="Scenario",IFERROR(INDEX('Catalogue'!$E$3:$E$100,MATCH(C34,'Catalogue'!$B$3:$B$100,0)),F34),F34)</f>
        <v>29</v>
      </c>
      <c r="F34" s="8">
        <v>29</v>
      </c>
      <c r="G34" s="3">
        <v>1</v>
      </c>
      <c r="H34" s="6">
        <f>IF('Settings'!$B$11="Scenario",ROUND(E34*G34*IFERROR(SUMIF('Pricing &amp; promotions'!$A$6:$A$8,L34,'Pricing &amp; promotions'!$B$6:$B$8)/100,0),2),J34)</f>
        <v>2.9</v>
      </c>
      <c r="I34" s="6">
        <f>ROUND((E34*G34-H34)/IF(OR(K34=TRUE,K34="TRUE",K34="YES",K34=1),1+'Settings'!$B$6/100,1),2)</f>
        <v>21.57</v>
      </c>
      <c r="J34" s="8">
        <v>2.9</v>
      </c>
      <c r="K34" s="3" t="inlineStr">
        <is>
          <t xml:space="preserve">TRUE</t>
        </is>
      </c>
      <c r="L34" s="3" t="inlineStr">
        <is>
          <t xml:space="preserve">WELCOME10</t>
        </is>
      </c>
      <c r="M34" s="6">
        <f>ROUND(E34*G34-H34,2)</f>
        <v>26.1</v>
      </c>
      <c r="N34" s="5">
        <f>IF(COUNTIF($A$3:A34,A34)=1,1,0)</f>
        <v>1</v>
      </c>
      <c r="O34" s="6">
        <f>IF(N34=1,ROUND((SUMIFS($M$3:$M$1200,$A$3:$A$1200,A34)+'Settings'!$B$13)*'Settings'!$B$14/100+'Settings'!$B$15,2),0)</f>
        <v>0.69</v>
      </c>
    </row>
    <row r="35">
      <c r="A35" s="3" t="inlineStr">
        <is>
          <t xml:space="preserve">#1022</t>
        </is>
      </c>
      <c r="B35" s="3" t="inlineStr">
        <is>
          <t xml:space="preserve">2025-10-30</t>
        </is>
      </c>
      <c r="C35" s="3" t="inlineStr">
        <is>
          <t xml:space="preserve">SKU-A</t>
        </is>
      </c>
      <c r="D35" s="3" t="inlineStr">
        <is>
          <t xml:space="preserve">Renewal Serum</t>
        </is>
      </c>
      <c r="E35" s="6">
        <f>IF('Settings'!$B$11="Scenario",IFERROR(INDEX('Catalogue'!$E$3:$E$100,MATCH(C35,'Catalogue'!$B$3:$B$100,0)),F35),F35)</f>
        <v>69.9</v>
      </c>
      <c r="F35" s="8">
        <v>64</v>
      </c>
      <c r="G35" s="3">
        <v>1</v>
      </c>
      <c r="H35" s="6">
        <f>IF('Settings'!$B$11="Scenario",ROUND(E35*G35*IFERROR(SUMIF('Pricing &amp; promotions'!$A$6:$A$8,L35,'Pricing &amp; promotions'!$B$6:$B$8)/100,0),2),J35)</f>
        <v>6.99</v>
      </c>
      <c r="I35" s="6">
        <f>ROUND((E35*G35-H35)/IF(OR(K35=TRUE,K35="TRUE",K35="YES",K35=1),1+'Settings'!$B$6/100,1),2)</f>
        <v>51.99</v>
      </c>
      <c r="J35" s="8">
        <v>6.4</v>
      </c>
      <c r="K35" s="3" t="inlineStr">
        <is>
          <t xml:space="preserve">TRUE</t>
        </is>
      </c>
      <c r="L35" s="3" t="inlineStr">
        <is>
          <t xml:space="preserve">WELCOME10</t>
        </is>
      </c>
      <c r="M35" s="6">
        <f>ROUND(E35*G35-H35,2)</f>
        <v>62.91</v>
      </c>
      <c r="N35" s="5">
        <f>IF(COUNTIF($A$3:A35,A35)=1,1,0)</f>
        <v>1</v>
      </c>
      <c r="O35" s="6">
        <f>IF(N35=1,ROUND((SUMIFS($M$3:$M$1200,$A$3:$A$1200,A35)+'Settings'!$B$13)*'Settings'!$B$14/100+'Settings'!$B$15,2),0)</f>
        <v>1.24</v>
      </c>
    </row>
    <row r="36">
      <c r="A36" s="3" t="inlineStr">
        <is>
          <t xml:space="preserve">#1023</t>
        </is>
      </c>
      <c r="B36" s="3" t="inlineStr">
        <is>
          <t xml:space="preserve">2025-10-30</t>
        </is>
      </c>
      <c r="C36" s="3" t="inlineStr">
        <is>
          <t xml:space="preserve">SKU-D</t>
        </is>
      </c>
      <c r="D36" s="3" t="inlineStr">
        <is>
          <t xml:space="preserve">Daily Duo</t>
        </is>
      </c>
      <c r="E36" s="6">
        <f>IF('Settings'!$B$11="Scenario",IFERROR(INDEX('Catalogue'!$E$3:$E$100,MATCH(C36,'Catalogue'!$B$3:$B$100,0)),F36),F36)</f>
        <v>79</v>
      </c>
      <c r="F36" s="8">
        <v>79</v>
      </c>
      <c r="G36" s="3">
        <v>2</v>
      </c>
      <c r="H36" s="6">
        <f>IF('Settings'!$B$11="Scenario",ROUND(E36*G36*IFERROR(SUMIF('Pricing &amp; promotions'!$A$6:$A$8,L36,'Pricing &amp; promotions'!$B$6:$B$8)/100,0),2),J36)</f>
        <v>0.0</v>
      </c>
      <c r="I36" s="6">
        <f>ROUND((E36*G36-H36)/IF(OR(K36=TRUE,K36="TRUE",K36="YES",K36=1),1+'Settings'!$B$6/100,1),2)</f>
        <v>130.58</v>
      </c>
      <c r="J36" s="8">
        <v>0.0</v>
      </c>
      <c r="K36" s="3" t="inlineStr">
        <is>
          <t xml:space="preserve">TRUE</t>
        </is>
      </c>
      <c r="L36" s="3"/>
      <c r="M36" s="6">
        <f>ROUND(E36*G36-H36,2)</f>
        <v>158.0</v>
      </c>
      <c r="N36" s="5">
        <f>IF(COUNTIF($A$3:A36,A36)=1,1,0)</f>
        <v>1</v>
      </c>
      <c r="O36" s="6">
        <f>IF(N36=1,ROUND((SUMIFS($M$3:$M$1200,$A$3:$A$1200,A36)+'Settings'!$B$13)*'Settings'!$B$14/100+'Settings'!$B$15,2),0)</f>
        <v>2.66</v>
      </c>
    </row>
    <row r="37">
      <c r="A37" s="3" t="inlineStr">
        <is>
          <t xml:space="preserve">#1024</t>
        </is>
      </c>
      <c r="B37" s="3" t="inlineStr">
        <is>
          <t xml:space="preserve">2025-10-31</t>
        </is>
      </c>
      <c r="C37" s="3" t="inlineStr">
        <is>
          <t xml:space="preserve">SKU-G</t>
        </is>
      </c>
      <c r="D37" s="3" t="inlineStr">
        <is>
          <t xml:space="preserve">Daily Reset Set</t>
        </is>
      </c>
      <c r="E37" s="6">
        <f>IF('Settings'!$B$11="Scenario",IFERROR(INDEX('Catalogue'!$E$3:$E$100,MATCH(C37,'Catalogue'!$B$3:$B$100,0)),F37),F37)</f>
        <v>69</v>
      </c>
      <c r="F37" s="8">
        <v>69</v>
      </c>
      <c r="G37" s="3">
        <v>1</v>
      </c>
      <c r="H37" s="6">
        <f>IF('Settings'!$B$11="Scenario",ROUND(E37*G37*IFERROR(SUMIF('Pricing &amp; promotions'!$A$6:$A$8,L37,'Pricing &amp; promotions'!$B$6:$B$8)/100,0),2),J37)</f>
        <v>0.0</v>
      </c>
      <c r="I37" s="6">
        <f>ROUND((E37*G37-H37)/IF(OR(K37=TRUE,K37="TRUE",K37="YES",K37=1),1+'Settings'!$B$6/100,1),2)</f>
        <v>57.02</v>
      </c>
      <c r="J37" s="8">
        <v>0.0</v>
      </c>
      <c r="K37" s="3" t="inlineStr">
        <is>
          <t xml:space="preserve">TRUE</t>
        </is>
      </c>
      <c r="L37" s="3"/>
      <c r="M37" s="6">
        <f>ROUND(E37*G37-H37,2)</f>
        <v>69.0</v>
      </c>
      <c r="N37" s="5">
        <f>IF(COUNTIF($A$3:A37,A37)=1,1,0)</f>
        <v>1</v>
      </c>
      <c r="O37" s="6">
        <f>IF(N37=1,ROUND((SUMIFS($M$3:$M$1200,$A$3:$A$1200,A37)+'Settings'!$B$13)*'Settings'!$B$14/100+'Settings'!$B$15,2),0)</f>
        <v>1.33</v>
      </c>
    </row>
    <row r="38">
      <c r="A38" s="3" t="inlineStr">
        <is>
          <t xml:space="preserve">#1025</t>
        </is>
      </c>
      <c r="B38" s="3" t="inlineStr">
        <is>
          <t xml:space="preserve">2025-11-01</t>
        </is>
      </c>
      <c r="C38" s="3" t="inlineStr">
        <is>
          <t xml:space="preserve">SKU-F</t>
        </is>
      </c>
      <c r="D38" s="3" t="inlineStr">
        <is>
          <t xml:space="preserve">Cloud Cleanser</t>
        </is>
      </c>
      <c r="E38" s="6">
        <f>IF('Settings'!$B$11="Scenario",IFERROR(INDEX('Catalogue'!$E$3:$E$100,MATCH(C38,'Catalogue'!$B$3:$B$100,0)),F38),F38)</f>
        <v>34</v>
      </c>
      <c r="F38" s="8">
        <v>34</v>
      </c>
      <c r="G38" s="3">
        <v>1</v>
      </c>
      <c r="H38" s="6">
        <f>IF('Settings'!$B$11="Scenario",ROUND(E38*G38*IFERROR(SUMIF('Pricing &amp; promotions'!$A$6:$A$8,L38,'Pricing &amp; promotions'!$B$6:$B$8)/100,0),2),J38)</f>
        <v>0.0</v>
      </c>
      <c r="I38" s="6">
        <f>ROUND((E38*G38-H38)/IF(OR(K38=TRUE,K38="TRUE",K38="YES",K38=1),1+'Settings'!$B$6/100,1),2)</f>
        <v>28.1</v>
      </c>
      <c r="J38" s="8">
        <v>0.0</v>
      </c>
      <c r="K38" s="3" t="inlineStr">
        <is>
          <t xml:space="preserve">TRUE</t>
        </is>
      </c>
      <c r="L38" s="3"/>
      <c r="M38" s="6">
        <f>ROUND(E38*G38-H38,2)</f>
        <v>34.0</v>
      </c>
      <c r="N38" s="5">
        <f>IF(COUNTIF($A$3:A38,A38)=1,1,0)</f>
        <v>1</v>
      </c>
      <c r="O38" s="6">
        <f>IF(N38=1,ROUND((SUMIFS($M$3:$M$1200,$A$3:$A$1200,A38)+'Settings'!$B$13)*'Settings'!$B$14/100+'Settings'!$B$15,2),0)</f>
        <v>1.85</v>
      </c>
    </row>
    <row r="39">
      <c r="A39" s="3" t="inlineStr">
        <is>
          <t xml:space="preserve">#1025</t>
        </is>
      </c>
      <c r="B39" s="3" t="inlineStr">
        <is>
          <t xml:space="preserve">2025-11-01</t>
        </is>
      </c>
      <c r="C39" s="3" t="inlineStr">
        <is>
          <t xml:space="preserve">SKU-A</t>
        </is>
      </c>
      <c r="D39" s="3" t="inlineStr">
        <is>
          <t xml:space="preserve">Renewal Serum</t>
        </is>
      </c>
      <c r="E39" s="6">
        <f>IF('Settings'!$B$11="Scenario",IFERROR(INDEX('Catalogue'!$E$3:$E$100,MATCH(C39,'Catalogue'!$B$3:$B$100,0)),F39),F39)</f>
        <v>69.9</v>
      </c>
      <c r="F39" s="8">
        <v>64</v>
      </c>
      <c r="G39" s="3">
        <v>1</v>
      </c>
      <c r="H39" s="6">
        <f>IF('Settings'!$B$11="Scenario",ROUND(E39*G39*IFERROR(SUMIF('Pricing &amp; promotions'!$A$6:$A$8,L39,'Pricing &amp; promotions'!$B$6:$B$8)/100,0),2),J39)</f>
        <v>0.0</v>
      </c>
      <c r="I39" s="6">
        <f>ROUND((E39*G39-H39)/IF(OR(K39=TRUE,K39="TRUE",K39="YES",K39=1),1+'Settings'!$B$6/100,1),2)</f>
        <v>57.77</v>
      </c>
      <c r="J39" s="8">
        <v>0.0</v>
      </c>
      <c r="K39" s="3" t="inlineStr">
        <is>
          <t xml:space="preserve">TRUE</t>
        </is>
      </c>
      <c r="L39" s="3"/>
      <c r="M39" s="6">
        <f>ROUND(E39*G39-H39,2)</f>
        <v>69.9</v>
      </c>
      <c r="N39" s="5">
        <f>IF(COUNTIF($A$3:A39,A39)=1,1,0)</f>
        <v>0</v>
      </c>
      <c r="O39" s="6">
        <f>IF(N39=1,ROUND((SUMIFS($M$3:$M$1200,$A$3:$A$1200,A39)+'Settings'!$B$13)*'Settings'!$B$14/100+'Settings'!$B$15,2),0)</f>
        <v>0</v>
      </c>
    </row>
    <row r="40">
      <c r="A40" s="3" t="inlineStr">
        <is>
          <t xml:space="preserve">#1026</t>
        </is>
      </c>
      <c r="B40" s="3" t="inlineStr">
        <is>
          <t xml:space="preserve">2025-11-01</t>
        </is>
      </c>
      <c r="C40" s="3" t="inlineStr">
        <is>
          <t xml:space="preserve">SKU-F</t>
        </is>
      </c>
      <c r="D40" s="3" t="inlineStr">
        <is>
          <t xml:space="preserve">Cloud Cleanser</t>
        </is>
      </c>
      <c r="E40" s="6">
        <f>IF('Settings'!$B$11="Scenario",IFERROR(INDEX('Catalogue'!$E$3:$E$100,MATCH(C40,'Catalogue'!$B$3:$B$100,0)),F40),F40)</f>
        <v>34</v>
      </c>
      <c r="F40" s="8">
        <v>34</v>
      </c>
      <c r="G40" s="3">
        <v>1</v>
      </c>
      <c r="H40" s="6">
        <f>IF('Settings'!$B$11="Scenario",ROUND(E40*G40*IFERROR(SUMIF('Pricing &amp; promotions'!$A$6:$A$8,L40,'Pricing &amp; promotions'!$B$6:$B$8)/100,0),2),J40)</f>
        <v>3.4</v>
      </c>
      <c r="I40" s="6">
        <f>ROUND((E40*G40-H40)/IF(OR(K40=TRUE,K40="TRUE",K40="YES",K40=1),1+'Settings'!$B$6/100,1),2)</f>
        <v>25.29</v>
      </c>
      <c r="J40" s="8">
        <v>3.4</v>
      </c>
      <c r="K40" s="3" t="inlineStr">
        <is>
          <t xml:space="preserve">TRUE</t>
        </is>
      </c>
      <c r="L40" s="3" t="inlineStr">
        <is>
          <t xml:space="preserve">WELCOME10</t>
        </is>
      </c>
      <c r="M40" s="6">
        <f>ROUND(E40*G40-H40,2)</f>
        <v>30.6</v>
      </c>
      <c r="N40" s="5">
        <f>IF(COUNTIF($A$3:A40,A40)=1,1,0)</f>
        <v>1</v>
      </c>
      <c r="O40" s="6">
        <f>IF(N40=1,ROUND((SUMIFS($M$3:$M$1200,$A$3:$A$1200,A40)+'Settings'!$B$13)*'Settings'!$B$14/100+'Settings'!$B$15,2),0)</f>
        <v>0.75</v>
      </c>
    </row>
    <row r="41">
      <c r="A41" s="3" t="inlineStr">
        <is>
          <t xml:space="preserve">#1027</t>
        </is>
      </c>
      <c r="B41" s="3" t="inlineStr">
        <is>
          <t xml:space="preserve">2025-11-01</t>
        </is>
      </c>
      <c r="C41" s="3" t="inlineStr">
        <is>
          <t xml:space="preserve">SKU-G</t>
        </is>
      </c>
      <c r="D41" s="3" t="inlineStr">
        <is>
          <t xml:space="preserve">Daily Reset Set</t>
        </is>
      </c>
      <c r="E41" s="6">
        <f>IF('Settings'!$B$11="Scenario",IFERROR(INDEX('Catalogue'!$E$3:$E$100,MATCH(C41,'Catalogue'!$B$3:$B$100,0)),F41),F41)</f>
        <v>69</v>
      </c>
      <c r="F41" s="8">
        <v>69</v>
      </c>
      <c r="G41" s="3">
        <v>2</v>
      </c>
      <c r="H41" s="6">
        <f>IF('Settings'!$B$11="Scenario",ROUND(E41*G41*IFERROR(SUMIF('Pricing &amp; promotions'!$A$6:$A$8,L41,'Pricing &amp; promotions'!$B$6:$B$8)/100,0),2),J41)</f>
        <v>20.7</v>
      </c>
      <c r="I41" s="6">
        <f>ROUND((E41*G41-H41)/IF(OR(K41=TRUE,K41="TRUE",K41="YES",K41=1),1+'Settings'!$B$6/100,1),2)</f>
        <v>96.94</v>
      </c>
      <c r="J41" s="8">
        <v>20.7</v>
      </c>
      <c r="K41" s="3" t="inlineStr">
        <is>
          <t xml:space="preserve">TRUE</t>
        </is>
      </c>
      <c r="L41" s="3" t="inlineStr">
        <is>
          <t xml:space="preserve">SUMMER15</t>
        </is>
      </c>
      <c r="M41" s="6">
        <f>ROUND(E41*G41-H41,2)</f>
        <v>117.3</v>
      </c>
      <c r="N41" s="5">
        <f>IF(COUNTIF($A$3:A41,A41)=1,1,0)</f>
        <v>1</v>
      </c>
      <c r="O41" s="6">
        <f>IF(N41=1,ROUND((SUMIFS($M$3:$M$1200,$A$3:$A$1200,A41)+'Settings'!$B$13)*'Settings'!$B$14/100+'Settings'!$B$15,2),0)</f>
        <v>2.79</v>
      </c>
    </row>
    <row r="42">
      <c r="A42" s="3" t="inlineStr">
        <is>
          <t xml:space="preserve">#1027</t>
        </is>
      </c>
      <c r="B42" s="3" t="inlineStr">
        <is>
          <t xml:space="preserve">2025-11-01</t>
        </is>
      </c>
      <c r="C42" s="3" t="inlineStr">
        <is>
          <t xml:space="preserve">SKU-C</t>
        </is>
      </c>
      <c r="D42" s="3" t="inlineStr">
        <is>
          <t xml:space="preserve">Contour Stone</t>
        </is>
      </c>
      <c r="E42" s="6">
        <f>IF('Settings'!$B$11="Scenario",IFERROR(INDEX('Catalogue'!$E$3:$E$100,MATCH(C42,'Catalogue'!$B$3:$B$100,0)),F42),F42)</f>
        <v>29</v>
      </c>
      <c r="F42" s="8">
        <v>29</v>
      </c>
      <c r="G42" s="3">
        <v>2</v>
      </c>
      <c r="H42" s="6">
        <f>IF('Settings'!$B$11="Scenario",ROUND(E42*G42*IFERROR(SUMIF('Pricing &amp; promotions'!$A$6:$A$8,L42,'Pricing &amp; promotions'!$B$6:$B$8)/100,0),2),J42)</f>
        <v>8.7</v>
      </c>
      <c r="I42" s="6">
        <f>ROUND((E42*G42-H42)/IF(OR(K42=TRUE,K42="TRUE",K42="YES",K42=1),1+'Settings'!$B$6/100,1),2)</f>
        <v>40.74</v>
      </c>
      <c r="J42" s="8">
        <v>8.7</v>
      </c>
      <c r="K42" s="3" t="inlineStr">
        <is>
          <t xml:space="preserve">TRUE</t>
        </is>
      </c>
      <c r="L42" s="3" t="inlineStr">
        <is>
          <t xml:space="preserve">SUMMER15</t>
        </is>
      </c>
      <c r="M42" s="6">
        <f>ROUND(E42*G42-H42,2)</f>
        <v>49.3</v>
      </c>
      <c r="N42" s="5">
        <f>IF(COUNTIF($A$3:A42,A42)=1,1,0)</f>
        <v>0</v>
      </c>
      <c r="O42" s="6">
        <f>IF(N42=1,ROUND((SUMIFS($M$3:$M$1200,$A$3:$A$1200,A42)+'Settings'!$B$13)*'Settings'!$B$14/100+'Settings'!$B$15,2),0)</f>
        <v>0</v>
      </c>
    </row>
    <row r="43">
      <c r="A43" s="3" t="inlineStr">
        <is>
          <t xml:space="preserve">#1028</t>
        </is>
      </c>
      <c r="B43" s="3" t="inlineStr">
        <is>
          <t xml:space="preserve">2025-11-02</t>
        </is>
      </c>
      <c r="C43" s="3" t="inlineStr">
        <is>
          <t xml:space="preserve">SKU-G</t>
        </is>
      </c>
      <c r="D43" s="3" t="inlineStr">
        <is>
          <t xml:space="preserve">Daily Reset Set</t>
        </is>
      </c>
      <c r="E43" s="6">
        <f>IF('Settings'!$B$11="Scenario",IFERROR(INDEX('Catalogue'!$E$3:$E$100,MATCH(C43,'Catalogue'!$B$3:$B$100,0)),F43),F43)</f>
        <v>69</v>
      </c>
      <c r="F43" s="8">
        <v>69</v>
      </c>
      <c r="G43" s="3">
        <v>1</v>
      </c>
      <c r="H43" s="6">
        <f>IF('Settings'!$B$11="Scenario",ROUND(E43*G43*IFERROR(SUMIF('Pricing &amp; promotions'!$A$6:$A$8,L43,'Pricing &amp; promotions'!$B$6:$B$8)/100,0),2),J43)</f>
        <v>0.0</v>
      </c>
      <c r="I43" s="6">
        <f>ROUND((E43*G43-H43)/IF(OR(K43=TRUE,K43="TRUE",K43="YES",K43=1),1+'Settings'!$B$6/100,1),2)</f>
        <v>57.02</v>
      </c>
      <c r="J43" s="8">
        <v>0.0</v>
      </c>
      <c r="K43" s="3" t="inlineStr">
        <is>
          <t xml:space="preserve">TRUE</t>
        </is>
      </c>
      <c r="L43" s="3"/>
      <c r="M43" s="6">
        <f>ROUND(E43*G43-H43,2)</f>
        <v>69.0</v>
      </c>
      <c r="N43" s="5">
        <f>IF(COUNTIF($A$3:A43,A43)=1,1,0)</f>
        <v>1</v>
      </c>
      <c r="O43" s="6">
        <f>IF(N43=1,ROUND((SUMIFS($M$3:$M$1200,$A$3:$A$1200,A43)+'Settings'!$B$13)*'Settings'!$B$14/100+'Settings'!$B$15,2),0)</f>
        <v>1.33</v>
      </c>
    </row>
    <row r="44">
      <c r="A44" s="3" t="inlineStr">
        <is>
          <t xml:space="preserve">#1029</t>
        </is>
      </c>
      <c r="B44" s="3" t="inlineStr">
        <is>
          <t xml:space="preserve">2025-11-02</t>
        </is>
      </c>
      <c r="C44" s="3" t="inlineStr">
        <is>
          <t xml:space="preserve">SKU-D</t>
        </is>
      </c>
      <c r="D44" s="3" t="inlineStr">
        <is>
          <t xml:space="preserve">Daily Duo</t>
        </is>
      </c>
      <c r="E44" s="6">
        <f>IF('Settings'!$B$11="Scenario",IFERROR(INDEX('Catalogue'!$E$3:$E$100,MATCH(C44,'Catalogue'!$B$3:$B$100,0)),F44),F44)</f>
        <v>79</v>
      </c>
      <c r="F44" s="8">
        <v>79</v>
      </c>
      <c r="G44" s="3">
        <v>1</v>
      </c>
      <c r="H44" s="6">
        <f>IF('Settings'!$B$11="Scenario",ROUND(E44*G44*IFERROR(SUMIF('Pricing &amp; promotions'!$A$6:$A$8,L44,'Pricing &amp; promotions'!$B$6:$B$8)/100,0),2),J44)</f>
        <v>0.0</v>
      </c>
      <c r="I44" s="6">
        <f>ROUND((E44*G44-H44)/IF(OR(K44=TRUE,K44="TRUE",K44="YES",K44=1),1+'Settings'!$B$6/100,1),2)</f>
        <v>65.29</v>
      </c>
      <c r="J44" s="8">
        <v>0.0</v>
      </c>
      <c r="K44" s="3" t="inlineStr">
        <is>
          <t xml:space="preserve">TRUE</t>
        </is>
      </c>
      <c r="L44" s="3"/>
      <c r="M44" s="6">
        <f>ROUND(E44*G44-H44,2)</f>
        <v>79.0</v>
      </c>
      <c r="N44" s="5">
        <f>IF(COUNTIF($A$3:A44,A44)=1,1,0)</f>
        <v>1</v>
      </c>
      <c r="O44" s="6">
        <f>IF(N44=1,ROUND((SUMIFS($M$3:$M$1200,$A$3:$A$1200,A44)+'Settings'!$B$13)*'Settings'!$B$14/100+'Settings'!$B$15,2),0)</f>
        <v>1.48</v>
      </c>
    </row>
    <row r="45">
      <c r="A45" s="3" t="inlineStr">
        <is>
          <t xml:space="preserve">#1030</t>
        </is>
      </c>
      <c r="B45" s="3" t="inlineStr">
        <is>
          <t xml:space="preserve">2025-11-02</t>
        </is>
      </c>
      <c r="C45" s="3" t="inlineStr">
        <is>
          <t xml:space="preserve">SKU-E</t>
        </is>
      </c>
      <c r="D45" s="3" t="inlineStr">
        <is>
          <t xml:space="preserve">Complete Ritual</t>
        </is>
      </c>
      <c r="E45" s="6">
        <f>IF('Settings'!$B$11="Scenario",IFERROR(INDEX('Catalogue'!$E$3:$E$100,MATCH(C45,'Catalogue'!$B$3:$B$100,0)),F45),F45)</f>
        <v>89</v>
      </c>
      <c r="F45" s="8">
        <v>89</v>
      </c>
      <c r="G45" s="3">
        <v>2</v>
      </c>
      <c r="H45" s="6">
        <f>IF('Settings'!$B$11="Scenario",ROUND(E45*G45*IFERROR(SUMIF('Pricing &amp; promotions'!$A$6:$A$8,L45,'Pricing &amp; promotions'!$B$6:$B$8)/100,0),2),J45)</f>
        <v>0.0</v>
      </c>
      <c r="I45" s="6">
        <f>ROUND((E45*G45-H45)/IF(OR(K45=TRUE,K45="TRUE",K45="YES",K45=1),1+'Settings'!$B$6/100,1),2)</f>
        <v>147.11</v>
      </c>
      <c r="J45" s="8">
        <v>0.0</v>
      </c>
      <c r="K45" s="3" t="inlineStr">
        <is>
          <t xml:space="preserve">TRUE</t>
        </is>
      </c>
      <c r="L45" s="3"/>
      <c r="M45" s="6">
        <f>ROUND(E45*G45-H45,2)</f>
        <v>178.0</v>
      </c>
      <c r="N45" s="5">
        <f>IF(COUNTIF($A$3:A45,A45)=1,1,0)</f>
        <v>1</v>
      </c>
      <c r="O45" s="6">
        <f>IF(N45=1,ROUND((SUMIFS($M$3:$M$1200,$A$3:$A$1200,A45)+'Settings'!$B$13)*'Settings'!$B$14/100+'Settings'!$B$15,2),0)</f>
        <v>2.96</v>
      </c>
    </row>
    <row r="46">
      <c r="A46" s="3" t="inlineStr">
        <is>
          <t xml:space="preserve">#1031</t>
        </is>
      </c>
      <c r="B46" s="3" t="inlineStr">
        <is>
          <t xml:space="preserve">2025-11-03</t>
        </is>
      </c>
      <c r="C46" s="3" t="inlineStr">
        <is>
          <t xml:space="preserve">SKU-D</t>
        </is>
      </c>
      <c r="D46" s="3" t="inlineStr">
        <is>
          <t xml:space="preserve">Daily Duo</t>
        </is>
      </c>
      <c r="E46" s="6">
        <f>IF('Settings'!$B$11="Scenario",IFERROR(INDEX('Catalogue'!$E$3:$E$100,MATCH(C46,'Catalogue'!$B$3:$B$100,0)),F46),F46)</f>
        <v>79</v>
      </c>
      <c r="F46" s="8">
        <v>79</v>
      </c>
      <c r="G46" s="3">
        <v>1</v>
      </c>
      <c r="H46" s="6">
        <f>IF('Settings'!$B$11="Scenario",ROUND(E46*G46*IFERROR(SUMIF('Pricing &amp; promotions'!$A$6:$A$8,L46,'Pricing &amp; promotions'!$B$6:$B$8)/100,0),2),J46)</f>
        <v>11.85</v>
      </c>
      <c r="I46" s="6">
        <f>ROUND((E46*G46-H46)/IF(OR(K46=TRUE,K46="TRUE",K46="YES",K46=1),1+'Settings'!$B$6/100,1),2)</f>
        <v>55.5</v>
      </c>
      <c r="J46" s="8">
        <v>11.85</v>
      </c>
      <c r="K46" s="3" t="inlineStr">
        <is>
          <t xml:space="preserve">TRUE</t>
        </is>
      </c>
      <c r="L46" s="3" t="inlineStr">
        <is>
          <t xml:space="preserve">SUMMER15</t>
        </is>
      </c>
      <c r="M46" s="6">
        <f>ROUND(E46*G46-H46,2)</f>
        <v>67.15</v>
      </c>
      <c r="N46" s="5">
        <f>IF(COUNTIF($A$3:A46,A46)=1,1,0)</f>
        <v>1</v>
      </c>
      <c r="O46" s="6">
        <f>IF(N46=1,ROUND((SUMIFS($M$3:$M$1200,$A$3:$A$1200,A46)+'Settings'!$B$13)*'Settings'!$B$14/100+'Settings'!$B$15,2),0)</f>
        <v>1.54</v>
      </c>
    </row>
    <row r="47">
      <c r="A47" s="3" t="inlineStr">
        <is>
          <t xml:space="preserve">#1031</t>
        </is>
      </c>
      <c r="B47" s="3" t="inlineStr">
        <is>
          <t xml:space="preserve">2025-11-03</t>
        </is>
      </c>
      <c r="C47" s="3" t="inlineStr">
        <is>
          <t xml:space="preserve">SKU-B</t>
        </is>
      </c>
      <c r="D47" s="3" t="inlineStr">
        <is>
          <t xml:space="preserve">Barrier Balm</t>
        </is>
      </c>
      <c r="E47" s="6">
        <f>IF('Settings'!$B$11="Scenario",IFERROR(INDEX('Catalogue'!$E$3:$E$100,MATCH(C47,'Catalogue'!$B$3:$B$100,0)),F47),F47)</f>
        <v>19</v>
      </c>
      <c r="F47" s="8">
        <v>18</v>
      </c>
      <c r="G47" s="3">
        <v>1</v>
      </c>
      <c r="H47" s="6">
        <f>IF('Settings'!$B$11="Scenario",ROUND(E47*G47*IFERROR(SUMIF('Pricing &amp; promotions'!$A$6:$A$8,L47,'Pricing &amp; promotions'!$B$6:$B$8)/100,0),2),J47)</f>
        <v>2.85</v>
      </c>
      <c r="I47" s="6">
        <f>ROUND((E47*G47-H47)/IF(OR(K47=TRUE,K47="TRUE",K47="YES",K47=1),1+'Settings'!$B$6/100,1),2)</f>
        <v>13.35</v>
      </c>
      <c r="J47" s="8">
        <v>2.7</v>
      </c>
      <c r="K47" s="3" t="inlineStr">
        <is>
          <t xml:space="preserve">TRUE</t>
        </is>
      </c>
      <c r="L47" s="3" t="inlineStr">
        <is>
          <t xml:space="preserve">SUMMER15</t>
        </is>
      </c>
      <c r="M47" s="6">
        <f>ROUND(E47*G47-H47,2)</f>
        <v>16.15</v>
      </c>
      <c r="N47" s="5">
        <f>IF(COUNTIF($A$3:A47,A47)=1,1,0)</f>
        <v>0</v>
      </c>
      <c r="O47" s="6">
        <f>IF(N47=1,ROUND((SUMIFS($M$3:$M$1200,$A$3:$A$1200,A47)+'Settings'!$B$13)*'Settings'!$B$14/100+'Settings'!$B$15,2),0)</f>
        <v>0</v>
      </c>
    </row>
    <row r="48">
      <c r="A48" s="3" t="inlineStr">
        <is>
          <t xml:space="preserve">#1032</t>
        </is>
      </c>
      <c r="B48" s="3" t="inlineStr">
        <is>
          <t xml:space="preserve">2025-11-03</t>
        </is>
      </c>
      <c r="C48" s="3" t="inlineStr">
        <is>
          <t xml:space="preserve">SKU-A</t>
        </is>
      </c>
      <c r="D48" s="3" t="inlineStr">
        <is>
          <t xml:space="preserve">Renewal Serum</t>
        </is>
      </c>
      <c r="E48" s="6">
        <f>IF('Settings'!$B$11="Scenario",IFERROR(INDEX('Catalogue'!$E$3:$E$100,MATCH(C48,'Catalogue'!$B$3:$B$100,0)),F48),F48)</f>
        <v>69.9</v>
      </c>
      <c r="F48" s="8">
        <v>64</v>
      </c>
      <c r="G48" s="3">
        <v>1</v>
      </c>
      <c r="H48" s="6">
        <f>IF('Settings'!$B$11="Scenario",ROUND(E48*G48*IFERROR(SUMIF('Pricing &amp; promotions'!$A$6:$A$8,L48,'Pricing &amp; promotions'!$B$6:$B$8)/100,0),2),J48)</f>
        <v>0.0</v>
      </c>
      <c r="I48" s="6">
        <f>ROUND((E48*G48-H48)/IF(OR(K48=TRUE,K48="TRUE",K48="YES",K48=1),1+'Settings'!$B$6/100,1),2)</f>
        <v>57.77</v>
      </c>
      <c r="J48" s="8">
        <v>0.0</v>
      </c>
      <c r="K48" s="3" t="inlineStr">
        <is>
          <t xml:space="preserve">TRUE</t>
        </is>
      </c>
      <c r="L48" s="3"/>
      <c r="M48" s="6">
        <f>ROUND(E48*G48-H48,2)</f>
        <v>69.9</v>
      </c>
      <c r="N48" s="5">
        <f>IF(COUNTIF($A$3:A48,A48)=1,1,0)</f>
        <v>1</v>
      </c>
      <c r="O48" s="6">
        <f>IF(N48=1,ROUND((SUMIFS($M$3:$M$1200,$A$3:$A$1200,A48)+'Settings'!$B$13)*'Settings'!$B$14/100+'Settings'!$B$15,2),0)</f>
        <v>1.34</v>
      </c>
    </row>
    <row r="49">
      <c r="A49" s="3" t="inlineStr">
        <is>
          <t xml:space="preserve">#1033</t>
        </is>
      </c>
      <c r="B49" s="3" t="inlineStr">
        <is>
          <t xml:space="preserve">2025-11-03</t>
        </is>
      </c>
      <c r="C49" s="3" t="inlineStr">
        <is>
          <t xml:space="preserve">SKU-C</t>
        </is>
      </c>
      <c r="D49" s="3" t="inlineStr">
        <is>
          <t xml:space="preserve">Contour Stone</t>
        </is>
      </c>
      <c r="E49" s="6">
        <f>IF('Settings'!$B$11="Scenario",IFERROR(INDEX('Catalogue'!$E$3:$E$100,MATCH(C49,'Catalogue'!$B$3:$B$100,0)),F49),F49)</f>
        <v>29</v>
      </c>
      <c r="F49" s="8">
        <v>29</v>
      </c>
      <c r="G49" s="3">
        <v>1</v>
      </c>
      <c r="H49" s="6">
        <f>IF('Settings'!$B$11="Scenario",ROUND(E49*G49*IFERROR(SUMIF('Pricing &amp; promotions'!$A$6:$A$8,L49,'Pricing &amp; promotions'!$B$6:$B$8)/100,0),2),J49)</f>
        <v>2.9</v>
      </c>
      <c r="I49" s="6">
        <f>ROUND((E49*G49-H49)/IF(OR(K49=TRUE,K49="TRUE",K49="YES",K49=1),1+'Settings'!$B$6/100,1),2)</f>
        <v>21.57</v>
      </c>
      <c r="J49" s="8">
        <v>2.9</v>
      </c>
      <c r="K49" s="3" t="inlineStr">
        <is>
          <t xml:space="preserve">TRUE</t>
        </is>
      </c>
      <c r="L49" s="3" t="inlineStr">
        <is>
          <t xml:space="preserve">WELCOME10</t>
        </is>
      </c>
      <c r="M49" s="6">
        <f>ROUND(E49*G49-H49,2)</f>
        <v>26.1</v>
      </c>
      <c r="N49" s="5">
        <f>IF(COUNTIF($A$3:A49,A49)=1,1,0)</f>
        <v>1</v>
      </c>
      <c r="O49" s="6">
        <f>IF(N49=1,ROUND((SUMIFS($M$3:$M$1200,$A$3:$A$1200,A49)+'Settings'!$B$13)*'Settings'!$B$14/100+'Settings'!$B$15,2),0)</f>
        <v>0.69</v>
      </c>
    </row>
    <row r="50">
      <c r="A50" s="3" t="inlineStr">
        <is>
          <t xml:space="preserve">#1034</t>
        </is>
      </c>
      <c r="B50" s="3" t="inlineStr">
        <is>
          <t xml:space="preserve">2025-11-04</t>
        </is>
      </c>
      <c r="C50" s="3" t="inlineStr">
        <is>
          <t xml:space="preserve">SKU-A</t>
        </is>
      </c>
      <c r="D50" s="3" t="inlineStr">
        <is>
          <t xml:space="preserve">Renewal Serum</t>
        </is>
      </c>
      <c r="E50" s="6">
        <f>IF('Settings'!$B$11="Scenario",IFERROR(INDEX('Catalogue'!$E$3:$E$100,MATCH(C50,'Catalogue'!$B$3:$B$100,0)),F50),F50)</f>
        <v>69.9</v>
      </c>
      <c r="F50" s="8">
        <v>64</v>
      </c>
      <c r="G50" s="3">
        <v>1</v>
      </c>
      <c r="H50" s="6">
        <f>IF('Settings'!$B$11="Scenario",ROUND(E50*G50*IFERROR(SUMIF('Pricing &amp; promotions'!$A$6:$A$8,L50,'Pricing &amp; promotions'!$B$6:$B$8)/100,0),2),J50)</f>
        <v>13.98</v>
      </c>
      <c r="I50" s="6">
        <f>ROUND((E50*G50-H50)/IF(OR(K50=TRUE,K50="TRUE",K50="YES",K50=1),1+'Settings'!$B$6/100,1),2)</f>
        <v>46.21</v>
      </c>
      <c r="J50" s="8">
        <v>12.8</v>
      </c>
      <c r="K50" s="3" t="inlineStr">
        <is>
          <t xml:space="preserve">TRUE</t>
        </is>
      </c>
      <c r="L50" s="3" t="inlineStr">
        <is>
          <t xml:space="preserve">VIP20</t>
        </is>
      </c>
      <c r="M50" s="6">
        <f>ROUND(E50*G50-H50,2)</f>
        <v>55.92</v>
      </c>
      <c r="N50" s="5">
        <f>IF(COUNTIF($A$3:A50,A50)=1,1,0)</f>
        <v>1</v>
      </c>
      <c r="O50" s="6">
        <f>IF(N50=1,ROUND((SUMIFS($M$3:$M$1200,$A$3:$A$1200,A50)+'Settings'!$B$13)*'Settings'!$B$14/100+'Settings'!$B$15,2),0)</f>
        <v>1.13</v>
      </c>
    </row>
    <row r="51">
      <c r="A51" s="3" t="inlineStr">
        <is>
          <t xml:space="preserve">#1035</t>
        </is>
      </c>
      <c r="B51" s="3" t="inlineStr">
        <is>
          <t xml:space="preserve">2025-11-04</t>
        </is>
      </c>
      <c r="C51" s="3" t="inlineStr">
        <is>
          <t xml:space="preserve">SKU-B</t>
        </is>
      </c>
      <c r="D51" s="3" t="inlineStr">
        <is>
          <t xml:space="preserve">Barrier Balm</t>
        </is>
      </c>
      <c r="E51" s="6">
        <f>IF('Settings'!$B$11="Scenario",IFERROR(INDEX('Catalogue'!$E$3:$E$100,MATCH(C51,'Catalogue'!$B$3:$B$100,0)),F51),F51)</f>
        <v>19</v>
      </c>
      <c r="F51" s="8">
        <v>18</v>
      </c>
      <c r="G51" s="3">
        <v>1</v>
      </c>
      <c r="H51" s="6">
        <f>IF('Settings'!$B$11="Scenario",ROUND(E51*G51*IFERROR(SUMIF('Pricing &amp; promotions'!$A$6:$A$8,L51,'Pricing &amp; promotions'!$B$6:$B$8)/100,0),2),J51)</f>
        <v>2.85</v>
      </c>
      <c r="I51" s="6">
        <f>ROUND((E51*G51-H51)/IF(OR(K51=TRUE,K51="TRUE",K51="YES",K51=1),1+'Settings'!$B$6/100,1),2)</f>
        <v>13.35</v>
      </c>
      <c r="J51" s="8">
        <v>2.7</v>
      </c>
      <c r="K51" s="3" t="inlineStr">
        <is>
          <t xml:space="preserve">TRUE</t>
        </is>
      </c>
      <c r="L51" s="3" t="inlineStr">
        <is>
          <t xml:space="preserve">SUMMER15</t>
        </is>
      </c>
      <c r="M51" s="6">
        <f>ROUND(E51*G51-H51,2)</f>
        <v>16.15</v>
      </c>
      <c r="N51" s="5">
        <f>IF(COUNTIF($A$3:A51,A51)=1,1,0)</f>
        <v>1</v>
      </c>
      <c r="O51" s="6">
        <f>IF(N51=1,ROUND((SUMIFS($M$3:$M$1200,$A$3:$A$1200,A51)+'Settings'!$B$13)*'Settings'!$B$14/100+'Settings'!$B$15,2),0)</f>
        <v>0.54</v>
      </c>
    </row>
    <row r="52">
      <c r="A52" s="3" t="inlineStr">
        <is>
          <t xml:space="preserve">#1036</t>
        </is>
      </c>
      <c r="B52" s="3" t="inlineStr">
        <is>
          <t xml:space="preserve">2025-11-05</t>
        </is>
      </c>
      <c r="C52" s="3" t="inlineStr">
        <is>
          <t xml:space="preserve">SKU-D</t>
        </is>
      </c>
      <c r="D52" s="3" t="inlineStr">
        <is>
          <t xml:space="preserve">Daily Duo</t>
        </is>
      </c>
      <c r="E52" s="6">
        <f>IF('Settings'!$B$11="Scenario",IFERROR(INDEX('Catalogue'!$E$3:$E$100,MATCH(C52,'Catalogue'!$B$3:$B$100,0)),F52),F52)</f>
        <v>79</v>
      </c>
      <c r="F52" s="8">
        <v>79</v>
      </c>
      <c r="G52" s="3">
        <v>1</v>
      </c>
      <c r="H52" s="6">
        <f>IF('Settings'!$B$11="Scenario",ROUND(E52*G52*IFERROR(SUMIF('Pricing &amp; promotions'!$A$6:$A$8,L52,'Pricing &amp; promotions'!$B$6:$B$8)/100,0),2),J52)</f>
        <v>0.0</v>
      </c>
      <c r="I52" s="6">
        <f>ROUND((E52*G52-H52)/IF(OR(K52=TRUE,K52="TRUE",K52="YES",K52=1),1+'Settings'!$B$6/100,1),2)</f>
        <v>65.29</v>
      </c>
      <c r="J52" s="8">
        <v>0.0</v>
      </c>
      <c r="K52" s="3" t="inlineStr">
        <is>
          <t xml:space="preserve">TRUE</t>
        </is>
      </c>
      <c r="L52" s="3"/>
      <c r="M52" s="6">
        <f>ROUND(E52*G52-H52,2)</f>
        <v>79.0</v>
      </c>
      <c r="N52" s="5">
        <f>IF(COUNTIF($A$3:A52,A52)=1,1,0)</f>
        <v>1</v>
      </c>
      <c r="O52" s="6">
        <f>IF(N52=1,ROUND((SUMIFS($M$3:$M$1200,$A$3:$A$1200,A52)+'Settings'!$B$13)*'Settings'!$B$14/100+'Settings'!$B$15,2),0)</f>
        <v>3.86</v>
      </c>
    </row>
    <row r="53">
      <c r="A53" s="3" t="inlineStr">
        <is>
          <t xml:space="preserve">#1036</t>
        </is>
      </c>
      <c r="B53" s="3" t="inlineStr">
        <is>
          <t xml:space="preserve">2025-11-05</t>
        </is>
      </c>
      <c r="C53" s="3" t="inlineStr">
        <is>
          <t xml:space="preserve">SKU-E</t>
        </is>
      </c>
      <c r="D53" s="3" t="inlineStr">
        <is>
          <t xml:space="preserve">Complete Ritual</t>
        </is>
      </c>
      <c r="E53" s="6">
        <f>IF('Settings'!$B$11="Scenario",IFERROR(INDEX('Catalogue'!$E$3:$E$100,MATCH(C53,'Catalogue'!$B$3:$B$100,0)),F53),F53)</f>
        <v>89</v>
      </c>
      <c r="F53" s="8">
        <v>89</v>
      </c>
      <c r="G53" s="3">
        <v>1</v>
      </c>
      <c r="H53" s="6">
        <f>IF('Settings'!$B$11="Scenario",ROUND(E53*G53*IFERROR(SUMIF('Pricing &amp; promotions'!$A$6:$A$8,L53,'Pricing &amp; promotions'!$B$6:$B$8)/100,0),2),J53)</f>
        <v>0.0</v>
      </c>
      <c r="I53" s="6">
        <f>ROUND((E53*G53-H53)/IF(OR(K53=TRUE,K53="TRUE",K53="YES",K53=1),1+'Settings'!$B$6/100,1),2)</f>
        <v>73.55</v>
      </c>
      <c r="J53" s="8">
        <v>0.0</v>
      </c>
      <c r="K53" s="3" t="inlineStr">
        <is>
          <t xml:space="preserve">TRUE</t>
        </is>
      </c>
      <c r="L53" s="3"/>
      <c r="M53" s="6">
        <f>ROUND(E53*G53-H53,2)</f>
        <v>89.0</v>
      </c>
      <c r="N53" s="5">
        <f>IF(COUNTIF($A$3:A53,A53)=1,1,0)</f>
        <v>0</v>
      </c>
      <c r="O53" s="6">
        <f>IF(N53=1,ROUND((SUMIFS($M$3:$M$1200,$A$3:$A$1200,A53)+'Settings'!$B$13)*'Settings'!$B$14/100+'Settings'!$B$15,2),0)</f>
        <v>0</v>
      </c>
    </row>
    <row r="54">
      <c r="A54" s="3" t="inlineStr">
        <is>
          <t xml:space="preserve">#1036</t>
        </is>
      </c>
      <c r="B54" s="3" t="inlineStr">
        <is>
          <t xml:space="preserve">2025-11-05</t>
        </is>
      </c>
      <c r="C54" s="3" t="inlineStr">
        <is>
          <t xml:space="preserve">SKU-A</t>
        </is>
      </c>
      <c r="D54" s="3" t="inlineStr">
        <is>
          <t xml:space="preserve">Renewal Serum</t>
        </is>
      </c>
      <c r="E54" s="6">
        <f>IF('Settings'!$B$11="Scenario",IFERROR(INDEX('Catalogue'!$E$3:$E$100,MATCH(C54,'Catalogue'!$B$3:$B$100,0)),F54),F54)</f>
        <v>69.9</v>
      </c>
      <c r="F54" s="8">
        <v>64</v>
      </c>
      <c r="G54" s="3">
        <v>1</v>
      </c>
      <c r="H54" s="6">
        <f>IF('Settings'!$B$11="Scenario",ROUND(E54*G54*IFERROR(SUMIF('Pricing &amp; promotions'!$A$6:$A$8,L54,'Pricing &amp; promotions'!$B$6:$B$8)/100,0),2),J54)</f>
        <v>0.0</v>
      </c>
      <c r="I54" s="6">
        <f>ROUND((E54*G54-H54)/IF(OR(K54=TRUE,K54="TRUE",K54="YES",K54=1),1+'Settings'!$B$6/100,1),2)</f>
        <v>57.77</v>
      </c>
      <c r="J54" s="8">
        <v>0.0</v>
      </c>
      <c r="K54" s="3" t="inlineStr">
        <is>
          <t xml:space="preserve">TRUE</t>
        </is>
      </c>
      <c r="L54" s="3"/>
      <c r="M54" s="6">
        <f>ROUND(E54*G54-H54,2)</f>
        <v>69.9</v>
      </c>
      <c r="N54" s="5">
        <f>IF(COUNTIF($A$3:A54,A54)=1,1,0)</f>
        <v>0</v>
      </c>
      <c r="O54" s="6">
        <f>IF(N54=1,ROUND((SUMIFS($M$3:$M$1200,$A$3:$A$1200,A54)+'Settings'!$B$13)*'Settings'!$B$14/100+'Settings'!$B$15,2),0)</f>
        <v>0</v>
      </c>
    </row>
    <row r="55">
      <c r="A55" s="3" t="inlineStr">
        <is>
          <t xml:space="preserve">#1037</t>
        </is>
      </c>
      <c r="B55" s="3" t="inlineStr">
        <is>
          <t xml:space="preserve">2025-11-06</t>
        </is>
      </c>
      <c r="C55" s="3" t="inlineStr">
        <is>
          <t xml:space="preserve">SKU-A</t>
        </is>
      </c>
      <c r="D55" s="3" t="inlineStr">
        <is>
          <t xml:space="preserve">Renewal Serum</t>
        </is>
      </c>
      <c r="E55" s="6">
        <f>IF('Settings'!$B$11="Scenario",IFERROR(INDEX('Catalogue'!$E$3:$E$100,MATCH(C55,'Catalogue'!$B$3:$B$100,0)),F55),F55)</f>
        <v>69.9</v>
      </c>
      <c r="F55" s="8">
        <v>64</v>
      </c>
      <c r="G55" s="3">
        <v>1</v>
      </c>
      <c r="H55" s="6">
        <f>IF('Settings'!$B$11="Scenario",ROUND(E55*G55*IFERROR(SUMIF('Pricing &amp; promotions'!$A$6:$A$8,L55,'Pricing &amp; promotions'!$B$6:$B$8)/100,0),2),J55)</f>
        <v>6.99</v>
      </c>
      <c r="I55" s="6">
        <f>ROUND((E55*G55-H55)/IF(OR(K55=TRUE,K55="TRUE",K55="YES",K55=1),1+'Settings'!$B$6/100,1),2)</f>
        <v>51.99</v>
      </c>
      <c r="J55" s="8">
        <v>6.4</v>
      </c>
      <c r="K55" s="3" t="inlineStr">
        <is>
          <t xml:space="preserve">TRUE</t>
        </is>
      </c>
      <c r="L55" s="3" t="inlineStr">
        <is>
          <t xml:space="preserve">WELCOME10</t>
        </is>
      </c>
      <c r="M55" s="6">
        <f>ROUND(E55*G55-H55,2)</f>
        <v>62.91</v>
      </c>
      <c r="N55" s="5">
        <f>IF(COUNTIF($A$3:A55,A55)=1,1,0)</f>
        <v>1</v>
      </c>
      <c r="O55" s="6">
        <f>IF(N55=1,ROUND((SUMIFS($M$3:$M$1200,$A$3:$A$1200,A55)+'Settings'!$B$13)*'Settings'!$B$14/100+'Settings'!$B$15,2),0)</f>
        <v>2.3</v>
      </c>
    </row>
    <row r="56">
      <c r="A56" s="3" t="inlineStr">
        <is>
          <t xml:space="preserve">#1037</t>
        </is>
      </c>
      <c r="B56" s="3" t="inlineStr">
        <is>
          <t xml:space="preserve">2025-11-06</t>
        </is>
      </c>
      <c r="C56" s="3" t="inlineStr">
        <is>
          <t xml:space="preserve">SKU-D</t>
        </is>
      </c>
      <c r="D56" s="3" t="inlineStr">
        <is>
          <t xml:space="preserve">Daily Duo</t>
        </is>
      </c>
      <c r="E56" s="6">
        <f>IF('Settings'!$B$11="Scenario",IFERROR(INDEX('Catalogue'!$E$3:$E$100,MATCH(C56,'Catalogue'!$B$3:$B$100,0)),F56),F56)</f>
        <v>79</v>
      </c>
      <c r="F56" s="8">
        <v>79</v>
      </c>
      <c r="G56" s="3">
        <v>1</v>
      </c>
      <c r="H56" s="6">
        <f>IF('Settings'!$B$11="Scenario",ROUND(E56*G56*IFERROR(SUMIF('Pricing &amp; promotions'!$A$6:$A$8,L56,'Pricing &amp; promotions'!$B$6:$B$8)/100,0),2),J56)</f>
        <v>7.9</v>
      </c>
      <c r="I56" s="6">
        <f>ROUND((E56*G56-H56)/IF(OR(K56=TRUE,K56="TRUE",K56="YES",K56=1),1+'Settings'!$B$6/100,1),2)</f>
        <v>58.76</v>
      </c>
      <c r="J56" s="8">
        <v>7.9</v>
      </c>
      <c r="K56" s="3" t="inlineStr">
        <is>
          <t xml:space="preserve">TRUE</t>
        </is>
      </c>
      <c r="L56" s="3" t="inlineStr">
        <is>
          <t xml:space="preserve">WELCOME10</t>
        </is>
      </c>
      <c r="M56" s="6">
        <f>ROUND(E56*G56-H56,2)</f>
        <v>71.1</v>
      </c>
      <c r="N56" s="5">
        <f>IF(COUNTIF($A$3:A56,A56)=1,1,0)</f>
        <v>0</v>
      </c>
      <c r="O56" s="6">
        <f>IF(N56=1,ROUND((SUMIFS($M$3:$M$1200,$A$3:$A$1200,A56)+'Settings'!$B$13)*'Settings'!$B$14/100+'Settings'!$B$15,2),0)</f>
        <v>0</v>
      </c>
    </row>
    <row r="57">
      <c r="A57" s="3" t="inlineStr">
        <is>
          <t xml:space="preserve">#1038</t>
        </is>
      </c>
      <c r="B57" s="3" t="inlineStr">
        <is>
          <t xml:space="preserve">2025-11-06</t>
        </is>
      </c>
      <c r="C57" s="3" t="inlineStr">
        <is>
          <t xml:space="preserve">SKU-D</t>
        </is>
      </c>
      <c r="D57" s="3" t="inlineStr">
        <is>
          <t xml:space="preserve">Daily Duo</t>
        </is>
      </c>
      <c r="E57" s="6">
        <f>IF('Settings'!$B$11="Scenario",IFERROR(INDEX('Catalogue'!$E$3:$E$100,MATCH(C57,'Catalogue'!$B$3:$B$100,0)),F57),F57)</f>
        <v>79</v>
      </c>
      <c r="F57" s="8">
        <v>79</v>
      </c>
      <c r="G57" s="3">
        <v>2</v>
      </c>
      <c r="H57" s="6">
        <f>IF('Settings'!$B$11="Scenario",ROUND(E57*G57*IFERROR(SUMIF('Pricing &amp; promotions'!$A$6:$A$8,L57,'Pricing &amp; promotions'!$B$6:$B$8)/100,0),2),J57)</f>
        <v>0.0</v>
      </c>
      <c r="I57" s="6">
        <f>ROUND((E57*G57-H57)/IF(OR(K57=TRUE,K57="TRUE",K57="YES",K57=1),1+'Settings'!$B$6/100,1),2)</f>
        <v>130.58</v>
      </c>
      <c r="J57" s="8">
        <v>0.0</v>
      </c>
      <c r="K57" s="3" t="inlineStr">
        <is>
          <t xml:space="preserve">TRUE</t>
        </is>
      </c>
      <c r="L57" s="3"/>
      <c r="M57" s="6">
        <f>ROUND(E57*G57-H57,2)</f>
        <v>158.0</v>
      </c>
      <c r="N57" s="5">
        <f>IF(COUNTIF($A$3:A57,A57)=1,1,0)</f>
        <v>1</v>
      </c>
      <c r="O57" s="6">
        <f>IF(N57=1,ROUND((SUMIFS($M$3:$M$1200,$A$3:$A$1200,A57)+'Settings'!$B$13)*'Settings'!$B$14/100+'Settings'!$B$15,2),0)</f>
        <v>2.66</v>
      </c>
    </row>
    <row r="58">
      <c r="A58" s="3" t="inlineStr">
        <is>
          <t xml:space="preserve">#1039</t>
        </is>
      </c>
      <c r="B58" s="3" t="inlineStr">
        <is>
          <t xml:space="preserve">2025-11-06</t>
        </is>
      </c>
      <c r="C58" s="3" t="inlineStr">
        <is>
          <t xml:space="preserve">SKU-A</t>
        </is>
      </c>
      <c r="D58" s="3" t="inlineStr">
        <is>
          <t xml:space="preserve">Renewal Serum</t>
        </is>
      </c>
      <c r="E58" s="6">
        <f>IF('Settings'!$B$11="Scenario",IFERROR(INDEX('Catalogue'!$E$3:$E$100,MATCH(C58,'Catalogue'!$B$3:$B$100,0)),F58),F58)</f>
        <v>69.9</v>
      </c>
      <c r="F58" s="8">
        <v>64</v>
      </c>
      <c r="G58" s="3">
        <v>1</v>
      </c>
      <c r="H58" s="6">
        <f>IF('Settings'!$B$11="Scenario",ROUND(E58*G58*IFERROR(SUMIF('Pricing &amp; promotions'!$A$6:$A$8,L58,'Pricing &amp; promotions'!$B$6:$B$8)/100,0),2),J58)</f>
        <v>13.98</v>
      </c>
      <c r="I58" s="6">
        <f>ROUND((E58*G58-H58)/IF(OR(K58=TRUE,K58="TRUE",K58="YES",K58=1),1+'Settings'!$B$6/100,1),2)</f>
        <v>46.21</v>
      </c>
      <c r="J58" s="8">
        <v>12.8</v>
      </c>
      <c r="K58" s="3" t="inlineStr">
        <is>
          <t xml:space="preserve">TRUE</t>
        </is>
      </c>
      <c r="L58" s="3" t="inlineStr">
        <is>
          <t xml:space="preserve">VIP20</t>
        </is>
      </c>
      <c r="M58" s="6">
        <f>ROUND(E58*G58-H58,2)</f>
        <v>55.92</v>
      </c>
      <c r="N58" s="5">
        <f>IF(COUNTIF($A$3:A58,A58)=1,1,0)</f>
        <v>1</v>
      </c>
      <c r="O58" s="6">
        <f>IF(N58=1,ROUND((SUMIFS($M$3:$M$1200,$A$3:$A$1200,A58)+'Settings'!$B$13)*'Settings'!$B$14/100+'Settings'!$B$15,2),0)</f>
        <v>1.13</v>
      </c>
    </row>
    <row r="59">
      <c r="A59" s="3" t="inlineStr">
        <is>
          <t xml:space="preserve">#1040</t>
        </is>
      </c>
      <c r="B59" s="3" t="inlineStr">
        <is>
          <t xml:space="preserve">2025-11-06</t>
        </is>
      </c>
      <c r="C59" s="3" t="inlineStr">
        <is>
          <t xml:space="preserve">SKU-A</t>
        </is>
      </c>
      <c r="D59" s="3" t="inlineStr">
        <is>
          <t xml:space="preserve">Renewal Serum</t>
        </is>
      </c>
      <c r="E59" s="6">
        <f>IF('Settings'!$B$11="Scenario",IFERROR(INDEX('Catalogue'!$E$3:$E$100,MATCH(C59,'Catalogue'!$B$3:$B$100,0)),F59),F59)</f>
        <v>69.9</v>
      </c>
      <c r="F59" s="8">
        <v>64</v>
      </c>
      <c r="G59" s="3">
        <v>1</v>
      </c>
      <c r="H59" s="6">
        <f>IF('Settings'!$B$11="Scenario",ROUND(E59*G59*IFERROR(SUMIF('Pricing &amp; promotions'!$A$6:$A$8,L59,'Pricing &amp; promotions'!$B$6:$B$8)/100,0),2),J59)</f>
        <v>6.99</v>
      </c>
      <c r="I59" s="6">
        <f>ROUND((E59*G59-H59)/IF(OR(K59=TRUE,K59="TRUE",K59="YES",K59=1),1+'Settings'!$B$6/100,1),2)</f>
        <v>51.99</v>
      </c>
      <c r="J59" s="8">
        <v>6.4</v>
      </c>
      <c r="K59" s="3" t="inlineStr">
        <is>
          <t xml:space="preserve">TRUE</t>
        </is>
      </c>
      <c r="L59" s="3" t="inlineStr">
        <is>
          <t xml:space="preserve">WELCOME10</t>
        </is>
      </c>
      <c r="M59" s="6">
        <f>ROUND(E59*G59-H59,2)</f>
        <v>62.91</v>
      </c>
      <c r="N59" s="5">
        <f>IF(COUNTIF($A$3:A59,A59)=1,1,0)</f>
        <v>1</v>
      </c>
      <c r="O59" s="6">
        <f>IF(N59=1,ROUND((SUMIFS($M$3:$M$1200,$A$3:$A$1200,A59)+'Settings'!$B$13)*'Settings'!$B$14/100+'Settings'!$B$15,2),0)</f>
        <v>2.17</v>
      </c>
    </row>
    <row r="60">
      <c r="A60" s="3" t="inlineStr">
        <is>
          <t xml:space="preserve">#1040</t>
        </is>
      </c>
      <c r="B60" s="3" t="inlineStr">
        <is>
          <t xml:space="preserve">2025-11-06</t>
        </is>
      </c>
      <c r="C60" s="3" t="inlineStr">
        <is>
          <t xml:space="preserve">SKU-G</t>
        </is>
      </c>
      <c r="D60" s="3" t="inlineStr">
        <is>
          <t xml:space="preserve">Daily Reset Set</t>
        </is>
      </c>
      <c r="E60" s="6">
        <f>IF('Settings'!$B$11="Scenario",IFERROR(INDEX('Catalogue'!$E$3:$E$100,MATCH(C60,'Catalogue'!$B$3:$B$100,0)),F60),F60)</f>
        <v>69</v>
      </c>
      <c r="F60" s="8">
        <v>69</v>
      </c>
      <c r="G60" s="3">
        <v>1</v>
      </c>
      <c r="H60" s="6">
        <f>IF('Settings'!$B$11="Scenario",ROUND(E60*G60*IFERROR(SUMIF('Pricing &amp; promotions'!$A$6:$A$8,L60,'Pricing &amp; promotions'!$B$6:$B$8)/100,0),2),J60)</f>
        <v>6.9</v>
      </c>
      <c r="I60" s="6">
        <f>ROUND((E60*G60-H60)/IF(OR(K60=TRUE,K60="TRUE",K60="YES",K60=1),1+'Settings'!$B$6/100,1),2)</f>
        <v>51.32</v>
      </c>
      <c r="J60" s="8">
        <v>6.9</v>
      </c>
      <c r="K60" s="3" t="inlineStr">
        <is>
          <t xml:space="preserve">TRUE</t>
        </is>
      </c>
      <c r="L60" s="3" t="inlineStr">
        <is>
          <t xml:space="preserve">WELCOME10</t>
        </is>
      </c>
      <c r="M60" s="6">
        <f>ROUND(E60*G60-H60,2)</f>
        <v>62.1</v>
      </c>
      <c r="N60" s="5">
        <f>IF(COUNTIF($A$3:A60,A60)=1,1,0)</f>
        <v>0</v>
      </c>
      <c r="O60" s="6">
        <f>IF(N60=1,ROUND((SUMIFS($M$3:$M$1200,$A$3:$A$1200,A60)+'Settings'!$B$13)*'Settings'!$B$14/100+'Settings'!$B$15,2),0)</f>
        <v>0</v>
      </c>
    </row>
    <row r="61">
      <c r="A61" s="3" t="inlineStr">
        <is>
          <t xml:space="preserve">#1041</t>
        </is>
      </c>
      <c r="B61" s="3" t="inlineStr">
        <is>
          <t xml:space="preserve">2025-11-07</t>
        </is>
      </c>
      <c r="C61" s="3" t="inlineStr">
        <is>
          <t xml:space="preserve">SKU-A</t>
        </is>
      </c>
      <c r="D61" s="3" t="inlineStr">
        <is>
          <t xml:space="preserve">Renewal Serum</t>
        </is>
      </c>
      <c r="E61" s="6">
        <f>IF('Settings'!$B$11="Scenario",IFERROR(INDEX('Catalogue'!$E$3:$E$100,MATCH(C61,'Catalogue'!$B$3:$B$100,0)),F61),F61)</f>
        <v>69.9</v>
      </c>
      <c r="F61" s="8">
        <v>64</v>
      </c>
      <c r="G61" s="3">
        <v>1</v>
      </c>
      <c r="H61" s="6">
        <f>IF('Settings'!$B$11="Scenario",ROUND(E61*G61*IFERROR(SUMIF('Pricing &amp; promotions'!$A$6:$A$8,L61,'Pricing &amp; promotions'!$B$6:$B$8)/100,0),2),J61)</f>
        <v>0.0</v>
      </c>
      <c r="I61" s="6">
        <f>ROUND((E61*G61-H61)/IF(OR(K61=TRUE,K61="TRUE",K61="YES",K61=1),1+'Settings'!$B$6/100,1),2)</f>
        <v>57.77</v>
      </c>
      <c r="J61" s="8">
        <v>0.0</v>
      </c>
      <c r="K61" s="3" t="inlineStr">
        <is>
          <t xml:space="preserve">TRUE</t>
        </is>
      </c>
      <c r="L61" s="3"/>
      <c r="M61" s="6">
        <f>ROUND(E61*G61-H61,2)</f>
        <v>69.9</v>
      </c>
      <c r="N61" s="5">
        <f>IF(COUNTIF($A$3:A61,A61)=1,1,0)</f>
        <v>1</v>
      </c>
      <c r="O61" s="6">
        <f>IF(N61=1,ROUND((SUMIFS($M$3:$M$1200,$A$3:$A$1200,A61)+'Settings'!$B$13)*'Settings'!$B$14/100+'Settings'!$B$15,2),0)</f>
        <v>1.34</v>
      </c>
    </row>
    <row r="62">
      <c r="A62" s="3" t="inlineStr">
        <is>
          <t xml:space="preserve">#1042</t>
        </is>
      </c>
      <c r="B62" s="3" t="inlineStr">
        <is>
          <t xml:space="preserve">2025-11-07</t>
        </is>
      </c>
      <c r="C62" s="3" t="inlineStr">
        <is>
          <t xml:space="preserve">SKU-E</t>
        </is>
      </c>
      <c r="D62" s="3" t="inlineStr">
        <is>
          <t xml:space="preserve">Complete Ritual</t>
        </is>
      </c>
      <c r="E62" s="6">
        <f>IF('Settings'!$B$11="Scenario",IFERROR(INDEX('Catalogue'!$E$3:$E$100,MATCH(C62,'Catalogue'!$B$3:$B$100,0)),F62),F62)</f>
        <v>89</v>
      </c>
      <c r="F62" s="8">
        <v>89</v>
      </c>
      <c r="G62" s="3">
        <v>2</v>
      </c>
      <c r="H62" s="6">
        <f>IF('Settings'!$B$11="Scenario",ROUND(E62*G62*IFERROR(SUMIF('Pricing &amp; promotions'!$A$6:$A$8,L62,'Pricing &amp; promotions'!$B$6:$B$8)/100,0),2),J62)</f>
        <v>0.0</v>
      </c>
      <c r="I62" s="6">
        <f>ROUND((E62*G62-H62)/IF(OR(K62=TRUE,K62="TRUE",K62="YES",K62=1),1+'Settings'!$B$6/100,1),2)</f>
        <v>147.11</v>
      </c>
      <c r="J62" s="8">
        <v>0.0</v>
      </c>
      <c r="K62" s="3" t="inlineStr">
        <is>
          <t xml:space="preserve">TRUE</t>
        </is>
      </c>
      <c r="L62" s="3"/>
      <c r="M62" s="6">
        <f>ROUND(E62*G62-H62,2)</f>
        <v>178.0</v>
      </c>
      <c r="N62" s="5">
        <f>IF(COUNTIF($A$3:A62,A62)=1,1,0)</f>
        <v>1</v>
      </c>
      <c r="O62" s="6">
        <f>IF(N62=1,ROUND((SUMIFS($M$3:$M$1200,$A$3:$A$1200,A62)+'Settings'!$B$13)*'Settings'!$B$14/100+'Settings'!$B$15,2),0)</f>
        <v>2.96</v>
      </c>
    </row>
    <row r="63">
      <c r="A63" s="3" t="inlineStr">
        <is>
          <t xml:space="preserve">#1043</t>
        </is>
      </c>
      <c r="B63" s="3" t="inlineStr">
        <is>
          <t xml:space="preserve">2025-11-07</t>
        </is>
      </c>
      <c r="C63" s="3" t="inlineStr">
        <is>
          <t xml:space="preserve">SKU-D</t>
        </is>
      </c>
      <c r="D63" s="3" t="inlineStr">
        <is>
          <t xml:space="preserve">Daily Duo</t>
        </is>
      </c>
      <c r="E63" s="6">
        <f>IF('Settings'!$B$11="Scenario",IFERROR(INDEX('Catalogue'!$E$3:$E$100,MATCH(C63,'Catalogue'!$B$3:$B$100,0)),F63),F63)</f>
        <v>79</v>
      </c>
      <c r="F63" s="8">
        <v>79</v>
      </c>
      <c r="G63" s="3">
        <v>1</v>
      </c>
      <c r="H63" s="6">
        <f>IF('Settings'!$B$11="Scenario",ROUND(E63*G63*IFERROR(SUMIF('Pricing &amp; promotions'!$A$6:$A$8,L63,'Pricing &amp; promotions'!$B$6:$B$8)/100,0),2),J63)</f>
        <v>7.9</v>
      </c>
      <c r="I63" s="6">
        <f>ROUND((E63*G63-H63)/IF(OR(K63=TRUE,K63="TRUE",K63="YES",K63=1),1+'Settings'!$B$6/100,1),2)</f>
        <v>58.76</v>
      </c>
      <c r="J63" s="8">
        <v>7.9</v>
      </c>
      <c r="K63" s="3" t="inlineStr">
        <is>
          <t xml:space="preserve">TRUE</t>
        </is>
      </c>
      <c r="L63" s="3" t="inlineStr">
        <is>
          <t xml:space="preserve">WELCOME10</t>
        </is>
      </c>
      <c r="M63" s="6">
        <f>ROUND(E63*G63-H63,2)</f>
        <v>71.1</v>
      </c>
      <c r="N63" s="5">
        <f>IF(COUNTIF($A$3:A63,A63)=1,1,0)</f>
        <v>1</v>
      </c>
      <c r="O63" s="6">
        <f>IF(N63=1,ROUND((SUMIFS($M$3:$M$1200,$A$3:$A$1200,A63)+'Settings'!$B$13)*'Settings'!$B$14/100+'Settings'!$B$15,2),0)</f>
        <v>2.3</v>
      </c>
    </row>
    <row r="64">
      <c r="A64" s="3" t="inlineStr">
        <is>
          <t xml:space="preserve">#1043</t>
        </is>
      </c>
      <c r="B64" s="3" t="inlineStr">
        <is>
          <t xml:space="preserve">2025-11-07</t>
        </is>
      </c>
      <c r="C64" s="3" t="inlineStr">
        <is>
          <t xml:space="preserve">SKU-A</t>
        </is>
      </c>
      <c r="D64" s="3" t="inlineStr">
        <is>
          <t xml:space="preserve">Renewal Serum</t>
        </is>
      </c>
      <c r="E64" s="6">
        <f>IF('Settings'!$B$11="Scenario",IFERROR(INDEX('Catalogue'!$E$3:$E$100,MATCH(C64,'Catalogue'!$B$3:$B$100,0)),F64),F64)</f>
        <v>69.9</v>
      </c>
      <c r="F64" s="8">
        <v>64</v>
      </c>
      <c r="G64" s="3">
        <v>1</v>
      </c>
      <c r="H64" s="6">
        <f>IF('Settings'!$B$11="Scenario",ROUND(E64*G64*IFERROR(SUMIF('Pricing &amp; promotions'!$A$6:$A$8,L64,'Pricing &amp; promotions'!$B$6:$B$8)/100,0),2),J64)</f>
        <v>6.99</v>
      </c>
      <c r="I64" s="6">
        <f>ROUND((E64*G64-H64)/IF(OR(K64=TRUE,K64="TRUE",K64="YES",K64=1),1+'Settings'!$B$6/100,1),2)</f>
        <v>51.99</v>
      </c>
      <c r="J64" s="8">
        <v>6.4</v>
      </c>
      <c r="K64" s="3" t="inlineStr">
        <is>
          <t xml:space="preserve">TRUE</t>
        </is>
      </c>
      <c r="L64" s="3" t="inlineStr">
        <is>
          <t xml:space="preserve">WELCOME10</t>
        </is>
      </c>
      <c r="M64" s="6">
        <f>ROUND(E64*G64-H64,2)</f>
        <v>62.91</v>
      </c>
      <c r="N64" s="5">
        <f>IF(COUNTIF($A$3:A64,A64)=1,1,0)</f>
        <v>0</v>
      </c>
      <c r="O64" s="6">
        <f>IF(N64=1,ROUND((SUMIFS($M$3:$M$1200,$A$3:$A$1200,A64)+'Settings'!$B$13)*'Settings'!$B$14/100+'Settings'!$B$15,2),0)</f>
        <v>0</v>
      </c>
    </row>
    <row r="65">
      <c r="A65" s="3" t="inlineStr">
        <is>
          <t xml:space="preserve">#1044</t>
        </is>
      </c>
      <c r="B65" s="3" t="inlineStr">
        <is>
          <t xml:space="preserve">2025-11-07</t>
        </is>
      </c>
      <c r="C65" s="3" t="inlineStr">
        <is>
          <t xml:space="preserve">SKU-D</t>
        </is>
      </c>
      <c r="D65" s="3" t="inlineStr">
        <is>
          <t xml:space="preserve">Daily Duo</t>
        </is>
      </c>
      <c r="E65" s="6">
        <f>IF('Settings'!$B$11="Scenario",IFERROR(INDEX('Catalogue'!$E$3:$E$100,MATCH(C65,'Catalogue'!$B$3:$B$100,0)),F65),F65)</f>
        <v>79</v>
      </c>
      <c r="F65" s="8">
        <v>79</v>
      </c>
      <c r="G65" s="3">
        <v>1</v>
      </c>
      <c r="H65" s="6">
        <f>IF('Settings'!$B$11="Scenario",ROUND(E65*G65*IFERROR(SUMIF('Pricing &amp; promotions'!$A$6:$A$8,L65,'Pricing &amp; promotions'!$B$6:$B$8)/100,0),2),J65)</f>
        <v>0.0</v>
      </c>
      <c r="I65" s="6">
        <f>ROUND((E65*G65-H65)/IF(OR(K65=TRUE,K65="TRUE",K65="YES",K65=1),1+'Settings'!$B$6/100,1),2)</f>
        <v>65.29</v>
      </c>
      <c r="J65" s="8">
        <v>0.0</v>
      </c>
      <c r="K65" s="3" t="inlineStr">
        <is>
          <t xml:space="preserve">TRUE</t>
        </is>
      </c>
      <c r="L65" s="3"/>
      <c r="M65" s="6">
        <f>ROUND(E65*G65-H65,2)</f>
        <v>79.0</v>
      </c>
      <c r="N65" s="5">
        <f>IF(COUNTIF($A$3:A65,A65)=1,1,0)</f>
        <v>1</v>
      </c>
      <c r="O65" s="6">
        <f>IF(N65=1,ROUND((SUMIFS($M$3:$M$1200,$A$3:$A$1200,A65)+'Settings'!$B$13)*'Settings'!$B$14/100+'Settings'!$B$15,2),0)</f>
        <v>1.48</v>
      </c>
    </row>
    <row r="66">
      <c r="A66" s="3" t="inlineStr">
        <is>
          <t xml:space="preserve">#1045</t>
        </is>
      </c>
      <c r="B66" s="3" t="inlineStr">
        <is>
          <t xml:space="preserve">2025-11-08</t>
        </is>
      </c>
      <c r="C66" s="3" t="inlineStr">
        <is>
          <t xml:space="preserve">SKU-G</t>
        </is>
      </c>
      <c r="D66" s="3" t="inlineStr">
        <is>
          <t xml:space="preserve">Daily Reset Set</t>
        </is>
      </c>
      <c r="E66" s="6">
        <f>IF('Settings'!$B$11="Scenario",IFERROR(INDEX('Catalogue'!$E$3:$E$100,MATCH(C66,'Catalogue'!$B$3:$B$100,0)),F66),F66)</f>
        <v>69</v>
      </c>
      <c r="F66" s="8">
        <v>69</v>
      </c>
      <c r="G66" s="3">
        <v>2</v>
      </c>
      <c r="H66" s="6">
        <f>IF('Settings'!$B$11="Scenario",ROUND(E66*G66*IFERROR(SUMIF('Pricing &amp; promotions'!$A$6:$A$8,L66,'Pricing &amp; promotions'!$B$6:$B$8)/100,0),2),J66)</f>
        <v>20.7</v>
      </c>
      <c r="I66" s="6">
        <f>ROUND((E66*G66-H66)/IF(OR(K66=TRUE,K66="TRUE",K66="YES",K66=1),1+'Settings'!$B$6/100,1),2)</f>
        <v>96.94</v>
      </c>
      <c r="J66" s="8">
        <v>20.7</v>
      </c>
      <c r="K66" s="3" t="inlineStr">
        <is>
          <t xml:space="preserve">TRUE</t>
        </is>
      </c>
      <c r="L66" s="3" t="inlineStr">
        <is>
          <t xml:space="preserve">SUMMER15</t>
        </is>
      </c>
      <c r="M66" s="6">
        <f>ROUND(E66*G66-H66,2)</f>
        <v>117.3</v>
      </c>
      <c r="N66" s="5">
        <f>IF(COUNTIF($A$3:A66,A66)=1,1,0)</f>
        <v>1</v>
      </c>
      <c r="O66" s="6">
        <f>IF(N66=1,ROUND((SUMIFS($M$3:$M$1200,$A$3:$A$1200,A66)+'Settings'!$B$13)*'Settings'!$B$14/100+'Settings'!$B$15,2),0)</f>
        <v>2.05</v>
      </c>
    </row>
    <row r="67">
      <c r="A67" s="3" t="inlineStr">
        <is>
          <t xml:space="preserve">#1046</t>
        </is>
      </c>
      <c r="B67" s="3" t="inlineStr">
        <is>
          <t xml:space="preserve">2025-11-08</t>
        </is>
      </c>
      <c r="C67" s="3" t="inlineStr">
        <is>
          <t xml:space="preserve">SKU-C</t>
        </is>
      </c>
      <c r="D67" s="3" t="inlineStr">
        <is>
          <t xml:space="preserve">Contour Stone</t>
        </is>
      </c>
      <c r="E67" s="6">
        <f>IF('Settings'!$B$11="Scenario",IFERROR(INDEX('Catalogue'!$E$3:$E$100,MATCH(C67,'Catalogue'!$B$3:$B$100,0)),F67),F67)</f>
        <v>29</v>
      </c>
      <c r="F67" s="8">
        <v>29</v>
      </c>
      <c r="G67" s="3">
        <v>1</v>
      </c>
      <c r="H67" s="6">
        <f>IF('Settings'!$B$11="Scenario",ROUND(E67*G67*IFERROR(SUMIF('Pricing &amp; promotions'!$A$6:$A$8,L67,'Pricing &amp; promotions'!$B$6:$B$8)/100,0),2),J67)</f>
        <v>0.0</v>
      </c>
      <c r="I67" s="6">
        <f>ROUND((E67*G67-H67)/IF(OR(K67=TRUE,K67="TRUE",K67="YES",K67=1),1+'Settings'!$B$6/100,1),2)</f>
        <v>23.97</v>
      </c>
      <c r="J67" s="8">
        <v>0.0</v>
      </c>
      <c r="K67" s="3" t="inlineStr">
        <is>
          <t xml:space="preserve">TRUE</t>
        </is>
      </c>
      <c r="L67" s="3"/>
      <c r="M67" s="6">
        <f>ROUND(E67*G67-H67,2)</f>
        <v>29.0</v>
      </c>
      <c r="N67" s="5">
        <f>IF(COUNTIF($A$3:A67,A67)=1,1,0)</f>
        <v>1</v>
      </c>
      <c r="O67" s="6">
        <f>IF(N67=1,ROUND((SUMIFS($M$3:$M$1200,$A$3:$A$1200,A67)+'Settings'!$B$13)*'Settings'!$B$14/100+'Settings'!$B$15,2),0)</f>
        <v>0.73</v>
      </c>
    </row>
    <row r="68">
      <c r="A68" s="3" t="inlineStr">
        <is>
          <t xml:space="preserve">#1047</t>
        </is>
      </c>
      <c r="B68" s="3" t="inlineStr">
        <is>
          <t xml:space="preserve">2025-11-09</t>
        </is>
      </c>
      <c r="C68" s="3" t="inlineStr">
        <is>
          <t xml:space="preserve">SKU-E</t>
        </is>
      </c>
      <c r="D68" s="3" t="inlineStr">
        <is>
          <t xml:space="preserve">Complete Ritual</t>
        </is>
      </c>
      <c r="E68" s="6">
        <f>IF('Settings'!$B$11="Scenario",IFERROR(INDEX('Catalogue'!$E$3:$E$100,MATCH(C68,'Catalogue'!$B$3:$B$100,0)),F68),F68)</f>
        <v>89</v>
      </c>
      <c r="F68" s="8">
        <v>89</v>
      </c>
      <c r="G68" s="3">
        <v>2</v>
      </c>
      <c r="H68" s="6">
        <f>IF('Settings'!$B$11="Scenario",ROUND(E68*G68*IFERROR(SUMIF('Pricing &amp; promotions'!$A$6:$A$8,L68,'Pricing &amp; promotions'!$B$6:$B$8)/100,0),2),J68)</f>
        <v>0.0</v>
      </c>
      <c r="I68" s="6">
        <f>ROUND((E68*G68-H68)/IF(OR(K68=TRUE,K68="TRUE",K68="YES",K68=1),1+'Settings'!$B$6/100,1),2)</f>
        <v>147.11</v>
      </c>
      <c r="J68" s="8">
        <v>0.0</v>
      </c>
      <c r="K68" s="3" t="inlineStr">
        <is>
          <t xml:space="preserve">TRUE</t>
        </is>
      </c>
      <c r="L68" s="3"/>
      <c r="M68" s="6">
        <f>ROUND(E68*G68-H68,2)</f>
        <v>178.0</v>
      </c>
      <c r="N68" s="5">
        <f>IF(COUNTIF($A$3:A68,A68)=1,1,0)</f>
        <v>1</v>
      </c>
      <c r="O68" s="6">
        <f>IF(N68=1,ROUND((SUMIFS($M$3:$M$1200,$A$3:$A$1200,A68)+'Settings'!$B$13)*'Settings'!$B$14/100+'Settings'!$B$15,2),0)</f>
        <v>3.25</v>
      </c>
    </row>
    <row r="69">
      <c r="A69" s="3" t="inlineStr">
        <is>
          <t xml:space="preserve">#1047</t>
        </is>
      </c>
      <c r="B69" s="3" t="inlineStr">
        <is>
          <t xml:space="preserve">2025-11-09</t>
        </is>
      </c>
      <c r="C69" s="3" t="inlineStr">
        <is>
          <t xml:space="preserve">SKU-B</t>
        </is>
      </c>
      <c r="D69" s="3" t="inlineStr">
        <is>
          <t xml:space="preserve">Barrier Balm</t>
        </is>
      </c>
      <c r="E69" s="6">
        <f>IF('Settings'!$B$11="Scenario",IFERROR(INDEX('Catalogue'!$E$3:$E$100,MATCH(C69,'Catalogue'!$B$3:$B$100,0)),F69),F69)</f>
        <v>19</v>
      </c>
      <c r="F69" s="8">
        <v>18</v>
      </c>
      <c r="G69" s="3">
        <v>1</v>
      </c>
      <c r="H69" s="6">
        <f>IF('Settings'!$B$11="Scenario",ROUND(E69*G69*IFERROR(SUMIF('Pricing &amp; promotions'!$A$6:$A$8,L69,'Pricing &amp; promotions'!$B$6:$B$8)/100,0),2),J69)</f>
        <v>0.0</v>
      </c>
      <c r="I69" s="6">
        <f>ROUND((E69*G69-H69)/IF(OR(K69=TRUE,K69="TRUE",K69="YES",K69=1),1+'Settings'!$B$6/100,1),2)</f>
        <v>15.7</v>
      </c>
      <c r="J69" s="8">
        <v>0.0</v>
      </c>
      <c r="K69" s="3" t="inlineStr">
        <is>
          <t xml:space="preserve">TRUE</t>
        </is>
      </c>
      <c r="L69" s="3"/>
      <c r="M69" s="6">
        <f>ROUND(E69*G69-H69,2)</f>
        <v>19.0</v>
      </c>
      <c r="N69" s="5">
        <f>IF(COUNTIF($A$3:A69,A69)=1,1,0)</f>
        <v>0</v>
      </c>
      <c r="O69" s="6">
        <f>IF(N69=1,ROUND((SUMIFS($M$3:$M$1200,$A$3:$A$1200,A69)+'Settings'!$B$13)*'Settings'!$B$14/100+'Settings'!$B$15,2),0)</f>
        <v>0</v>
      </c>
    </row>
    <row r="70">
      <c r="A70" s="3" t="inlineStr">
        <is>
          <t xml:space="preserve">#1048</t>
        </is>
      </c>
      <c r="B70" s="3" t="inlineStr">
        <is>
          <t xml:space="preserve">2025-11-10</t>
        </is>
      </c>
      <c r="C70" s="3" t="inlineStr">
        <is>
          <t xml:space="preserve">SKU-A</t>
        </is>
      </c>
      <c r="D70" s="3" t="inlineStr">
        <is>
          <t xml:space="preserve">Renewal Serum</t>
        </is>
      </c>
      <c r="E70" s="6">
        <f>IF('Settings'!$B$11="Scenario",IFERROR(INDEX('Catalogue'!$E$3:$E$100,MATCH(C70,'Catalogue'!$B$3:$B$100,0)),F70),F70)</f>
        <v>69.9</v>
      </c>
      <c r="F70" s="8">
        <v>64</v>
      </c>
      <c r="G70" s="3">
        <v>1</v>
      </c>
      <c r="H70" s="6">
        <f>IF('Settings'!$B$11="Scenario",ROUND(E70*G70*IFERROR(SUMIF('Pricing &amp; promotions'!$A$6:$A$8,L70,'Pricing &amp; promotions'!$B$6:$B$8)/100,0),2),J70)</f>
        <v>0.0</v>
      </c>
      <c r="I70" s="6">
        <f>ROUND((E70*G70-H70)/IF(OR(K70=TRUE,K70="TRUE",K70="YES",K70=1),1+'Settings'!$B$6/100,1),2)</f>
        <v>57.77</v>
      </c>
      <c r="J70" s="8">
        <v>0.0</v>
      </c>
      <c r="K70" s="3" t="inlineStr">
        <is>
          <t xml:space="preserve">TRUE</t>
        </is>
      </c>
      <c r="L70" s="3"/>
      <c r="M70" s="6">
        <f>ROUND(E70*G70-H70,2)</f>
        <v>69.9</v>
      </c>
      <c r="N70" s="5">
        <f>IF(COUNTIF($A$3:A70,A70)=1,1,0)</f>
        <v>1</v>
      </c>
      <c r="O70" s="6">
        <f>IF(N70=1,ROUND((SUMIFS($M$3:$M$1200,$A$3:$A$1200,A70)+'Settings'!$B$13)*'Settings'!$B$14/100+'Settings'!$B$15,2),0)</f>
        <v>1.34</v>
      </c>
    </row>
    <row r="71">
      <c r="A71" s="3" t="inlineStr">
        <is>
          <t xml:space="preserve">#1049</t>
        </is>
      </c>
      <c r="B71" s="3" t="inlineStr">
        <is>
          <t xml:space="preserve">2025-11-10</t>
        </is>
      </c>
      <c r="C71" s="3" t="inlineStr">
        <is>
          <t xml:space="preserve">SKU-G</t>
        </is>
      </c>
      <c r="D71" s="3" t="inlineStr">
        <is>
          <t xml:space="preserve">Daily Reset Set</t>
        </is>
      </c>
      <c r="E71" s="6">
        <f>IF('Settings'!$B$11="Scenario",IFERROR(INDEX('Catalogue'!$E$3:$E$100,MATCH(C71,'Catalogue'!$B$3:$B$100,0)),F71),F71)</f>
        <v>69</v>
      </c>
      <c r="F71" s="8">
        <v>69</v>
      </c>
      <c r="G71" s="3">
        <v>2</v>
      </c>
      <c r="H71" s="6">
        <f>IF('Settings'!$B$11="Scenario",ROUND(E71*G71*IFERROR(SUMIF('Pricing &amp; promotions'!$A$6:$A$8,L71,'Pricing &amp; promotions'!$B$6:$B$8)/100,0),2),J71)</f>
        <v>27.6</v>
      </c>
      <c r="I71" s="6">
        <f>ROUND((E71*G71-H71)/IF(OR(K71=TRUE,K71="TRUE",K71="YES",K71=1),1+'Settings'!$B$6/100,1),2)</f>
        <v>91.24</v>
      </c>
      <c r="J71" s="8">
        <v>27.6</v>
      </c>
      <c r="K71" s="3" t="inlineStr">
        <is>
          <t xml:space="preserve">TRUE</t>
        </is>
      </c>
      <c r="L71" s="3" t="inlineStr">
        <is>
          <t xml:space="preserve">VIP20</t>
        </is>
      </c>
      <c r="M71" s="6">
        <f>ROUND(E71*G71-H71,2)</f>
        <v>110.4</v>
      </c>
      <c r="N71" s="5">
        <f>IF(COUNTIF($A$3:A71,A71)=1,1,0)</f>
        <v>1</v>
      </c>
      <c r="O71" s="6">
        <f>IF(N71=1,ROUND((SUMIFS($M$3:$M$1200,$A$3:$A$1200,A71)+'Settings'!$B$13)*'Settings'!$B$14/100+'Settings'!$B$15,2),0)</f>
        <v>1.95</v>
      </c>
    </row>
    <row r="72">
      <c r="A72" s="3" t="inlineStr">
        <is>
          <t xml:space="preserve">#1050</t>
        </is>
      </c>
      <c r="B72" s="3" t="inlineStr">
        <is>
          <t xml:space="preserve">2025-11-10</t>
        </is>
      </c>
      <c r="C72" s="3" t="inlineStr">
        <is>
          <t xml:space="preserve">SKU-G</t>
        </is>
      </c>
      <c r="D72" s="3" t="inlineStr">
        <is>
          <t xml:space="preserve">Daily Reset Set</t>
        </is>
      </c>
      <c r="E72" s="6">
        <f>IF('Settings'!$B$11="Scenario",IFERROR(INDEX('Catalogue'!$E$3:$E$100,MATCH(C72,'Catalogue'!$B$3:$B$100,0)),F72),F72)</f>
        <v>69</v>
      </c>
      <c r="F72" s="8">
        <v>69</v>
      </c>
      <c r="G72" s="3">
        <v>1</v>
      </c>
      <c r="H72" s="6">
        <f>IF('Settings'!$B$11="Scenario",ROUND(E72*G72*IFERROR(SUMIF('Pricing &amp; promotions'!$A$6:$A$8,L72,'Pricing &amp; promotions'!$B$6:$B$8)/100,0),2),J72)</f>
        <v>0.0</v>
      </c>
      <c r="I72" s="6">
        <f>ROUND((E72*G72-H72)/IF(OR(K72=TRUE,K72="TRUE",K72="YES",K72=1),1+'Settings'!$B$6/100,1),2)</f>
        <v>57.02</v>
      </c>
      <c r="J72" s="8">
        <v>0.0</v>
      </c>
      <c r="K72" s="3" t="inlineStr">
        <is>
          <t xml:space="preserve">TRUE</t>
        </is>
      </c>
      <c r="L72" s="3"/>
      <c r="M72" s="6">
        <f>ROUND(E72*G72-H72,2)</f>
        <v>69.0</v>
      </c>
      <c r="N72" s="5">
        <f>IF(COUNTIF($A$3:A72,A72)=1,1,0)</f>
        <v>1</v>
      </c>
      <c r="O72" s="6">
        <f>IF(N72=1,ROUND((SUMIFS($M$3:$M$1200,$A$3:$A$1200,A72)+'Settings'!$B$13)*'Settings'!$B$14/100+'Settings'!$B$15,2),0)</f>
        <v>2.51</v>
      </c>
    </row>
    <row r="73">
      <c r="A73" s="3" t="inlineStr">
        <is>
          <t xml:space="preserve">#1050</t>
        </is>
      </c>
      <c r="B73" s="3" t="inlineStr">
        <is>
          <t xml:space="preserve">2025-11-10</t>
        </is>
      </c>
      <c r="C73" s="3" t="inlineStr">
        <is>
          <t xml:space="preserve">SKU-D</t>
        </is>
      </c>
      <c r="D73" s="3" t="inlineStr">
        <is>
          <t xml:space="preserve">Daily Duo</t>
        </is>
      </c>
      <c r="E73" s="6">
        <f>IF('Settings'!$B$11="Scenario",IFERROR(INDEX('Catalogue'!$E$3:$E$100,MATCH(C73,'Catalogue'!$B$3:$B$100,0)),F73),F73)</f>
        <v>79</v>
      </c>
      <c r="F73" s="8">
        <v>79</v>
      </c>
      <c r="G73" s="3">
        <v>1</v>
      </c>
      <c r="H73" s="6">
        <f>IF('Settings'!$B$11="Scenario",ROUND(E73*G73*IFERROR(SUMIF('Pricing &amp; promotions'!$A$6:$A$8,L73,'Pricing &amp; promotions'!$B$6:$B$8)/100,0),2),J73)</f>
        <v>0.0</v>
      </c>
      <c r="I73" s="6">
        <f>ROUND((E73*G73-H73)/IF(OR(K73=TRUE,K73="TRUE",K73="YES",K73=1),1+'Settings'!$B$6/100,1),2)</f>
        <v>65.29</v>
      </c>
      <c r="J73" s="8">
        <v>0.0</v>
      </c>
      <c r="K73" s="3" t="inlineStr">
        <is>
          <t xml:space="preserve">TRUE</t>
        </is>
      </c>
      <c r="L73" s="3"/>
      <c r="M73" s="6">
        <f>ROUND(E73*G73-H73,2)</f>
        <v>79.0</v>
      </c>
      <c r="N73" s="5">
        <f>IF(COUNTIF($A$3:A73,A73)=1,1,0)</f>
        <v>0</v>
      </c>
      <c r="O73" s="6">
        <f>IF(N73=1,ROUND((SUMIFS($M$3:$M$1200,$A$3:$A$1200,A73)+'Settings'!$B$13)*'Settings'!$B$14/100+'Settings'!$B$15,2),0)</f>
        <v>0</v>
      </c>
    </row>
    <row r="74">
      <c r="A74" s="3" t="inlineStr">
        <is>
          <t xml:space="preserve">#1051</t>
        </is>
      </c>
      <c r="B74" s="3" t="inlineStr">
        <is>
          <t xml:space="preserve">2025-11-10</t>
        </is>
      </c>
      <c r="C74" s="3" t="inlineStr">
        <is>
          <t xml:space="preserve">SKU-D</t>
        </is>
      </c>
      <c r="D74" s="3" t="inlineStr">
        <is>
          <t xml:space="preserve">Daily Duo</t>
        </is>
      </c>
      <c r="E74" s="6">
        <f>IF('Settings'!$B$11="Scenario",IFERROR(INDEX('Catalogue'!$E$3:$E$100,MATCH(C74,'Catalogue'!$B$3:$B$100,0)),F74),F74)</f>
        <v>79</v>
      </c>
      <c r="F74" s="8">
        <v>79</v>
      </c>
      <c r="G74" s="3">
        <v>1</v>
      </c>
      <c r="H74" s="6">
        <f>IF('Settings'!$B$11="Scenario",ROUND(E74*G74*IFERROR(SUMIF('Pricing &amp; promotions'!$A$6:$A$8,L74,'Pricing &amp; promotions'!$B$6:$B$8)/100,0),2),J74)</f>
        <v>0.0</v>
      </c>
      <c r="I74" s="6">
        <f>ROUND((E74*G74-H74)/IF(OR(K74=TRUE,K74="TRUE",K74="YES",K74=1),1+'Settings'!$B$6/100,1),2)</f>
        <v>65.29</v>
      </c>
      <c r="J74" s="8">
        <v>0.0</v>
      </c>
      <c r="K74" s="3" t="inlineStr">
        <is>
          <t xml:space="preserve">TRUE</t>
        </is>
      </c>
      <c r="L74" s="3"/>
      <c r="M74" s="6">
        <f>ROUND(E74*G74-H74,2)</f>
        <v>79.0</v>
      </c>
      <c r="N74" s="5">
        <f>IF(COUNTIF($A$3:A74,A74)=1,1,0)</f>
        <v>1</v>
      </c>
      <c r="O74" s="6">
        <f>IF(N74=1,ROUND((SUMIFS($M$3:$M$1200,$A$3:$A$1200,A74)+'Settings'!$B$13)*'Settings'!$B$14/100+'Settings'!$B$15,2),0)</f>
        <v>1.48</v>
      </c>
    </row>
    <row r="75">
      <c r="A75" s="3" t="inlineStr">
        <is>
          <t xml:space="preserve">#1052</t>
        </is>
      </c>
      <c r="B75" s="3" t="inlineStr">
        <is>
          <t xml:space="preserve">2025-11-11</t>
        </is>
      </c>
      <c r="C75" s="3" t="inlineStr">
        <is>
          <t xml:space="preserve">SKU-G</t>
        </is>
      </c>
      <c r="D75" s="3" t="inlineStr">
        <is>
          <t xml:space="preserve">Daily Reset Set</t>
        </is>
      </c>
      <c r="E75" s="6">
        <f>IF('Settings'!$B$11="Scenario",IFERROR(INDEX('Catalogue'!$E$3:$E$100,MATCH(C75,'Catalogue'!$B$3:$B$100,0)),F75),F75)</f>
        <v>69</v>
      </c>
      <c r="F75" s="8">
        <v>69</v>
      </c>
      <c r="G75" s="3">
        <v>1</v>
      </c>
      <c r="H75" s="6">
        <f>IF('Settings'!$B$11="Scenario",ROUND(E75*G75*IFERROR(SUMIF('Pricing &amp; promotions'!$A$6:$A$8,L75,'Pricing &amp; promotions'!$B$6:$B$8)/100,0),2),J75)</f>
        <v>10.35</v>
      </c>
      <c r="I75" s="6">
        <f>ROUND((E75*G75-H75)/IF(OR(K75=TRUE,K75="TRUE",K75="YES",K75=1),1+'Settings'!$B$6/100,1),2)</f>
        <v>48.47</v>
      </c>
      <c r="J75" s="8">
        <v>10.35</v>
      </c>
      <c r="K75" s="3" t="inlineStr">
        <is>
          <t xml:space="preserve">TRUE</t>
        </is>
      </c>
      <c r="L75" s="3" t="inlineStr">
        <is>
          <t xml:space="preserve">SUMMER15</t>
        </is>
      </c>
      <c r="M75" s="6">
        <f>ROUND(E75*G75-H75,2)</f>
        <v>58.65</v>
      </c>
      <c r="N75" s="5">
        <f>IF(COUNTIF($A$3:A75,A75)=1,1,0)</f>
        <v>1</v>
      </c>
      <c r="O75" s="6">
        <f>IF(N75=1,ROUND((SUMIFS($M$3:$M$1200,$A$3:$A$1200,A75)+'Settings'!$B$13)*'Settings'!$B$14/100+'Settings'!$B$15,2),0)</f>
        <v>2.07</v>
      </c>
    </row>
    <row r="76">
      <c r="A76" s="3" t="inlineStr">
        <is>
          <t xml:space="preserve">#1052</t>
        </is>
      </c>
      <c r="B76" s="3" t="inlineStr">
        <is>
          <t xml:space="preserve">2025-11-11</t>
        </is>
      </c>
      <c r="C76" s="3" t="inlineStr">
        <is>
          <t xml:space="preserve">SKU-A</t>
        </is>
      </c>
      <c r="D76" s="3" t="inlineStr">
        <is>
          <t xml:space="preserve">Renewal Serum</t>
        </is>
      </c>
      <c r="E76" s="6">
        <f>IF('Settings'!$B$11="Scenario",IFERROR(INDEX('Catalogue'!$E$3:$E$100,MATCH(C76,'Catalogue'!$B$3:$B$100,0)),F76),F76)</f>
        <v>69.9</v>
      </c>
      <c r="F76" s="8">
        <v>64</v>
      </c>
      <c r="G76" s="3">
        <v>1</v>
      </c>
      <c r="H76" s="6">
        <f>IF('Settings'!$B$11="Scenario",ROUND(E76*G76*IFERROR(SUMIF('Pricing &amp; promotions'!$A$6:$A$8,L76,'Pricing &amp; promotions'!$B$6:$B$8)/100,0),2),J76)</f>
        <v>10.49</v>
      </c>
      <c r="I76" s="6">
        <f>ROUND((E76*G76-H76)/IF(OR(K76=TRUE,K76="TRUE",K76="YES",K76=1),1+'Settings'!$B$6/100,1),2)</f>
        <v>49.1</v>
      </c>
      <c r="J76" s="8">
        <v>9.6</v>
      </c>
      <c r="K76" s="3" t="inlineStr">
        <is>
          <t xml:space="preserve">TRUE</t>
        </is>
      </c>
      <c r="L76" s="3" t="inlineStr">
        <is>
          <t xml:space="preserve">SUMMER15</t>
        </is>
      </c>
      <c r="M76" s="6">
        <f>ROUND(E76*G76-H76,2)</f>
        <v>59.41</v>
      </c>
      <c r="N76" s="5">
        <f>IF(COUNTIF($A$3:A76,A76)=1,1,0)</f>
        <v>0</v>
      </c>
      <c r="O76" s="6">
        <f>IF(N76=1,ROUND((SUMIFS($M$3:$M$1200,$A$3:$A$1200,A76)+'Settings'!$B$13)*'Settings'!$B$14/100+'Settings'!$B$15,2),0)</f>
        <v>0</v>
      </c>
    </row>
    <row r="77">
      <c r="A77" s="3" t="inlineStr">
        <is>
          <t xml:space="preserve">#1053</t>
        </is>
      </c>
      <c r="B77" s="3" t="inlineStr">
        <is>
          <t xml:space="preserve">2025-11-11</t>
        </is>
      </c>
      <c r="C77" s="3" t="inlineStr">
        <is>
          <t xml:space="preserve">SKU-G</t>
        </is>
      </c>
      <c r="D77" s="3" t="inlineStr">
        <is>
          <t xml:space="preserve">Daily Reset Set</t>
        </is>
      </c>
      <c r="E77" s="6">
        <f>IF('Settings'!$B$11="Scenario",IFERROR(INDEX('Catalogue'!$E$3:$E$100,MATCH(C77,'Catalogue'!$B$3:$B$100,0)),F77),F77)</f>
        <v>69</v>
      </c>
      <c r="F77" s="8">
        <v>69</v>
      </c>
      <c r="G77" s="3">
        <v>1</v>
      </c>
      <c r="H77" s="6">
        <f>IF('Settings'!$B$11="Scenario",ROUND(E77*G77*IFERROR(SUMIF('Pricing &amp; promotions'!$A$6:$A$8,L77,'Pricing &amp; promotions'!$B$6:$B$8)/100,0),2),J77)</f>
        <v>0.0</v>
      </c>
      <c r="I77" s="6">
        <f>ROUND((E77*G77-H77)/IF(OR(K77=TRUE,K77="TRUE",K77="YES",K77=1),1+'Settings'!$B$6/100,1),2)</f>
        <v>57.02</v>
      </c>
      <c r="J77" s="8">
        <v>0.0</v>
      </c>
      <c r="K77" s="3" t="inlineStr">
        <is>
          <t xml:space="preserve">TRUE</t>
        </is>
      </c>
      <c r="L77" s="3"/>
      <c r="M77" s="6">
        <f>ROUND(E77*G77-H77,2)</f>
        <v>69.0</v>
      </c>
      <c r="N77" s="5">
        <f>IF(COUNTIF($A$3:A77,A77)=1,1,0)</f>
        <v>1</v>
      </c>
      <c r="O77" s="6">
        <f>IF(N77=1,ROUND((SUMIFS($M$3:$M$1200,$A$3:$A$1200,A77)+'Settings'!$B$13)*'Settings'!$B$14/100+'Settings'!$B$15,2),0)</f>
        <v>1.33</v>
      </c>
    </row>
    <row r="78">
      <c r="A78" s="3" t="inlineStr">
        <is>
          <t xml:space="preserve">#1054</t>
        </is>
      </c>
      <c r="B78" s="3" t="inlineStr">
        <is>
          <t xml:space="preserve">2025-11-11</t>
        </is>
      </c>
      <c r="C78" s="3" t="inlineStr">
        <is>
          <t xml:space="preserve">SKU-C</t>
        </is>
      </c>
      <c r="D78" s="3" t="inlineStr">
        <is>
          <t xml:space="preserve">Contour Stone</t>
        </is>
      </c>
      <c r="E78" s="6">
        <f>IF('Settings'!$B$11="Scenario",IFERROR(INDEX('Catalogue'!$E$3:$E$100,MATCH(C78,'Catalogue'!$B$3:$B$100,0)),F78),F78)</f>
        <v>29</v>
      </c>
      <c r="F78" s="8">
        <v>29</v>
      </c>
      <c r="G78" s="3">
        <v>1</v>
      </c>
      <c r="H78" s="6">
        <f>IF('Settings'!$B$11="Scenario",ROUND(E78*G78*IFERROR(SUMIF('Pricing &amp; promotions'!$A$6:$A$8,L78,'Pricing &amp; promotions'!$B$6:$B$8)/100,0),2),J78)</f>
        <v>2.9</v>
      </c>
      <c r="I78" s="6">
        <f>ROUND((E78*G78-H78)/IF(OR(K78=TRUE,K78="TRUE",K78="YES",K78=1),1+'Settings'!$B$6/100,1),2)</f>
        <v>21.57</v>
      </c>
      <c r="J78" s="8">
        <v>2.9</v>
      </c>
      <c r="K78" s="3" t="inlineStr">
        <is>
          <t xml:space="preserve">TRUE</t>
        </is>
      </c>
      <c r="L78" s="3" t="inlineStr">
        <is>
          <t xml:space="preserve">WELCOME10</t>
        </is>
      </c>
      <c r="M78" s="6">
        <f>ROUND(E78*G78-H78,2)</f>
        <v>26.1</v>
      </c>
      <c r="N78" s="5">
        <f>IF(COUNTIF($A$3:A78,A78)=1,1,0)</f>
        <v>1</v>
      </c>
      <c r="O78" s="6">
        <f>IF(N78=1,ROUND((SUMIFS($M$3:$M$1200,$A$3:$A$1200,A78)+'Settings'!$B$13)*'Settings'!$B$14/100+'Settings'!$B$15,2),0)</f>
        <v>1.63</v>
      </c>
    </row>
    <row r="79">
      <c r="A79" s="3" t="inlineStr">
        <is>
          <t xml:space="preserve">#1054</t>
        </is>
      </c>
      <c r="B79" s="3" t="inlineStr">
        <is>
          <t xml:space="preserve">2025-11-11</t>
        </is>
      </c>
      <c r="C79" s="3" t="inlineStr">
        <is>
          <t xml:space="preserve">SKU-A</t>
        </is>
      </c>
      <c r="D79" s="3" t="inlineStr">
        <is>
          <t xml:space="preserve">Renewal Serum</t>
        </is>
      </c>
      <c r="E79" s="6">
        <f>IF('Settings'!$B$11="Scenario",IFERROR(INDEX('Catalogue'!$E$3:$E$100,MATCH(C79,'Catalogue'!$B$3:$B$100,0)),F79),F79)</f>
        <v>69.9</v>
      </c>
      <c r="F79" s="8">
        <v>64</v>
      </c>
      <c r="G79" s="3">
        <v>1</v>
      </c>
      <c r="H79" s="6">
        <f>IF('Settings'!$B$11="Scenario",ROUND(E79*G79*IFERROR(SUMIF('Pricing &amp; promotions'!$A$6:$A$8,L79,'Pricing &amp; promotions'!$B$6:$B$8)/100,0),2),J79)</f>
        <v>6.99</v>
      </c>
      <c r="I79" s="6">
        <f>ROUND((E79*G79-H79)/IF(OR(K79=TRUE,K79="TRUE",K79="YES",K79=1),1+'Settings'!$B$6/100,1),2)</f>
        <v>51.99</v>
      </c>
      <c r="J79" s="8">
        <v>6.4</v>
      </c>
      <c r="K79" s="3" t="inlineStr">
        <is>
          <t xml:space="preserve">TRUE</t>
        </is>
      </c>
      <c r="L79" s="3" t="inlineStr">
        <is>
          <t xml:space="preserve">WELCOME10</t>
        </is>
      </c>
      <c r="M79" s="6">
        <f>ROUND(E79*G79-H79,2)</f>
        <v>62.91</v>
      </c>
      <c r="N79" s="5">
        <f>IF(COUNTIF($A$3:A79,A79)=1,1,0)</f>
        <v>0</v>
      </c>
      <c r="O79" s="6">
        <f>IF(N79=1,ROUND((SUMIFS($M$3:$M$1200,$A$3:$A$1200,A79)+'Settings'!$B$13)*'Settings'!$B$14/100+'Settings'!$B$15,2),0)</f>
        <v>0</v>
      </c>
    </row>
    <row r="80">
      <c r="A80" s="3" t="inlineStr">
        <is>
          <t xml:space="preserve">#1055</t>
        </is>
      </c>
      <c r="B80" s="3" t="inlineStr">
        <is>
          <t xml:space="preserve">2025-11-12</t>
        </is>
      </c>
      <c r="C80" s="3" t="inlineStr">
        <is>
          <t xml:space="preserve">SKU-E</t>
        </is>
      </c>
      <c r="D80" s="3" t="inlineStr">
        <is>
          <t xml:space="preserve">Complete Ritual</t>
        </is>
      </c>
      <c r="E80" s="6">
        <f>IF('Settings'!$B$11="Scenario",IFERROR(INDEX('Catalogue'!$E$3:$E$100,MATCH(C80,'Catalogue'!$B$3:$B$100,0)),F80),F80)</f>
        <v>89</v>
      </c>
      <c r="F80" s="8">
        <v>89</v>
      </c>
      <c r="G80" s="3">
        <v>1</v>
      </c>
      <c r="H80" s="6">
        <f>IF('Settings'!$B$11="Scenario",ROUND(E80*G80*IFERROR(SUMIF('Pricing &amp; promotions'!$A$6:$A$8,L80,'Pricing &amp; promotions'!$B$6:$B$8)/100,0),2),J80)</f>
        <v>0.0</v>
      </c>
      <c r="I80" s="6">
        <f>ROUND((E80*G80-H80)/IF(OR(K80=TRUE,K80="TRUE",K80="YES",K80=1),1+'Settings'!$B$6/100,1),2)</f>
        <v>73.55</v>
      </c>
      <c r="J80" s="8">
        <v>0.0</v>
      </c>
      <c r="K80" s="3" t="inlineStr">
        <is>
          <t xml:space="preserve">TRUE</t>
        </is>
      </c>
      <c r="L80" s="3"/>
      <c r="M80" s="6">
        <f>ROUND(E80*G80-H80,2)</f>
        <v>89.0</v>
      </c>
      <c r="N80" s="5">
        <f>IF(COUNTIF($A$3:A80,A80)=1,1,0)</f>
        <v>1</v>
      </c>
      <c r="O80" s="6">
        <f>IF(N80=1,ROUND((SUMIFS($M$3:$M$1200,$A$3:$A$1200,A80)+'Settings'!$B$13)*'Settings'!$B$14/100+'Settings'!$B$15,2),0)</f>
        <v>1.63</v>
      </c>
    </row>
    <row r="81">
      <c r="A81" s="3" t="inlineStr">
        <is>
          <t xml:space="preserve">#1056</t>
        </is>
      </c>
      <c r="B81" s="3" t="inlineStr">
        <is>
          <t xml:space="preserve">2025-11-12</t>
        </is>
      </c>
      <c r="C81" s="3" t="inlineStr">
        <is>
          <t xml:space="preserve">SKU-D</t>
        </is>
      </c>
      <c r="D81" s="3" t="inlineStr">
        <is>
          <t xml:space="preserve">Daily Duo</t>
        </is>
      </c>
      <c r="E81" s="6">
        <f>IF('Settings'!$B$11="Scenario",IFERROR(INDEX('Catalogue'!$E$3:$E$100,MATCH(C81,'Catalogue'!$B$3:$B$100,0)),F81),F81)</f>
        <v>79</v>
      </c>
      <c r="F81" s="8">
        <v>79</v>
      </c>
      <c r="G81" s="3">
        <v>2</v>
      </c>
      <c r="H81" s="6">
        <f>IF('Settings'!$B$11="Scenario",ROUND(E81*G81*IFERROR(SUMIF('Pricing &amp; promotions'!$A$6:$A$8,L81,'Pricing &amp; promotions'!$B$6:$B$8)/100,0),2),J81)</f>
        <v>0.0</v>
      </c>
      <c r="I81" s="6">
        <f>ROUND((E81*G81-H81)/IF(OR(K81=TRUE,K81="TRUE",K81="YES",K81=1),1+'Settings'!$B$6/100,1),2)</f>
        <v>130.58</v>
      </c>
      <c r="J81" s="8">
        <v>0.0</v>
      </c>
      <c r="K81" s="3" t="inlineStr">
        <is>
          <t xml:space="preserve">TRUE</t>
        </is>
      </c>
      <c r="L81" s="3"/>
      <c r="M81" s="6">
        <f>ROUND(E81*G81-H81,2)</f>
        <v>158.0</v>
      </c>
      <c r="N81" s="5">
        <f>IF(COUNTIF($A$3:A81,A81)=1,1,0)</f>
        <v>1</v>
      </c>
      <c r="O81" s="6">
        <f>IF(N81=1,ROUND((SUMIFS($M$3:$M$1200,$A$3:$A$1200,A81)+'Settings'!$B$13)*'Settings'!$B$14/100+'Settings'!$B$15,2),0)</f>
        <v>2.66</v>
      </c>
    </row>
    <row r="82">
      <c r="A82" s="3" t="inlineStr">
        <is>
          <t xml:space="preserve">#1057</t>
        </is>
      </c>
      <c r="B82" s="3" t="inlineStr">
        <is>
          <t xml:space="preserve">2025-11-12</t>
        </is>
      </c>
      <c r="C82" s="3" t="inlineStr">
        <is>
          <t xml:space="preserve">SKU-B</t>
        </is>
      </c>
      <c r="D82" s="3" t="inlineStr">
        <is>
          <t xml:space="preserve">Barrier Balm</t>
        </is>
      </c>
      <c r="E82" s="6">
        <f>IF('Settings'!$B$11="Scenario",IFERROR(INDEX('Catalogue'!$E$3:$E$100,MATCH(C82,'Catalogue'!$B$3:$B$100,0)),F82),F82)</f>
        <v>19</v>
      </c>
      <c r="F82" s="8">
        <v>18</v>
      </c>
      <c r="G82" s="3">
        <v>1</v>
      </c>
      <c r="H82" s="6">
        <f>IF('Settings'!$B$11="Scenario",ROUND(E82*G82*IFERROR(SUMIF('Pricing &amp; promotions'!$A$6:$A$8,L82,'Pricing &amp; promotions'!$B$6:$B$8)/100,0),2),J82)</f>
        <v>0.0</v>
      </c>
      <c r="I82" s="6">
        <f>ROUND((E82*G82-H82)/IF(OR(K82=TRUE,K82="TRUE",K82="YES",K82=1),1+'Settings'!$B$6/100,1),2)</f>
        <v>15.7</v>
      </c>
      <c r="J82" s="8">
        <v>0.0</v>
      </c>
      <c r="K82" s="3" t="inlineStr">
        <is>
          <t xml:space="preserve">TRUE</t>
        </is>
      </c>
      <c r="L82" s="3"/>
      <c r="M82" s="6">
        <f>ROUND(E82*G82-H82,2)</f>
        <v>19.0</v>
      </c>
      <c r="N82" s="5">
        <f>IF(COUNTIF($A$3:A82,A82)=1,1,0)</f>
        <v>1</v>
      </c>
      <c r="O82" s="6">
        <f>IF(N82=1,ROUND((SUMIFS($M$3:$M$1200,$A$3:$A$1200,A82)+'Settings'!$B$13)*'Settings'!$B$14/100+'Settings'!$B$15,2),0)</f>
        <v>0.58</v>
      </c>
    </row>
    <row r="83">
      <c r="A83" s="3" t="inlineStr">
        <is>
          <t xml:space="preserve">#1058</t>
        </is>
      </c>
      <c r="B83" s="3" t="inlineStr">
        <is>
          <t xml:space="preserve">2025-11-12</t>
        </is>
      </c>
      <c r="C83" s="3" t="inlineStr">
        <is>
          <t xml:space="preserve">SKU-A</t>
        </is>
      </c>
      <c r="D83" s="3" t="inlineStr">
        <is>
          <t xml:space="preserve">Renewal Serum</t>
        </is>
      </c>
      <c r="E83" s="6">
        <f>IF('Settings'!$B$11="Scenario",IFERROR(INDEX('Catalogue'!$E$3:$E$100,MATCH(C83,'Catalogue'!$B$3:$B$100,0)),F83),F83)</f>
        <v>69.9</v>
      </c>
      <c r="F83" s="8">
        <v>64</v>
      </c>
      <c r="G83" s="3">
        <v>1</v>
      </c>
      <c r="H83" s="6">
        <f>IF('Settings'!$B$11="Scenario",ROUND(E83*G83*IFERROR(SUMIF('Pricing &amp; promotions'!$A$6:$A$8,L83,'Pricing &amp; promotions'!$B$6:$B$8)/100,0),2),J83)</f>
        <v>0.0</v>
      </c>
      <c r="I83" s="6">
        <f>ROUND((E83*G83-H83)/IF(OR(K83=TRUE,K83="TRUE",K83="YES",K83=1),1+'Settings'!$B$6/100,1),2)</f>
        <v>57.77</v>
      </c>
      <c r="J83" s="8">
        <v>0.0</v>
      </c>
      <c r="K83" s="3" t="inlineStr">
        <is>
          <t xml:space="preserve">TRUE</t>
        </is>
      </c>
      <c r="L83" s="3"/>
      <c r="M83" s="6">
        <f>ROUND(E83*G83-H83,2)</f>
        <v>69.9</v>
      </c>
      <c r="N83" s="5">
        <f>IF(COUNTIF($A$3:A83,A83)=1,1,0)</f>
        <v>1</v>
      </c>
      <c r="O83" s="6">
        <f>IF(N83=1,ROUND((SUMIFS($M$3:$M$1200,$A$3:$A$1200,A83)+'Settings'!$B$13)*'Settings'!$B$14/100+'Settings'!$B$15,2),0)</f>
        <v>1.34</v>
      </c>
    </row>
    <row r="84">
      <c r="A84" s="3" t="inlineStr">
        <is>
          <t xml:space="preserve">#1059</t>
        </is>
      </c>
      <c r="B84" s="3" t="inlineStr">
        <is>
          <t xml:space="preserve">2025-11-13</t>
        </is>
      </c>
      <c r="C84" s="3" t="inlineStr">
        <is>
          <t xml:space="preserve">SKU-D</t>
        </is>
      </c>
      <c r="D84" s="3" t="inlineStr">
        <is>
          <t xml:space="preserve">Daily Duo</t>
        </is>
      </c>
      <c r="E84" s="6">
        <f>IF('Settings'!$B$11="Scenario",IFERROR(INDEX('Catalogue'!$E$3:$E$100,MATCH(C84,'Catalogue'!$B$3:$B$100,0)),F84),F84)</f>
        <v>79</v>
      </c>
      <c r="F84" s="8">
        <v>79</v>
      </c>
      <c r="G84" s="3">
        <v>1</v>
      </c>
      <c r="H84" s="6">
        <f>IF('Settings'!$B$11="Scenario",ROUND(E84*G84*IFERROR(SUMIF('Pricing &amp; promotions'!$A$6:$A$8,L84,'Pricing &amp; promotions'!$B$6:$B$8)/100,0),2),J84)</f>
        <v>0.0</v>
      </c>
      <c r="I84" s="6">
        <f>ROUND((E84*G84-H84)/IF(OR(K84=TRUE,K84="TRUE",K84="YES",K84=1),1+'Settings'!$B$6/100,1),2)</f>
        <v>65.29</v>
      </c>
      <c r="J84" s="8">
        <v>0.0</v>
      </c>
      <c r="K84" s="3" t="inlineStr">
        <is>
          <t xml:space="preserve">TRUE</t>
        </is>
      </c>
      <c r="L84" s="3"/>
      <c r="M84" s="6">
        <f>ROUND(E84*G84-H84,2)</f>
        <v>79.0</v>
      </c>
      <c r="N84" s="5">
        <f>IF(COUNTIF($A$3:A84,A84)=1,1,0)</f>
        <v>1</v>
      </c>
      <c r="O84" s="6">
        <f>IF(N84=1,ROUND((SUMIFS($M$3:$M$1200,$A$3:$A$1200,A84)+'Settings'!$B$13)*'Settings'!$B$14/100+'Settings'!$B$15,2),0)</f>
        <v>1.76</v>
      </c>
    </row>
    <row r="85">
      <c r="A85" s="3" t="inlineStr">
        <is>
          <t xml:space="preserve">#1059</t>
        </is>
      </c>
      <c r="B85" s="3" t="inlineStr">
        <is>
          <t xml:space="preserve">2025-11-13</t>
        </is>
      </c>
      <c r="C85" s="3" t="inlineStr">
        <is>
          <t xml:space="preserve">SKU-B</t>
        </is>
      </c>
      <c r="D85" s="3" t="inlineStr">
        <is>
          <t xml:space="preserve">Barrier Balm</t>
        </is>
      </c>
      <c r="E85" s="6">
        <f>IF('Settings'!$B$11="Scenario",IFERROR(INDEX('Catalogue'!$E$3:$E$100,MATCH(C85,'Catalogue'!$B$3:$B$100,0)),F85),F85)</f>
        <v>19</v>
      </c>
      <c r="F85" s="8">
        <v>18</v>
      </c>
      <c r="G85" s="3">
        <v>1</v>
      </c>
      <c r="H85" s="6">
        <f>IF('Settings'!$B$11="Scenario",ROUND(E85*G85*IFERROR(SUMIF('Pricing &amp; promotions'!$A$6:$A$8,L85,'Pricing &amp; promotions'!$B$6:$B$8)/100,0),2),J85)</f>
        <v>0.0</v>
      </c>
      <c r="I85" s="6">
        <f>ROUND((E85*G85-H85)/IF(OR(K85=TRUE,K85="TRUE",K85="YES",K85=1),1+'Settings'!$B$6/100,1),2)</f>
        <v>15.7</v>
      </c>
      <c r="J85" s="8">
        <v>0.0</v>
      </c>
      <c r="K85" s="3" t="inlineStr">
        <is>
          <t xml:space="preserve">TRUE</t>
        </is>
      </c>
      <c r="L85" s="3"/>
      <c r="M85" s="6">
        <f>ROUND(E85*G85-H85,2)</f>
        <v>19.0</v>
      </c>
      <c r="N85" s="5">
        <f>IF(COUNTIF($A$3:A85,A85)=1,1,0)</f>
        <v>0</v>
      </c>
      <c r="O85" s="6">
        <f>IF(N85=1,ROUND((SUMIFS($M$3:$M$1200,$A$3:$A$1200,A85)+'Settings'!$B$13)*'Settings'!$B$14/100+'Settings'!$B$15,2),0)</f>
        <v>0</v>
      </c>
    </row>
    <row r="86">
      <c r="A86" s="3" t="inlineStr">
        <is>
          <t xml:space="preserve">#1060</t>
        </is>
      </c>
      <c r="B86" s="3" t="inlineStr">
        <is>
          <t xml:space="preserve">2025-11-13</t>
        </is>
      </c>
      <c r="C86" s="3" t="inlineStr">
        <is>
          <t xml:space="preserve">SKU-E</t>
        </is>
      </c>
      <c r="D86" s="3" t="inlineStr">
        <is>
          <t xml:space="preserve">Complete Ritual</t>
        </is>
      </c>
      <c r="E86" s="6">
        <f>IF('Settings'!$B$11="Scenario",IFERROR(INDEX('Catalogue'!$E$3:$E$100,MATCH(C86,'Catalogue'!$B$3:$B$100,0)),F86),F86)</f>
        <v>89</v>
      </c>
      <c r="F86" s="8">
        <v>89</v>
      </c>
      <c r="G86" s="3">
        <v>2</v>
      </c>
      <c r="H86" s="6">
        <f>IF('Settings'!$B$11="Scenario",ROUND(E86*G86*IFERROR(SUMIF('Pricing &amp; promotions'!$A$6:$A$8,L86,'Pricing &amp; promotions'!$B$6:$B$8)/100,0),2),J86)</f>
        <v>35.6</v>
      </c>
      <c r="I86" s="6">
        <f>ROUND((E86*G86-H86)/IF(OR(K86=TRUE,K86="TRUE",K86="YES",K86=1),1+'Settings'!$B$6/100,1),2)</f>
        <v>117.69</v>
      </c>
      <c r="J86" s="8">
        <v>35.6</v>
      </c>
      <c r="K86" s="3" t="inlineStr">
        <is>
          <t xml:space="preserve">TRUE</t>
        </is>
      </c>
      <c r="L86" s="3" t="inlineStr">
        <is>
          <t xml:space="preserve">VIP20</t>
        </is>
      </c>
      <c r="M86" s="6">
        <f>ROUND(E86*G86-H86,2)</f>
        <v>142.4</v>
      </c>
      <c r="N86" s="5">
        <f>IF(COUNTIF($A$3:A86,A86)=1,1,0)</f>
        <v>1</v>
      </c>
      <c r="O86" s="6">
        <f>IF(N86=1,ROUND((SUMIFS($M$3:$M$1200,$A$3:$A$1200,A86)+'Settings'!$B$13)*'Settings'!$B$14/100+'Settings'!$B$15,2),0)</f>
        <v>2.43</v>
      </c>
    </row>
    <row r="87">
      <c r="A87" s="3" t="inlineStr">
        <is>
          <t xml:space="preserve">#1061</t>
        </is>
      </c>
      <c r="B87" s="3" t="inlineStr">
        <is>
          <t xml:space="preserve">2025-11-13</t>
        </is>
      </c>
      <c r="C87" s="3" t="inlineStr">
        <is>
          <t xml:space="preserve">SKU-D</t>
        </is>
      </c>
      <c r="D87" s="3" t="inlineStr">
        <is>
          <t xml:space="preserve">Daily Duo</t>
        </is>
      </c>
      <c r="E87" s="6">
        <f>IF('Settings'!$B$11="Scenario",IFERROR(INDEX('Catalogue'!$E$3:$E$100,MATCH(C87,'Catalogue'!$B$3:$B$100,0)),F87),F87)</f>
        <v>79</v>
      </c>
      <c r="F87" s="8">
        <v>79</v>
      </c>
      <c r="G87" s="3">
        <v>1</v>
      </c>
      <c r="H87" s="6">
        <f>IF('Settings'!$B$11="Scenario",ROUND(E87*G87*IFERROR(SUMIF('Pricing &amp; promotions'!$A$6:$A$8,L87,'Pricing &amp; promotions'!$B$6:$B$8)/100,0),2),J87)</f>
        <v>7.9</v>
      </c>
      <c r="I87" s="6">
        <f>ROUND((E87*G87-H87)/IF(OR(K87=TRUE,K87="TRUE",K87="YES",K87=1),1+'Settings'!$B$6/100,1),2)</f>
        <v>58.76</v>
      </c>
      <c r="J87" s="8">
        <v>7.9</v>
      </c>
      <c r="K87" s="3" t="inlineStr">
        <is>
          <t xml:space="preserve">TRUE</t>
        </is>
      </c>
      <c r="L87" s="3" t="inlineStr">
        <is>
          <t xml:space="preserve">WELCOME10</t>
        </is>
      </c>
      <c r="M87" s="6">
        <f>ROUND(E87*G87-H87,2)</f>
        <v>71.1</v>
      </c>
      <c r="N87" s="5">
        <f>IF(COUNTIF($A$3:A87,A87)=1,1,0)</f>
        <v>1</v>
      </c>
      <c r="O87" s="6">
        <f>IF(N87=1,ROUND((SUMIFS($M$3:$M$1200,$A$3:$A$1200,A87)+'Settings'!$B$13)*'Settings'!$B$14/100+'Settings'!$B$15,2),0)</f>
        <v>1.36</v>
      </c>
    </row>
    <row r="88">
      <c r="A88" s="3" t="inlineStr">
        <is>
          <t xml:space="preserve">#1062</t>
        </is>
      </c>
      <c r="B88" s="3" t="inlineStr">
        <is>
          <t xml:space="preserve">2025-11-14</t>
        </is>
      </c>
      <c r="C88" s="3" t="inlineStr">
        <is>
          <t xml:space="preserve">SKU-D</t>
        </is>
      </c>
      <c r="D88" s="3" t="inlineStr">
        <is>
          <t xml:space="preserve">Daily Duo</t>
        </is>
      </c>
      <c r="E88" s="6">
        <f>IF('Settings'!$B$11="Scenario",IFERROR(INDEX('Catalogue'!$E$3:$E$100,MATCH(C88,'Catalogue'!$B$3:$B$100,0)),F88),F88)</f>
        <v>79</v>
      </c>
      <c r="F88" s="8">
        <v>79</v>
      </c>
      <c r="G88" s="3">
        <v>2</v>
      </c>
      <c r="H88" s="6">
        <f>IF('Settings'!$B$11="Scenario",ROUND(E88*G88*IFERROR(SUMIF('Pricing &amp; promotions'!$A$6:$A$8,L88,'Pricing &amp; promotions'!$B$6:$B$8)/100,0),2),J88)</f>
        <v>0.0</v>
      </c>
      <c r="I88" s="6">
        <f>ROUND((E88*G88-H88)/IF(OR(K88=TRUE,K88="TRUE",K88="YES",K88=1),1+'Settings'!$B$6/100,1),2)</f>
        <v>130.58</v>
      </c>
      <c r="J88" s="8">
        <v>0.0</v>
      </c>
      <c r="K88" s="3" t="inlineStr">
        <is>
          <t xml:space="preserve">TRUE</t>
        </is>
      </c>
      <c r="L88" s="3"/>
      <c r="M88" s="6">
        <f>ROUND(E88*G88-H88,2)</f>
        <v>158.0</v>
      </c>
      <c r="N88" s="5">
        <f>IF(COUNTIF($A$3:A88,A88)=1,1,0)</f>
        <v>1</v>
      </c>
      <c r="O88" s="6">
        <f>IF(N88=1,ROUND((SUMIFS($M$3:$M$1200,$A$3:$A$1200,A88)+'Settings'!$B$13)*'Settings'!$B$14/100+'Settings'!$B$15,2),0)</f>
        <v>3.71</v>
      </c>
    </row>
    <row r="89">
      <c r="A89" s="3" t="inlineStr">
        <is>
          <t xml:space="preserve">#1062</t>
        </is>
      </c>
      <c r="B89" s="3" t="inlineStr">
        <is>
          <t xml:space="preserve">2025-11-14</t>
        </is>
      </c>
      <c r="C89" s="3" t="inlineStr">
        <is>
          <t xml:space="preserve">SKU-A</t>
        </is>
      </c>
      <c r="D89" s="3" t="inlineStr">
        <is>
          <t xml:space="preserve">Renewal Serum</t>
        </is>
      </c>
      <c r="E89" s="6">
        <f>IF('Settings'!$B$11="Scenario",IFERROR(INDEX('Catalogue'!$E$3:$E$100,MATCH(C89,'Catalogue'!$B$3:$B$100,0)),F89),F89)</f>
        <v>69.9</v>
      </c>
      <c r="F89" s="8">
        <v>64</v>
      </c>
      <c r="G89" s="3">
        <v>1</v>
      </c>
      <c r="H89" s="6">
        <f>IF('Settings'!$B$11="Scenario",ROUND(E89*G89*IFERROR(SUMIF('Pricing &amp; promotions'!$A$6:$A$8,L89,'Pricing &amp; promotions'!$B$6:$B$8)/100,0),2),J89)</f>
        <v>0.0</v>
      </c>
      <c r="I89" s="6">
        <f>ROUND((E89*G89-H89)/IF(OR(K89=TRUE,K89="TRUE",K89="YES",K89=1),1+'Settings'!$B$6/100,1),2)</f>
        <v>57.77</v>
      </c>
      <c r="J89" s="8">
        <v>0.0</v>
      </c>
      <c r="K89" s="3" t="inlineStr">
        <is>
          <t xml:space="preserve">TRUE</t>
        </is>
      </c>
      <c r="L89" s="3"/>
      <c r="M89" s="6">
        <f>ROUND(E89*G89-H89,2)</f>
        <v>69.9</v>
      </c>
      <c r="N89" s="5">
        <f>IF(COUNTIF($A$3:A89,A89)=1,1,0)</f>
        <v>0</v>
      </c>
      <c r="O89" s="6">
        <f>IF(N89=1,ROUND((SUMIFS($M$3:$M$1200,$A$3:$A$1200,A89)+'Settings'!$B$13)*'Settings'!$B$14/100+'Settings'!$B$15,2),0)</f>
        <v>0</v>
      </c>
    </row>
    <row r="90">
      <c r="A90" s="3" t="inlineStr">
        <is>
          <t xml:space="preserve">#1063</t>
        </is>
      </c>
      <c r="B90" s="3" t="inlineStr">
        <is>
          <t xml:space="preserve">2025-11-14</t>
        </is>
      </c>
      <c r="C90" s="3" t="inlineStr">
        <is>
          <t xml:space="preserve">SKU-A</t>
        </is>
      </c>
      <c r="D90" s="3" t="inlineStr">
        <is>
          <t xml:space="preserve">Renewal Serum</t>
        </is>
      </c>
      <c r="E90" s="6">
        <f>IF('Settings'!$B$11="Scenario",IFERROR(INDEX('Catalogue'!$E$3:$E$100,MATCH(C90,'Catalogue'!$B$3:$B$100,0)),F90),F90)</f>
        <v>69.9</v>
      </c>
      <c r="F90" s="8">
        <v>64</v>
      </c>
      <c r="G90" s="3">
        <v>1</v>
      </c>
      <c r="H90" s="6">
        <f>IF('Settings'!$B$11="Scenario",ROUND(E90*G90*IFERROR(SUMIF('Pricing &amp; promotions'!$A$6:$A$8,L90,'Pricing &amp; promotions'!$B$6:$B$8)/100,0),2),J90)</f>
        <v>6.99</v>
      </c>
      <c r="I90" s="6">
        <f>ROUND((E90*G90-H90)/IF(OR(K90=TRUE,K90="TRUE",K90="YES",K90=1),1+'Settings'!$B$6/100,1),2)</f>
        <v>51.99</v>
      </c>
      <c r="J90" s="8">
        <v>6.4</v>
      </c>
      <c r="K90" s="3" t="inlineStr">
        <is>
          <t xml:space="preserve">TRUE</t>
        </is>
      </c>
      <c r="L90" s="3" t="inlineStr">
        <is>
          <t xml:space="preserve">WELCOME10</t>
        </is>
      </c>
      <c r="M90" s="6">
        <f>ROUND(E90*G90-H90,2)</f>
        <v>62.91</v>
      </c>
      <c r="N90" s="5">
        <f>IF(COUNTIF($A$3:A90,A90)=1,1,0)</f>
        <v>1</v>
      </c>
      <c r="O90" s="6">
        <f>IF(N90=1,ROUND((SUMIFS($M$3:$M$1200,$A$3:$A$1200,A90)+'Settings'!$B$13)*'Settings'!$B$14/100+'Settings'!$B$15,2),0)</f>
        <v>2.17</v>
      </c>
    </row>
    <row r="91">
      <c r="A91" s="3" t="inlineStr">
        <is>
          <t xml:space="preserve">#1063</t>
        </is>
      </c>
      <c r="B91" s="3" t="inlineStr">
        <is>
          <t xml:space="preserve">2025-11-14</t>
        </is>
      </c>
      <c r="C91" s="3" t="inlineStr">
        <is>
          <t xml:space="preserve">SKU-G</t>
        </is>
      </c>
      <c r="D91" s="3" t="inlineStr">
        <is>
          <t xml:space="preserve">Daily Reset Set</t>
        </is>
      </c>
      <c r="E91" s="6">
        <f>IF('Settings'!$B$11="Scenario",IFERROR(INDEX('Catalogue'!$E$3:$E$100,MATCH(C91,'Catalogue'!$B$3:$B$100,0)),F91),F91)</f>
        <v>69</v>
      </c>
      <c r="F91" s="8">
        <v>69</v>
      </c>
      <c r="G91" s="3">
        <v>1</v>
      </c>
      <c r="H91" s="6">
        <f>IF('Settings'!$B$11="Scenario",ROUND(E91*G91*IFERROR(SUMIF('Pricing &amp; promotions'!$A$6:$A$8,L91,'Pricing &amp; promotions'!$B$6:$B$8)/100,0),2),J91)</f>
        <v>6.9</v>
      </c>
      <c r="I91" s="6">
        <f>ROUND((E91*G91-H91)/IF(OR(K91=TRUE,K91="TRUE",K91="YES",K91=1),1+'Settings'!$B$6/100,1),2)</f>
        <v>51.32</v>
      </c>
      <c r="J91" s="8">
        <v>6.9</v>
      </c>
      <c r="K91" s="3" t="inlineStr">
        <is>
          <t xml:space="preserve">TRUE</t>
        </is>
      </c>
      <c r="L91" s="3" t="inlineStr">
        <is>
          <t xml:space="preserve">WELCOME10</t>
        </is>
      </c>
      <c r="M91" s="6">
        <f>ROUND(E91*G91-H91,2)</f>
        <v>62.1</v>
      </c>
      <c r="N91" s="5">
        <f>IF(COUNTIF($A$3:A91,A91)=1,1,0)</f>
        <v>0</v>
      </c>
      <c r="O91" s="6">
        <f>IF(N91=1,ROUND((SUMIFS($M$3:$M$1200,$A$3:$A$1200,A91)+'Settings'!$B$13)*'Settings'!$B$14/100+'Settings'!$B$15,2),0)</f>
        <v>0</v>
      </c>
    </row>
    <row r="92">
      <c r="A92" s="3" t="inlineStr">
        <is>
          <t xml:space="preserve">#1064</t>
        </is>
      </c>
      <c r="B92" s="3" t="inlineStr">
        <is>
          <t xml:space="preserve">2025-11-14</t>
        </is>
      </c>
      <c r="C92" s="3" t="inlineStr">
        <is>
          <t xml:space="preserve">SKU-D</t>
        </is>
      </c>
      <c r="D92" s="3" t="inlineStr">
        <is>
          <t xml:space="preserve">Daily Duo</t>
        </is>
      </c>
      <c r="E92" s="6">
        <f>IF('Settings'!$B$11="Scenario",IFERROR(INDEX('Catalogue'!$E$3:$E$100,MATCH(C92,'Catalogue'!$B$3:$B$100,0)),F92),F92)</f>
        <v>79</v>
      </c>
      <c r="F92" s="8">
        <v>79</v>
      </c>
      <c r="G92" s="3">
        <v>1</v>
      </c>
      <c r="H92" s="6">
        <f>IF('Settings'!$B$11="Scenario",ROUND(E92*G92*IFERROR(SUMIF('Pricing &amp; promotions'!$A$6:$A$8,L92,'Pricing &amp; promotions'!$B$6:$B$8)/100,0),2),J92)</f>
        <v>7.9</v>
      </c>
      <c r="I92" s="6">
        <f>ROUND((E92*G92-H92)/IF(OR(K92=TRUE,K92="TRUE",K92="YES",K92=1),1+'Settings'!$B$6/100,1),2)</f>
        <v>58.76</v>
      </c>
      <c r="J92" s="8">
        <v>7.9</v>
      </c>
      <c r="K92" s="3" t="inlineStr">
        <is>
          <t xml:space="preserve">TRUE</t>
        </is>
      </c>
      <c r="L92" s="3" t="inlineStr">
        <is>
          <t xml:space="preserve">WELCOME10</t>
        </is>
      </c>
      <c r="M92" s="6">
        <f>ROUND(E92*G92-H92,2)</f>
        <v>71.1</v>
      </c>
      <c r="N92" s="5">
        <f>IF(COUNTIF($A$3:A92,A92)=1,1,0)</f>
        <v>1</v>
      </c>
      <c r="O92" s="6">
        <f>IF(N92=1,ROUND((SUMIFS($M$3:$M$1200,$A$3:$A$1200,A92)+'Settings'!$B$13)*'Settings'!$B$14/100+'Settings'!$B$15,2),0)</f>
        <v>2.3</v>
      </c>
    </row>
    <row r="93">
      <c r="A93" s="3" t="inlineStr">
        <is>
          <t xml:space="preserve">#1064</t>
        </is>
      </c>
      <c r="B93" s="3" t="inlineStr">
        <is>
          <t xml:space="preserve">2025-11-14</t>
        </is>
      </c>
      <c r="C93" s="3" t="inlineStr">
        <is>
          <t xml:space="preserve">SKU-A</t>
        </is>
      </c>
      <c r="D93" s="3" t="inlineStr">
        <is>
          <t xml:space="preserve">Renewal Serum</t>
        </is>
      </c>
      <c r="E93" s="6">
        <f>IF('Settings'!$B$11="Scenario",IFERROR(INDEX('Catalogue'!$E$3:$E$100,MATCH(C93,'Catalogue'!$B$3:$B$100,0)),F93),F93)</f>
        <v>69.9</v>
      </c>
      <c r="F93" s="8">
        <v>64</v>
      </c>
      <c r="G93" s="3">
        <v>1</v>
      </c>
      <c r="H93" s="6">
        <f>IF('Settings'!$B$11="Scenario",ROUND(E93*G93*IFERROR(SUMIF('Pricing &amp; promotions'!$A$6:$A$8,L93,'Pricing &amp; promotions'!$B$6:$B$8)/100,0),2),J93)</f>
        <v>6.99</v>
      </c>
      <c r="I93" s="6">
        <f>ROUND((E93*G93-H93)/IF(OR(K93=TRUE,K93="TRUE",K93="YES",K93=1),1+'Settings'!$B$6/100,1),2)</f>
        <v>51.99</v>
      </c>
      <c r="J93" s="8">
        <v>6.4</v>
      </c>
      <c r="K93" s="3" t="inlineStr">
        <is>
          <t xml:space="preserve">TRUE</t>
        </is>
      </c>
      <c r="L93" s="3" t="inlineStr">
        <is>
          <t xml:space="preserve">WELCOME10</t>
        </is>
      </c>
      <c r="M93" s="6">
        <f>ROUND(E93*G93-H93,2)</f>
        <v>62.91</v>
      </c>
      <c r="N93" s="5">
        <f>IF(COUNTIF($A$3:A93,A93)=1,1,0)</f>
        <v>0</v>
      </c>
      <c r="O93" s="6">
        <f>IF(N93=1,ROUND((SUMIFS($M$3:$M$1200,$A$3:$A$1200,A93)+'Settings'!$B$13)*'Settings'!$B$14/100+'Settings'!$B$15,2),0)</f>
        <v>0</v>
      </c>
    </row>
    <row r="94">
      <c r="A94" s="3" t="inlineStr">
        <is>
          <t xml:space="preserve">#1065</t>
        </is>
      </c>
      <c r="B94" s="3" t="inlineStr">
        <is>
          <t xml:space="preserve">2025-11-15</t>
        </is>
      </c>
      <c r="C94" s="3" t="inlineStr">
        <is>
          <t xml:space="preserve">SKU-A</t>
        </is>
      </c>
      <c r="D94" s="3" t="inlineStr">
        <is>
          <t xml:space="preserve">Renewal Serum</t>
        </is>
      </c>
      <c r="E94" s="6">
        <f>IF('Settings'!$B$11="Scenario",IFERROR(INDEX('Catalogue'!$E$3:$E$100,MATCH(C94,'Catalogue'!$B$3:$B$100,0)),F94),F94)</f>
        <v>69.9</v>
      </c>
      <c r="F94" s="8">
        <v>64</v>
      </c>
      <c r="G94" s="3">
        <v>1</v>
      </c>
      <c r="H94" s="6">
        <f>IF('Settings'!$B$11="Scenario",ROUND(E94*G94*IFERROR(SUMIF('Pricing &amp; promotions'!$A$6:$A$8,L94,'Pricing &amp; promotions'!$B$6:$B$8)/100,0),2),J94)</f>
        <v>0.0</v>
      </c>
      <c r="I94" s="6">
        <f>ROUND((E94*G94-H94)/IF(OR(K94=TRUE,K94="TRUE",K94="YES",K94=1),1+'Settings'!$B$6/100,1),2)</f>
        <v>57.77</v>
      </c>
      <c r="J94" s="8">
        <v>0.0</v>
      </c>
      <c r="K94" s="3" t="inlineStr">
        <is>
          <t xml:space="preserve">TRUE</t>
        </is>
      </c>
      <c r="L94" s="3"/>
      <c r="M94" s="6">
        <f>ROUND(E94*G94-H94,2)</f>
        <v>69.9</v>
      </c>
      <c r="N94" s="5">
        <f>IF(COUNTIF($A$3:A94,A94)=1,1,0)</f>
        <v>1</v>
      </c>
      <c r="O94" s="6">
        <f>IF(N94=1,ROUND((SUMIFS($M$3:$M$1200,$A$3:$A$1200,A94)+'Settings'!$B$13)*'Settings'!$B$14/100+'Settings'!$B$15,2),0)</f>
        <v>1.34</v>
      </c>
    </row>
    <row r="95">
      <c r="A95" s="3" t="inlineStr">
        <is>
          <t xml:space="preserve">#1066</t>
        </is>
      </c>
      <c r="B95" s="3" t="inlineStr">
        <is>
          <t xml:space="preserve">2025-11-16</t>
        </is>
      </c>
      <c r="C95" s="3" t="inlineStr">
        <is>
          <t xml:space="preserve">SKU-B</t>
        </is>
      </c>
      <c r="D95" s="3" t="inlineStr">
        <is>
          <t xml:space="preserve">Barrier Balm</t>
        </is>
      </c>
      <c r="E95" s="6">
        <f>IF('Settings'!$B$11="Scenario",IFERROR(INDEX('Catalogue'!$E$3:$E$100,MATCH(C95,'Catalogue'!$B$3:$B$100,0)),F95),F95)</f>
        <v>19</v>
      </c>
      <c r="F95" s="8">
        <v>18</v>
      </c>
      <c r="G95" s="3">
        <v>1</v>
      </c>
      <c r="H95" s="6">
        <f>IF('Settings'!$B$11="Scenario",ROUND(E95*G95*IFERROR(SUMIF('Pricing &amp; promotions'!$A$6:$A$8,L95,'Pricing &amp; promotions'!$B$6:$B$8)/100,0),2),J95)</f>
        <v>0.0</v>
      </c>
      <c r="I95" s="6">
        <f>ROUND((E95*G95-H95)/IF(OR(K95=TRUE,K95="TRUE",K95="YES",K95=1),1+'Settings'!$B$6/100,1),2)</f>
        <v>15.7</v>
      </c>
      <c r="J95" s="8">
        <v>0.0</v>
      </c>
      <c r="K95" s="3" t="inlineStr">
        <is>
          <t xml:space="preserve">TRUE</t>
        </is>
      </c>
      <c r="L95" s="3"/>
      <c r="M95" s="6">
        <f>ROUND(E95*G95-H95,2)</f>
        <v>19.0</v>
      </c>
      <c r="N95" s="5">
        <f>IF(COUNTIF($A$3:A95,A95)=1,1,0)</f>
        <v>1</v>
      </c>
      <c r="O95" s="6">
        <f>IF(N95=1,ROUND((SUMIFS($M$3:$M$1200,$A$3:$A$1200,A95)+'Settings'!$B$13)*'Settings'!$B$14/100+'Settings'!$B$15,2),0)</f>
        <v>0.58</v>
      </c>
    </row>
    <row r="96">
      <c r="A96" s="3" t="inlineStr">
        <is>
          <t xml:space="preserve">#1067</t>
        </is>
      </c>
      <c r="B96" s="3" t="inlineStr">
        <is>
          <t xml:space="preserve">2025-11-16</t>
        </is>
      </c>
      <c r="C96" s="3" t="inlineStr">
        <is>
          <t xml:space="preserve">SKU-G</t>
        </is>
      </c>
      <c r="D96" s="3" t="inlineStr">
        <is>
          <t xml:space="preserve">Daily Reset Set</t>
        </is>
      </c>
      <c r="E96" s="6">
        <f>IF('Settings'!$B$11="Scenario",IFERROR(INDEX('Catalogue'!$E$3:$E$100,MATCH(C96,'Catalogue'!$B$3:$B$100,0)),F96),F96)</f>
        <v>69</v>
      </c>
      <c r="F96" s="8">
        <v>69</v>
      </c>
      <c r="G96" s="3">
        <v>2</v>
      </c>
      <c r="H96" s="6">
        <f>IF('Settings'!$B$11="Scenario",ROUND(E96*G96*IFERROR(SUMIF('Pricing &amp; promotions'!$A$6:$A$8,L96,'Pricing &amp; promotions'!$B$6:$B$8)/100,0),2),J96)</f>
        <v>0.0</v>
      </c>
      <c r="I96" s="6">
        <f>ROUND((E96*G96-H96)/IF(OR(K96=TRUE,K96="TRUE",K96="YES",K96=1),1+'Settings'!$B$6/100,1),2)</f>
        <v>114.05</v>
      </c>
      <c r="J96" s="8">
        <v>0.0</v>
      </c>
      <c r="K96" s="3" t="inlineStr">
        <is>
          <t xml:space="preserve">TRUE</t>
        </is>
      </c>
      <c r="L96" s="3"/>
      <c r="M96" s="6">
        <f>ROUND(E96*G96-H96,2)</f>
        <v>138.0</v>
      </c>
      <c r="N96" s="5">
        <f>IF(COUNTIF($A$3:A96,A96)=1,1,0)</f>
        <v>1</v>
      </c>
      <c r="O96" s="6">
        <f>IF(N96=1,ROUND((SUMIFS($M$3:$M$1200,$A$3:$A$1200,A96)+'Settings'!$B$13)*'Settings'!$B$14/100+'Settings'!$B$15,2),0)</f>
        <v>2.36</v>
      </c>
    </row>
    <row r="97">
      <c r="A97" s="3" t="inlineStr">
        <is>
          <t xml:space="preserve">#1068</t>
        </is>
      </c>
      <c r="B97" s="3" t="inlineStr">
        <is>
          <t xml:space="preserve">2025-11-16</t>
        </is>
      </c>
      <c r="C97" s="3" t="inlineStr">
        <is>
          <t xml:space="preserve">SKU-D</t>
        </is>
      </c>
      <c r="D97" s="3" t="inlineStr">
        <is>
          <t xml:space="preserve">Daily Duo</t>
        </is>
      </c>
      <c r="E97" s="6">
        <f>IF('Settings'!$B$11="Scenario",IFERROR(INDEX('Catalogue'!$E$3:$E$100,MATCH(C97,'Catalogue'!$B$3:$B$100,0)),F97),F97)</f>
        <v>79</v>
      </c>
      <c r="F97" s="8">
        <v>79</v>
      </c>
      <c r="G97" s="3">
        <v>1</v>
      </c>
      <c r="H97" s="6">
        <f>IF('Settings'!$B$11="Scenario",ROUND(E97*G97*IFERROR(SUMIF('Pricing &amp; promotions'!$A$6:$A$8,L97,'Pricing &amp; promotions'!$B$6:$B$8)/100,0),2),J97)</f>
        <v>0.0</v>
      </c>
      <c r="I97" s="6">
        <f>ROUND((E97*G97-H97)/IF(OR(K97=TRUE,K97="TRUE",K97="YES",K97=1),1+'Settings'!$B$6/100,1),2)</f>
        <v>65.29</v>
      </c>
      <c r="J97" s="8">
        <v>0.0</v>
      </c>
      <c r="K97" s="3" t="inlineStr">
        <is>
          <t xml:space="preserve">TRUE</t>
        </is>
      </c>
      <c r="L97" s="3"/>
      <c r="M97" s="6">
        <f>ROUND(E97*G97-H97,2)</f>
        <v>79.0</v>
      </c>
      <c r="N97" s="5">
        <f>IF(COUNTIF($A$3:A97,A97)=1,1,0)</f>
        <v>1</v>
      </c>
      <c r="O97" s="6">
        <f>IF(N97=1,ROUND((SUMIFS($M$3:$M$1200,$A$3:$A$1200,A97)+'Settings'!$B$13)*'Settings'!$B$14/100+'Settings'!$B$15,2),0)</f>
        <v>1.48</v>
      </c>
    </row>
    <row r="98">
      <c r="A98" s="3" t="inlineStr">
        <is>
          <t xml:space="preserve">#1069</t>
        </is>
      </c>
      <c r="B98" s="3" t="inlineStr">
        <is>
          <t xml:space="preserve">2025-11-16</t>
        </is>
      </c>
      <c r="C98" s="3" t="inlineStr">
        <is>
          <t xml:space="preserve">SKU-A</t>
        </is>
      </c>
      <c r="D98" s="3" t="inlineStr">
        <is>
          <t xml:space="preserve">Renewal Serum</t>
        </is>
      </c>
      <c r="E98" s="6">
        <f>IF('Settings'!$B$11="Scenario",IFERROR(INDEX('Catalogue'!$E$3:$E$100,MATCH(C98,'Catalogue'!$B$3:$B$100,0)),F98),F98)</f>
        <v>69.9</v>
      </c>
      <c r="F98" s="8">
        <v>64</v>
      </c>
      <c r="G98" s="3">
        <v>1</v>
      </c>
      <c r="H98" s="6">
        <f>IF('Settings'!$B$11="Scenario",ROUND(E98*G98*IFERROR(SUMIF('Pricing &amp; promotions'!$A$6:$A$8,L98,'Pricing &amp; promotions'!$B$6:$B$8)/100,0),2),J98)</f>
        <v>0.0</v>
      </c>
      <c r="I98" s="6">
        <f>ROUND((E98*G98-H98)/IF(OR(K98=TRUE,K98="TRUE",K98="YES",K98=1),1+'Settings'!$B$6/100,1),2)</f>
        <v>57.77</v>
      </c>
      <c r="J98" s="8">
        <v>0.0</v>
      </c>
      <c r="K98" s="3" t="inlineStr">
        <is>
          <t xml:space="preserve">TRUE</t>
        </is>
      </c>
      <c r="L98" s="3"/>
      <c r="M98" s="6">
        <f>ROUND(E98*G98-H98,2)</f>
        <v>69.9</v>
      </c>
      <c r="N98" s="5">
        <f>IF(COUNTIF($A$3:A98,A98)=1,1,0)</f>
        <v>1</v>
      </c>
      <c r="O98" s="6">
        <f>IF(N98=1,ROUND((SUMIFS($M$3:$M$1200,$A$3:$A$1200,A98)+'Settings'!$B$13)*'Settings'!$B$14/100+'Settings'!$B$15,2),0)</f>
        <v>2.66</v>
      </c>
    </row>
    <row r="99">
      <c r="A99" s="3" t="inlineStr">
        <is>
          <t xml:space="preserve">#1069</t>
        </is>
      </c>
      <c r="B99" s="3" t="inlineStr">
        <is>
          <t xml:space="preserve">2025-11-16</t>
        </is>
      </c>
      <c r="C99" s="3" t="inlineStr">
        <is>
          <t xml:space="preserve">SKU-G</t>
        </is>
      </c>
      <c r="D99" s="3" t="inlineStr">
        <is>
          <t xml:space="preserve">Daily Reset Set</t>
        </is>
      </c>
      <c r="E99" s="6">
        <f>IF('Settings'!$B$11="Scenario",IFERROR(INDEX('Catalogue'!$E$3:$E$100,MATCH(C99,'Catalogue'!$B$3:$B$100,0)),F99),F99)</f>
        <v>69</v>
      </c>
      <c r="F99" s="8">
        <v>69</v>
      </c>
      <c r="G99" s="3">
        <v>1</v>
      </c>
      <c r="H99" s="6">
        <f>IF('Settings'!$B$11="Scenario",ROUND(E99*G99*IFERROR(SUMIF('Pricing &amp; promotions'!$A$6:$A$8,L99,'Pricing &amp; promotions'!$B$6:$B$8)/100,0),2),J99)</f>
        <v>0.0</v>
      </c>
      <c r="I99" s="6">
        <f>ROUND((E99*G99-H99)/IF(OR(K99=TRUE,K99="TRUE",K99="YES",K99=1),1+'Settings'!$B$6/100,1),2)</f>
        <v>57.02</v>
      </c>
      <c r="J99" s="8">
        <v>0.0</v>
      </c>
      <c r="K99" s="3" t="inlineStr">
        <is>
          <t xml:space="preserve">TRUE</t>
        </is>
      </c>
      <c r="L99" s="3"/>
      <c r="M99" s="6">
        <f>ROUND(E99*G99-H99,2)</f>
        <v>69.0</v>
      </c>
      <c r="N99" s="5">
        <f>IF(COUNTIF($A$3:A99,A99)=1,1,0)</f>
        <v>0</v>
      </c>
      <c r="O99" s="6">
        <f>IF(N99=1,ROUND((SUMIFS($M$3:$M$1200,$A$3:$A$1200,A99)+'Settings'!$B$13)*'Settings'!$B$14/100+'Settings'!$B$15,2),0)</f>
        <v>0</v>
      </c>
    </row>
    <row r="100">
      <c r="A100" s="3" t="inlineStr">
        <is>
          <t xml:space="preserve">#1069</t>
        </is>
      </c>
      <c r="B100" s="3" t="inlineStr">
        <is>
          <t xml:space="preserve">2025-11-16</t>
        </is>
      </c>
      <c r="C100" s="3" t="inlineStr">
        <is>
          <t xml:space="preserve">SKU-B</t>
        </is>
      </c>
      <c r="D100" s="3" t="inlineStr">
        <is>
          <t xml:space="preserve">Barrier Balm</t>
        </is>
      </c>
      <c r="E100" s="6">
        <f>IF('Settings'!$B$11="Scenario",IFERROR(INDEX('Catalogue'!$E$3:$E$100,MATCH(C100,'Catalogue'!$B$3:$B$100,0)),F100),F100)</f>
        <v>19</v>
      </c>
      <c r="F100" s="8">
        <v>18</v>
      </c>
      <c r="G100" s="3">
        <v>1</v>
      </c>
      <c r="H100" s="6">
        <f>IF('Settings'!$B$11="Scenario",ROUND(E100*G100*IFERROR(SUMIF('Pricing &amp; promotions'!$A$6:$A$8,L100,'Pricing &amp; promotions'!$B$6:$B$8)/100,0),2),J100)</f>
        <v>0.0</v>
      </c>
      <c r="I100" s="6">
        <f>ROUND((E100*G100-H100)/IF(OR(K100=TRUE,K100="TRUE",K100="YES",K100=1),1+'Settings'!$B$6/100,1),2)</f>
        <v>15.7</v>
      </c>
      <c r="J100" s="8">
        <v>0.0</v>
      </c>
      <c r="K100" s="3" t="inlineStr">
        <is>
          <t xml:space="preserve">TRUE</t>
        </is>
      </c>
      <c r="L100" s="3"/>
      <c r="M100" s="6">
        <f>ROUND(E100*G100-H100,2)</f>
        <v>19.0</v>
      </c>
      <c r="N100" s="5">
        <f>IF(COUNTIF($A$3:A100,A100)=1,1,0)</f>
        <v>0</v>
      </c>
      <c r="O100" s="6">
        <f>IF(N100=1,ROUND((SUMIFS($M$3:$M$1200,$A$3:$A$1200,A100)+'Settings'!$B$13)*'Settings'!$B$14/100+'Settings'!$B$15,2),0)</f>
        <v>0</v>
      </c>
    </row>
    <row r="101">
      <c r="A101" s="3" t="inlineStr">
        <is>
          <t xml:space="preserve">#1070</t>
        </is>
      </c>
      <c r="B101" s="3" t="inlineStr">
        <is>
          <t xml:space="preserve">2025-11-17</t>
        </is>
      </c>
      <c r="C101" s="3" t="inlineStr">
        <is>
          <t xml:space="preserve">SKU-G</t>
        </is>
      </c>
      <c r="D101" s="3" t="inlineStr">
        <is>
          <t xml:space="preserve">Daily Reset Set</t>
        </is>
      </c>
      <c r="E101" s="6">
        <f>IF('Settings'!$B$11="Scenario",IFERROR(INDEX('Catalogue'!$E$3:$E$100,MATCH(C101,'Catalogue'!$B$3:$B$100,0)),F101),F101)</f>
        <v>69</v>
      </c>
      <c r="F101" s="8">
        <v>69</v>
      </c>
      <c r="G101" s="3">
        <v>2</v>
      </c>
      <c r="H101" s="6">
        <f>IF('Settings'!$B$11="Scenario",ROUND(E101*G101*IFERROR(SUMIF('Pricing &amp; promotions'!$A$6:$A$8,L101,'Pricing &amp; promotions'!$B$6:$B$8)/100,0),2),J101)</f>
        <v>0.0</v>
      </c>
      <c r="I101" s="6">
        <f>ROUND((E101*G101-H101)/IF(OR(K101=TRUE,K101="TRUE",K101="YES",K101=1),1+'Settings'!$B$6/100,1),2)</f>
        <v>114.05</v>
      </c>
      <c r="J101" s="8">
        <v>0.0</v>
      </c>
      <c r="K101" s="3" t="inlineStr">
        <is>
          <t xml:space="preserve">TRUE</t>
        </is>
      </c>
      <c r="L101" s="3"/>
      <c r="M101" s="6">
        <f>ROUND(E101*G101-H101,2)</f>
        <v>138.0</v>
      </c>
      <c r="N101" s="5">
        <f>IF(COUNTIF($A$3:A101,A101)=1,1,0)</f>
        <v>1</v>
      </c>
      <c r="O101" s="6">
        <f>IF(N101=1,ROUND((SUMIFS($M$3:$M$1200,$A$3:$A$1200,A101)+'Settings'!$B$13)*'Settings'!$B$14/100+'Settings'!$B$15,2),0)</f>
        <v>2.36</v>
      </c>
    </row>
    <row r="102">
      <c r="A102" s="3" t="inlineStr">
        <is>
          <t xml:space="preserve">#1071</t>
        </is>
      </c>
      <c r="B102" s="3" t="inlineStr">
        <is>
          <t xml:space="preserve">2025-11-17</t>
        </is>
      </c>
      <c r="C102" s="3" t="inlineStr">
        <is>
          <t xml:space="preserve">SKU-D</t>
        </is>
      </c>
      <c r="D102" s="3" t="inlineStr">
        <is>
          <t xml:space="preserve">Daily Duo</t>
        </is>
      </c>
      <c r="E102" s="6">
        <f>IF('Settings'!$B$11="Scenario",IFERROR(INDEX('Catalogue'!$E$3:$E$100,MATCH(C102,'Catalogue'!$B$3:$B$100,0)),F102),F102)</f>
        <v>79</v>
      </c>
      <c r="F102" s="8">
        <v>79</v>
      </c>
      <c r="G102" s="3">
        <v>1</v>
      </c>
      <c r="H102" s="6">
        <f>IF('Settings'!$B$11="Scenario",ROUND(E102*G102*IFERROR(SUMIF('Pricing &amp; promotions'!$A$6:$A$8,L102,'Pricing &amp; promotions'!$B$6:$B$8)/100,0),2),J102)</f>
        <v>0.0</v>
      </c>
      <c r="I102" s="6">
        <f>ROUND((E102*G102-H102)/IF(OR(K102=TRUE,K102="TRUE",K102="YES",K102=1),1+'Settings'!$B$6/100,1),2)</f>
        <v>65.29</v>
      </c>
      <c r="J102" s="8">
        <v>0.0</v>
      </c>
      <c r="K102" s="3" t="inlineStr">
        <is>
          <t xml:space="preserve">TRUE</t>
        </is>
      </c>
      <c r="L102" s="3"/>
      <c r="M102" s="6">
        <f>ROUND(E102*G102-H102,2)</f>
        <v>79.0</v>
      </c>
      <c r="N102" s="5">
        <f>IF(COUNTIF($A$3:A102,A102)=1,1,0)</f>
        <v>1</v>
      </c>
      <c r="O102" s="6">
        <f>IF(N102=1,ROUND((SUMIFS($M$3:$M$1200,$A$3:$A$1200,A102)+'Settings'!$B$13)*'Settings'!$B$14/100+'Settings'!$B$15,2),0)</f>
        <v>1.48</v>
      </c>
    </row>
    <row r="103">
      <c r="A103" s="3" t="inlineStr">
        <is>
          <t xml:space="preserve">#1072</t>
        </is>
      </c>
      <c r="B103" s="3" t="inlineStr">
        <is>
          <t xml:space="preserve">2025-11-17</t>
        </is>
      </c>
      <c r="C103" s="3" t="inlineStr">
        <is>
          <t xml:space="preserve">SKU-A</t>
        </is>
      </c>
      <c r="D103" s="3" t="inlineStr">
        <is>
          <t xml:space="preserve">Renewal Serum</t>
        </is>
      </c>
      <c r="E103" s="6">
        <f>IF('Settings'!$B$11="Scenario",IFERROR(INDEX('Catalogue'!$E$3:$E$100,MATCH(C103,'Catalogue'!$B$3:$B$100,0)),F103),F103)</f>
        <v>69.9</v>
      </c>
      <c r="F103" s="8">
        <v>64</v>
      </c>
      <c r="G103" s="3">
        <v>1</v>
      </c>
      <c r="H103" s="6">
        <f>IF('Settings'!$B$11="Scenario",ROUND(E103*G103*IFERROR(SUMIF('Pricing &amp; promotions'!$A$6:$A$8,L103,'Pricing &amp; promotions'!$B$6:$B$8)/100,0),2),J103)</f>
        <v>0.0</v>
      </c>
      <c r="I103" s="6">
        <f>ROUND((E103*G103-H103)/IF(OR(K103=TRUE,K103="TRUE",K103="YES",K103=1),1+'Settings'!$B$6/100,1),2)</f>
        <v>57.77</v>
      </c>
      <c r="J103" s="8">
        <v>0.0</v>
      </c>
      <c r="K103" s="3" t="inlineStr">
        <is>
          <t xml:space="preserve">TRUE</t>
        </is>
      </c>
      <c r="L103" s="3"/>
      <c r="M103" s="6">
        <f>ROUND(E103*G103-H103,2)</f>
        <v>69.9</v>
      </c>
      <c r="N103" s="5">
        <f>IF(COUNTIF($A$3:A103,A103)=1,1,0)</f>
        <v>1</v>
      </c>
      <c r="O103" s="6">
        <f>IF(N103=1,ROUND((SUMIFS($M$3:$M$1200,$A$3:$A$1200,A103)+'Settings'!$B$13)*'Settings'!$B$14/100+'Settings'!$B$15,2),0)</f>
        <v>2.68</v>
      </c>
    </row>
    <row r="104">
      <c r="A104" s="3" t="inlineStr">
        <is>
          <t xml:space="preserve">#1072</t>
        </is>
      </c>
      <c r="B104" s="3" t="inlineStr">
        <is>
          <t xml:space="preserve">2025-11-17</t>
        </is>
      </c>
      <c r="C104" s="3" t="inlineStr">
        <is>
          <t xml:space="preserve">SKU-E</t>
        </is>
      </c>
      <c r="D104" s="3" t="inlineStr">
        <is>
          <t xml:space="preserve">Complete Ritual</t>
        </is>
      </c>
      <c r="E104" s="6">
        <f>IF('Settings'!$B$11="Scenario",IFERROR(INDEX('Catalogue'!$E$3:$E$100,MATCH(C104,'Catalogue'!$B$3:$B$100,0)),F104),F104)</f>
        <v>89</v>
      </c>
      <c r="F104" s="8">
        <v>89</v>
      </c>
      <c r="G104" s="3">
        <v>1</v>
      </c>
      <c r="H104" s="6">
        <f>IF('Settings'!$B$11="Scenario",ROUND(E104*G104*IFERROR(SUMIF('Pricing &amp; promotions'!$A$6:$A$8,L104,'Pricing &amp; promotions'!$B$6:$B$8)/100,0),2),J104)</f>
        <v>0.0</v>
      </c>
      <c r="I104" s="6">
        <f>ROUND((E104*G104-H104)/IF(OR(K104=TRUE,K104="TRUE",K104="YES",K104=1),1+'Settings'!$B$6/100,1),2)</f>
        <v>73.55</v>
      </c>
      <c r="J104" s="8">
        <v>0.0</v>
      </c>
      <c r="K104" s="3" t="inlineStr">
        <is>
          <t xml:space="preserve">TRUE</t>
        </is>
      </c>
      <c r="L104" s="3"/>
      <c r="M104" s="6">
        <f>ROUND(E104*G104-H104,2)</f>
        <v>89.0</v>
      </c>
      <c r="N104" s="5">
        <f>IF(COUNTIF($A$3:A104,A104)=1,1,0)</f>
        <v>0</v>
      </c>
      <c r="O104" s="6">
        <f>IF(N104=1,ROUND((SUMIFS($M$3:$M$1200,$A$3:$A$1200,A104)+'Settings'!$B$13)*'Settings'!$B$14/100+'Settings'!$B$15,2),0)</f>
        <v>0</v>
      </c>
    </row>
    <row r="105">
      <c r="A105" s="3" t="inlineStr">
        <is>
          <t xml:space="preserve">#1073</t>
        </is>
      </c>
      <c r="B105" s="3" t="inlineStr">
        <is>
          <t xml:space="preserve">2025-11-18</t>
        </is>
      </c>
      <c r="C105" s="3" t="inlineStr">
        <is>
          <t xml:space="preserve">SKU-A</t>
        </is>
      </c>
      <c r="D105" s="3" t="inlineStr">
        <is>
          <t xml:space="preserve">Renewal Serum</t>
        </is>
      </c>
      <c r="E105" s="6">
        <f>IF('Settings'!$B$11="Scenario",IFERROR(INDEX('Catalogue'!$E$3:$E$100,MATCH(C105,'Catalogue'!$B$3:$B$100,0)),F105),F105)</f>
        <v>69.9</v>
      </c>
      <c r="F105" s="8">
        <v>64</v>
      </c>
      <c r="G105" s="3">
        <v>2</v>
      </c>
      <c r="H105" s="6">
        <f>IF('Settings'!$B$11="Scenario",ROUND(E105*G105*IFERROR(SUMIF('Pricing &amp; promotions'!$A$6:$A$8,L105,'Pricing &amp; promotions'!$B$6:$B$8)/100,0),2),J105)</f>
        <v>0.0</v>
      </c>
      <c r="I105" s="6">
        <f>ROUND((E105*G105-H105)/IF(OR(K105=TRUE,K105="TRUE",K105="YES",K105=1),1+'Settings'!$B$6/100,1),2)</f>
        <v>115.54</v>
      </c>
      <c r="J105" s="8">
        <v>0.0</v>
      </c>
      <c r="K105" s="3" t="inlineStr">
        <is>
          <t xml:space="preserve">TRUE</t>
        </is>
      </c>
      <c r="L105" s="3"/>
      <c r="M105" s="6">
        <f>ROUND(E105*G105-H105,2)</f>
        <v>139.8</v>
      </c>
      <c r="N105" s="5">
        <f>IF(COUNTIF($A$3:A105,A105)=1,1,0)</f>
        <v>1</v>
      </c>
      <c r="O105" s="6">
        <f>IF(N105=1,ROUND((SUMIFS($M$3:$M$1200,$A$3:$A$1200,A105)+'Settings'!$B$13)*'Settings'!$B$14/100+'Settings'!$B$15,2),0)</f>
        <v>2.39</v>
      </c>
    </row>
    <row r="106">
      <c r="A106" s="3" t="inlineStr">
        <is>
          <t xml:space="preserve">#1074</t>
        </is>
      </c>
      <c r="B106" s="3" t="inlineStr">
        <is>
          <t xml:space="preserve">2025-11-18</t>
        </is>
      </c>
      <c r="C106" s="3" t="inlineStr">
        <is>
          <t xml:space="preserve">SKU-A</t>
        </is>
      </c>
      <c r="D106" s="3" t="inlineStr">
        <is>
          <t xml:space="preserve">Renewal Serum</t>
        </is>
      </c>
      <c r="E106" s="6">
        <f>IF('Settings'!$B$11="Scenario",IFERROR(INDEX('Catalogue'!$E$3:$E$100,MATCH(C106,'Catalogue'!$B$3:$B$100,0)),F106),F106)</f>
        <v>69.9</v>
      </c>
      <c r="F106" s="8">
        <v>64</v>
      </c>
      <c r="G106" s="3">
        <v>1</v>
      </c>
      <c r="H106" s="6">
        <f>IF('Settings'!$B$11="Scenario",ROUND(E106*G106*IFERROR(SUMIF('Pricing &amp; promotions'!$A$6:$A$8,L106,'Pricing &amp; promotions'!$B$6:$B$8)/100,0),2),J106)</f>
        <v>0.0</v>
      </c>
      <c r="I106" s="6">
        <f>ROUND((E106*G106-H106)/IF(OR(K106=TRUE,K106="TRUE",K106="YES",K106=1),1+'Settings'!$B$6/100,1),2)</f>
        <v>57.77</v>
      </c>
      <c r="J106" s="8">
        <v>0.0</v>
      </c>
      <c r="K106" s="3" t="inlineStr">
        <is>
          <t xml:space="preserve">TRUE</t>
        </is>
      </c>
      <c r="L106" s="3"/>
      <c r="M106" s="6">
        <f>ROUND(E106*G106-H106,2)</f>
        <v>69.9</v>
      </c>
      <c r="N106" s="5">
        <f>IF(COUNTIF($A$3:A106,A106)=1,1,0)</f>
        <v>1</v>
      </c>
      <c r="O106" s="6">
        <f>IF(N106=1,ROUND((SUMIFS($M$3:$M$1200,$A$3:$A$1200,A106)+'Settings'!$B$13)*'Settings'!$B$14/100+'Settings'!$B$15,2),0)</f>
        <v>1.85</v>
      </c>
    </row>
    <row r="107">
      <c r="A107" s="3" t="inlineStr">
        <is>
          <t xml:space="preserve">#1074</t>
        </is>
      </c>
      <c r="B107" s="3" t="inlineStr">
        <is>
          <t xml:space="preserve">2025-11-18</t>
        </is>
      </c>
      <c r="C107" s="3" t="inlineStr">
        <is>
          <t xml:space="preserve">SKU-F</t>
        </is>
      </c>
      <c r="D107" s="3" t="inlineStr">
        <is>
          <t xml:space="preserve">Cloud Cleanser</t>
        </is>
      </c>
      <c r="E107" s="6">
        <f>IF('Settings'!$B$11="Scenario",IFERROR(INDEX('Catalogue'!$E$3:$E$100,MATCH(C107,'Catalogue'!$B$3:$B$100,0)),F107),F107)</f>
        <v>34</v>
      </c>
      <c r="F107" s="8">
        <v>34</v>
      </c>
      <c r="G107" s="3">
        <v>1</v>
      </c>
      <c r="H107" s="6">
        <f>IF('Settings'!$B$11="Scenario",ROUND(E107*G107*IFERROR(SUMIF('Pricing &amp; promotions'!$A$6:$A$8,L107,'Pricing &amp; promotions'!$B$6:$B$8)/100,0),2),J107)</f>
        <v>0.0</v>
      </c>
      <c r="I107" s="6">
        <f>ROUND((E107*G107-H107)/IF(OR(K107=TRUE,K107="TRUE",K107="YES",K107=1),1+'Settings'!$B$6/100,1),2)</f>
        <v>28.1</v>
      </c>
      <c r="J107" s="8">
        <v>0.0</v>
      </c>
      <c r="K107" s="3" t="inlineStr">
        <is>
          <t xml:space="preserve">TRUE</t>
        </is>
      </c>
      <c r="L107" s="3"/>
      <c r="M107" s="6">
        <f>ROUND(E107*G107-H107,2)</f>
        <v>34.0</v>
      </c>
      <c r="N107" s="5">
        <f>IF(COUNTIF($A$3:A107,A107)=1,1,0)</f>
        <v>0</v>
      </c>
      <c r="O107" s="6">
        <f>IF(N107=1,ROUND((SUMIFS($M$3:$M$1200,$A$3:$A$1200,A107)+'Settings'!$B$13)*'Settings'!$B$14/100+'Settings'!$B$15,2),0)</f>
        <v>0</v>
      </c>
    </row>
    <row r="108">
      <c r="A108" s="3" t="inlineStr">
        <is>
          <t xml:space="preserve">#1075</t>
        </is>
      </c>
      <c r="B108" s="3" t="inlineStr">
        <is>
          <t xml:space="preserve">2025-11-18</t>
        </is>
      </c>
      <c r="C108" s="3" t="inlineStr">
        <is>
          <t xml:space="preserve">SKU-D</t>
        </is>
      </c>
      <c r="D108" s="3" t="inlineStr">
        <is>
          <t xml:space="preserve">Daily Duo</t>
        </is>
      </c>
      <c r="E108" s="6">
        <f>IF('Settings'!$B$11="Scenario",IFERROR(INDEX('Catalogue'!$E$3:$E$100,MATCH(C108,'Catalogue'!$B$3:$B$100,0)),F108),F108)</f>
        <v>79</v>
      </c>
      <c r="F108" s="8">
        <v>79</v>
      </c>
      <c r="G108" s="3">
        <v>1</v>
      </c>
      <c r="H108" s="6">
        <f>IF('Settings'!$B$11="Scenario",ROUND(E108*G108*IFERROR(SUMIF('Pricing &amp; promotions'!$A$6:$A$8,L108,'Pricing &amp; promotions'!$B$6:$B$8)/100,0),2),J108)</f>
        <v>0.0</v>
      </c>
      <c r="I108" s="6">
        <f>ROUND((E108*G108-H108)/IF(OR(K108=TRUE,K108="TRUE",K108="YES",K108=1),1+'Settings'!$B$6/100,1),2)</f>
        <v>65.29</v>
      </c>
      <c r="J108" s="8">
        <v>0.0</v>
      </c>
      <c r="K108" s="3" t="inlineStr">
        <is>
          <t xml:space="preserve">TRUE</t>
        </is>
      </c>
      <c r="L108" s="3"/>
      <c r="M108" s="6">
        <f>ROUND(E108*G108-H108,2)</f>
        <v>79.0</v>
      </c>
      <c r="N108" s="5">
        <f>IF(COUNTIF($A$3:A108,A108)=1,1,0)</f>
        <v>1</v>
      </c>
      <c r="O108" s="6">
        <f>IF(N108=1,ROUND((SUMIFS($M$3:$M$1200,$A$3:$A$1200,A108)+'Settings'!$B$13)*'Settings'!$B$14/100+'Settings'!$B$15,2),0)</f>
        <v>1.48</v>
      </c>
    </row>
    <row r="109">
      <c r="A109" s="3" t="inlineStr">
        <is>
          <t xml:space="preserve">#1076</t>
        </is>
      </c>
      <c r="B109" s="3" t="inlineStr">
        <is>
          <t xml:space="preserve">2025-11-19</t>
        </is>
      </c>
      <c r="C109" s="3" t="inlineStr">
        <is>
          <t xml:space="preserve">SKU-D</t>
        </is>
      </c>
      <c r="D109" s="3" t="inlineStr">
        <is>
          <t xml:space="preserve">Daily Duo</t>
        </is>
      </c>
      <c r="E109" s="6">
        <f>IF('Settings'!$B$11="Scenario",IFERROR(INDEX('Catalogue'!$E$3:$E$100,MATCH(C109,'Catalogue'!$B$3:$B$100,0)),F109),F109)</f>
        <v>79</v>
      </c>
      <c r="F109" s="8">
        <v>79</v>
      </c>
      <c r="G109" s="3">
        <v>1</v>
      </c>
      <c r="H109" s="6">
        <f>IF('Settings'!$B$11="Scenario",ROUND(E109*G109*IFERROR(SUMIF('Pricing &amp; promotions'!$A$6:$A$8,L109,'Pricing &amp; promotions'!$B$6:$B$8)/100,0),2),J109)</f>
        <v>7.9</v>
      </c>
      <c r="I109" s="6">
        <f>ROUND((E109*G109-H109)/IF(OR(K109=TRUE,K109="TRUE",K109="YES",K109=1),1+'Settings'!$B$6/100,1),2)</f>
        <v>58.76</v>
      </c>
      <c r="J109" s="8">
        <v>7.9</v>
      </c>
      <c r="K109" s="3" t="inlineStr">
        <is>
          <t xml:space="preserve">TRUE</t>
        </is>
      </c>
      <c r="L109" s="3" t="inlineStr">
        <is>
          <t xml:space="preserve">WELCOME10</t>
        </is>
      </c>
      <c r="M109" s="6">
        <f>ROUND(E109*G109-H109,2)</f>
        <v>71.1</v>
      </c>
      <c r="N109" s="5">
        <f>IF(COUNTIF($A$3:A109,A109)=1,1,0)</f>
        <v>1</v>
      </c>
      <c r="O109" s="6">
        <f>IF(N109=1,ROUND((SUMIFS($M$3:$M$1200,$A$3:$A$1200,A109)+'Settings'!$B$13)*'Settings'!$B$14/100+'Settings'!$B$15,2),0)</f>
        <v>2.29</v>
      </c>
    </row>
    <row r="110">
      <c r="A110" s="3" t="inlineStr">
        <is>
          <t xml:space="preserve">#1076</t>
        </is>
      </c>
      <c r="B110" s="3" t="inlineStr">
        <is>
          <t xml:space="preserve">2025-11-19</t>
        </is>
      </c>
      <c r="C110" s="3" t="inlineStr">
        <is>
          <t xml:space="preserve">SKU-G</t>
        </is>
      </c>
      <c r="D110" s="3" t="inlineStr">
        <is>
          <t xml:space="preserve">Daily Reset Set</t>
        </is>
      </c>
      <c r="E110" s="6">
        <f>IF('Settings'!$B$11="Scenario",IFERROR(INDEX('Catalogue'!$E$3:$E$100,MATCH(C110,'Catalogue'!$B$3:$B$100,0)),F110),F110)</f>
        <v>69</v>
      </c>
      <c r="F110" s="8">
        <v>69</v>
      </c>
      <c r="G110" s="3">
        <v>1</v>
      </c>
      <c r="H110" s="6">
        <f>IF('Settings'!$B$11="Scenario",ROUND(E110*G110*IFERROR(SUMIF('Pricing &amp; promotions'!$A$6:$A$8,L110,'Pricing &amp; promotions'!$B$6:$B$8)/100,0),2),J110)</f>
        <v>6.9</v>
      </c>
      <c r="I110" s="6">
        <f>ROUND((E110*G110-H110)/IF(OR(K110=TRUE,K110="TRUE",K110="YES",K110=1),1+'Settings'!$B$6/100,1),2)</f>
        <v>51.32</v>
      </c>
      <c r="J110" s="8">
        <v>6.9</v>
      </c>
      <c r="K110" s="3" t="inlineStr">
        <is>
          <t xml:space="preserve">TRUE</t>
        </is>
      </c>
      <c r="L110" s="3" t="inlineStr">
        <is>
          <t xml:space="preserve">WELCOME10</t>
        </is>
      </c>
      <c r="M110" s="6">
        <f>ROUND(E110*G110-H110,2)</f>
        <v>62.1</v>
      </c>
      <c r="N110" s="5">
        <f>IF(COUNTIF($A$3:A110,A110)=1,1,0)</f>
        <v>0</v>
      </c>
      <c r="O110" s="6">
        <f>IF(N110=1,ROUND((SUMIFS($M$3:$M$1200,$A$3:$A$1200,A110)+'Settings'!$B$13)*'Settings'!$B$14/100+'Settings'!$B$15,2),0)</f>
        <v>0</v>
      </c>
    </row>
    <row r="111">
      <c r="A111" s="3" t="inlineStr">
        <is>
          <t xml:space="preserve">#1077</t>
        </is>
      </c>
      <c r="B111" s="3" t="inlineStr">
        <is>
          <t xml:space="preserve">2025-11-19</t>
        </is>
      </c>
      <c r="C111" s="3" t="inlineStr">
        <is>
          <t xml:space="preserve">SKU-B</t>
        </is>
      </c>
      <c r="D111" s="3" t="inlineStr">
        <is>
          <t xml:space="preserve">Barrier Balm</t>
        </is>
      </c>
      <c r="E111" s="6">
        <f>IF('Settings'!$B$11="Scenario",IFERROR(INDEX('Catalogue'!$E$3:$E$100,MATCH(C111,'Catalogue'!$B$3:$B$100,0)),F111),F111)</f>
        <v>19</v>
      </c>
      <c r="F111" s="8">
        <v>18</v>
      </c>
      <c r="G111" s="3">
        <v>1</v>
      </c>
      <c r="H111" s="6">
        <f>IF('Settings'!$B$11="Scenario",ROUND(E111*G111*IFERROR(SUMIF('Pricing &amp; promotions'!$A$6:$A$8,L111,'Pricing &amp; promotions'!$B$6:$B$8)/100,0),2),J111)</f>
        <v>0.0</v>
      </c>
      <c r="I111" s="6">
        <f>ROUND((E111*G111-H111)/IF(OR(K111=TRUE,K111="TRUE",K111="YES",K111=1),1+'Settings'!$B$6/100,1),2)</f>
        <v>15.7</v>
      </c>
      <c r="J111" s="8">
        <v>0.0</v>
      </c>
      <c r="K111" s="3" t="inlineStr">
        <is>
          <t xml:space="preserve">TRUE</t>
        </is>
      </c>
      <c r="L111" s="3"/>
      <c r="M111" s="6">
        <f>ROUND(E111*G111-H111,2)</f>
        <v>19.0</v>
      </c>
      <c r="N111" s="5">
        <f>IF(COUNTIF($A$3:A111,A111)=1,1,0)</f>
        <v>1</v>
      </c>
      <c r="O111" s="6">
        <f>IF(N111=1,ROUND((SUMIFS($M$3:$M$1200,$A$3:$A$1200,A111)+'Settings'!$B$13)*'Settings'!$B$14/100+'Settings'!$B$15,2),0)</f>
        <v>0.58</v>
      </c>
    </row>
    <row r="112">
      <c r="A112" s="3" t="inlineStr">
        <is>
          <t xml:space="preserve">#1078</t>
        </is>
      </c>
      <c r="B112" s="3" t="inlineStr">
        <is>
          <t xml:space="preserve">2025-11-19</t>
        </is>
      </c>
      <c r="C112" s="3" t="inlineStr">
        <is>
          <t xml:space="preserve">SKU-D</t>
        </is>
      </c>
      <c r="D112" s="3" t="inlineStr">
        <is>
          <t xml:space="preserve">Daily Duo</t>
        </is>
      </c>
      <c r="E112" s="6">
        <f>IF('Settings'!$B$11="Scenario",IFERROR(INDEX('Catalogue'!$E$3:$E$100,MATCH(C112,'Catalogue'!$B$3:$B$100,0)),F112),F112)</f>
        <v>79</v>
      </c>
      <c r="F112" s="8">
        <v>79</v>
      </c>
      <c r="G112" s="3">
        <v>2</v>
      </c>
      <c r="H112" s="6">
        <f>IF('Settings'!$B$11="Scenario",ROUND(E112*G112*IFERROR(SUMIF('Pricing &amp; promotions'!$A$6:$A$8,L112,'Pricing &amp; promotions'!$B$6:$B$8)/100,0),2),J112)</f>
        <v>0.0</v>
      </c>
      <c r="I112" s="6">
        <f>ROUND((E112*G112-H112)/IF(OR(K112=TRUE,K112="TRUE",K112="YES",K112=1),1+'Settings'!$B$6/100,1),2)</f>
        <v>130.58</v>
      </c>
      <c r="J112" s="8">
        <v>0.0</v>
      </c>
      <c r="K112" s="3" t="inlineStr">
        <is>
          <t xml:space="preserve">TRUE</t>
        </is>
      </c>
      <c r="L112" s="3"/>
      <c r="M112" s="6">
        <f>ROUND(E112*G112-H112,2)</f>
        <v>158.0</v>
      </c>
      <c r="N112" s="5">
        <f>IF(COUNTIF($A$3:A112,A112)=1,1,0)</f>
        <v>1</v>
      </c>
      <c r="O112" s="6">
        <f>IF(N112=1,ROUND((SUMIFS($M$3:$M$1200,$A$3:$A$1200,A112)+'Settings'!$B$13)*'Settings'!$B$14/100+'Settings'!$B$15,2),0)</f>
        <v>4.0</v>
      </c>
    </row>
    <row r="113">
      <c r="A113" s="3" t="inlineStr">
        <is>
          <t xml:space="preserve">#1078</t>
        </is>
      </c>
      <c r="B113" s="3" t="inlineStr">
        <is>
          <t xml:space="preserve">2025-11-19</t>
        </is>
      </c>
      <c r="C113" s="3" t="inlineStr">
        <is>
          <t xml:space="preserve">SKU-E</t>
        </is>
      </c>
      <c r="D113" s="3" t="inlineStr">
        <is>
          <t xml:space="preserve">Complete Ritual</t>
        </is>
      </c>
      <c r="E113" s="6">
        <f>IF('Settings'!$B$11="Scenario",IFERROR(INDEX('Catalogue'!$E$3:$E$100,MATCH(C113,'Catalogue'!$B$3:$B$100,0)),F113),F113)</f>
        <v>89</v>
      </c>
      <c r="F113" s="8">
        <v>89</v>
      </c>
      <c r="G113" s="3">
        <v>1</v>
      </c>
      <c r="H113" s="6">
        <f>IF('Settings'!$B$11="Scenario",ROUND(E113*G113*IFERROR(SUMIF('Pricing &amp; promotions'!$A$6:$A$8,L113,'Pricing &amp; promotions'!$B$6:$B$8)/100,0),2),J113)</f>
        <v>0.0</v>
      </c>
      <c r="I113" s="6">
        <f>ROUND((E113*G113-H113)/IF(OR(K113=TRUE,K113="TRUE",K113="YES",K113=1),1+'Settings'!$B$6/100,1),2)</f>
        <v>73.55</v>
      </c>
      <c r="J113" s="8">
        <v>0.0</v>
      </c>
      <c r="K113" s="3" t="inlineStr">
        <is>
          <t xml:space="preserve">TRUE</t>
        </is>
      </c>
      <c r="L113" s="3"/>
      <c r="M113" s="6">
        <f>ROUND(E113*G113-H113,2)</f>
        <v>89.0</v>
      </c>
      <c r="N113" s="5">
        <f>IF(COUNTIF($A$3:A113,A113)=1,1,0)</f>
        <v>0</v>
      </c>
      <c r="O113" s="6">
        <f>IF(N113=1,ROUND((SUMIFS($M$3:$M$1200,$A$3:$A$1200,A113)+'Settings'!$B$13)*'Settings'!$B$14/100+'Settings'!$B$15,2),0)</f>
        <v>0</v>
      </c>
    </row>
    <row r="114">
      <c r="A114" s="3" t="inlineStr">
        <is>
          <t xml:space="preserve">#1079</t>
        </is>
      </c>
      <c r="B114" s="3" t="inlineStr">
        <is>
          <t xml:space="preserve">2025-11-19</t>
        </is>
      </c>
      <c r="C114" s="3" t="inlineStr">
        <is>
          <t xml:space="preserve">SKU-C</t>
        </is>
      </c>
      <c r="D114" s="3" t="inlineStr">
        <is>
          <t xml:space="preserve">Contour Stone</t>
        </is>
      </c>
      <c r="E114" s="6">
        <f>IF('Settings'!$B$11="Scenario",IFERROR(INDEX('Catalogue'!$E$3:$E$100,MATCH(C114,'Catalogue'!$B$3:$B$100,0)),F114),F114)</f>
        <v>29</v>
      </c>
      <c r="F114" s="8">
        <v>29</v>
      </c>
      <c r="G114" s="3">
        <v>1</v>
      </c>
      <c r="H114" s="6">
        <f>IF('Settings'!$B$11="Scenario",ROUND(E114*G114*IFERROR(SUMIF('Pricing &amp; promotions'!$A$6:$A$8,L114,'Pricing &amp; promotions'!$B$6:$B$8)/100,0),2),J114)</f>
        <v>0.0</v>
      </c>
      <c r="I114" s="6">
        <f>ROUND((E114*G114-H114)/IF(OR(K114=TRUE,K114="TRUE",K114="YES",K114=1),1+'Settings'!$B$6/100,1),2)</f>
        <v>23.97</v>
      </c>
      <c r="J114" s="8">
        <v>0.0</v>
      </c>
      <c r="K114" s="3" t="inlineStr">
        <is>
          <t xml:space="preserve">TRUE</t>
        </is>
      </c>
      <c r="L114" s="3"/>
      <c r="M114" s="6">
        <f>ROUND(E114*G114-H114,2)</f>
        <v>29.0</v>
      </c>
      <c r="N114" s="5">
        <f>IF(COUNTIF($A$3:A114,A114)=1,1,0)</f>
        <v>1</v>
      </c>
      <c r="O114" s="6">
        <f>IF(N114=1,ROUND((SUMIFS($M$3:$M$1200,$A$3:$A$1200,A114)+'Settings'!$B$13)*'Settings'!$B$14/100+'Settings'!$B$15,2),0)</f>
        <v>0.73</v>
      </c>
    </row>
    <row r="115">
      <c r="A115" s="3" t="inlineStr">
        <is>
          <t xml:space="preserve">#1080</t>
        </is>
      </c>
      <c r="B115" s="3" t="inlineStr">
        <is>
          <t xml:space="preserve">2025-11-19</t>
        </is>
      </c>
      <c r="C115" s="3" t="inlineStr">
        <is>
          <t xml:space="preserve">SKU-B</t>
        </is>
      </c>
      <c r="D115" s="3" t="inlineStr">
        <is>
          <t xml:space="preserve">Barrier Balm</t>
        </is>
      </c>
      <c r="E115" s="6">
        <f>IF('Settings'!$B$11="Scenario",IFERROR(INDEX('Catalogue'!$E$3:$E$100,MATCH(C115,'Catalogue'!$B$3:$B$100,0)),F115),F115)</f>
        <v>19</v>
      </c>
      <c r="F115" s="8">
        <v>18</v>
      </c>
      <c r="G115" s="3">
        <v>1</v>
      </c>
      <c r="H115" s="6">
        <f>IF('Settings'!$B$11="Scenario",ROUND(E115*G115*IFERROR(SUMIF('Pricing &amp; promotions'!$A$6:$A$8,L115,'Pricing &amp; promotions'!$B$6:$B$8)/100,0),2),J115)</f>
        <v>0.0</v>
      </c>
      <c r="I115" s="6">
        <f>ROUND((E115*G115-H115)/IF(OR(K115=TRUE,K115="TRUE",K115="YES",K115=1),1+'Settings'!$B$6/100,1),2)</f>
        <v>15.7</v>
      </c>
      <c r="J115" s="8">
        <v>0.0</v>
      </c>
      <c r="K115" s="3" t="inlineStr">
        <is>
          <t xml:space="preserve">TRUE</t>
        </is>
      </c>
      <c r="L115" s="3"/>
      <c r="M115" s="6">
        <f>ROUND(E115*G115-H115,2)</f>
        <v>19.0</v>
      </c>
      <c r="N115" s="5">
        <f>IF(COUNTIF($A$3:A115,A115)=1,1,0)</f>
        <v>1</v>
      </c>
      <c r="O115" s="6">
        <f>IF(N115=1,ROUND((SUMIFS($M$3:$M$1200,$A$3:$A$1200,A115)+'Settings'!$B$13)*'Settings'!$B$14/100+'Settings'!$B$15,2),0)</f>
        <v>1.61</v>
      </c>
    </row>
    <row r="116">
      <c r="A116" s="3" t="inlineStr">
        <is>
          <t xml:space="preserve">#1080</t>
        </is>
      </c>
      <c r="B116" s="3" t="inlineStr">
        <is>
          <t xml:space="preserve">2025-11-19</t>
        </is>
      </c>
      <c r="C116" s="3" t="inlineStr">
        <is>
          <t xml:space="preserve">SKU-G</t>
        </is>
      </c>
      <c r="D116" s="3" t="inlineStr">
        <is>
          <t xml:space="preserve">Daily Reset Set</t>
        </is>
      </c>
      <c r="E116" s="6">
        <f>IF('Settings'!$B$11="Scenario",IFERROR(INDEX('Catalogue'!$E$3:$E$100,MATCH(C116,'Catalogue'!$B$3:$B$100,0)),F116),F116)</f>
        <v>69</v>
      </c>
      <c r="F116" s="8">
        <v>69</v>
      </c>
      <c r="G116" s="3">
        <v>1</v>
      </c>
      <c r="H116" s="6">
        <f>IF('Settings'!$B$11="Scenario",ROUND(E116*G116*IFERROR(SUMIF('Pricing &amp; promotions'!$A$6:$A$8,L116,'Pricing &amp; promotions'!$B$6:$B$8)/100,0),2),J116)</f>
        <v>0.0</v>
      </c>
      <c r="I116" s="6">
        <f>ROUND((E116*G116-H116)/IF(OR(K116=TRUE,K116="TRUE",K116="YES",K116=1),1+'Settings'!$B$6/100,1),2)</f>
        <v>57.02</v>
      </c>
      <c r="J116" s="8">
        <v>0.0</v>
      </c>
      <c r="K116" s="3" t="inlineStr">
        <is>
          <t xml:space="preserve">TRUE</t>
        </is>
      </c>
      <c r="L116" s="3"/>
      <c r="M116" s="6">
        <f>ROUND(E116*G116-H116,2)</f>
        <v>69.0</v>
      </c>
      <c r="N116" s="5">
        <f>IF(COUNTIF($A$3:A116,A116)=1,1,0)</f>
        <v>0</v>
      </c>
      <c r="O116" s="6">
        <f>IF(N116=1,ROUND((SUMIFS($M$3:$M$1200,$A$3:$A$1200,A116)+'Settings'!$B$13)*'Settings'!$B$14/100+'Settings'!$B$15,2),0)</f>
        <v>0</v>
      </c>
    </row>
    <row r="117">
      <c r="A117" s="3" t="inlineStr">
        <is>
          <t xml:space="preserve">#1081</t>
        </is>
      </c>
      <c r="B117" s="3" t="inlineStr">
        <is>
          <t xml:space="preserve">2025-11-19</t>
        </is>
      </c>
      <c r="C117" s="3" t="inlineStr">
        <is>
          <t xml:space="preserve">SKU-D</t>
        </is>
      </c>
      <c r="D117" s="3" t="inlineStr">
        <is>
          <t xml:space="preserve">Daily Duo</t>
        </is>
      </c>
      <c r="E117" s="6">
        <f>IF('Settings'!$B$11="Scenario",IFERROR(INDEX('Catalogue'!$E$3:$E$100,MATCH(C117,'Catalogue'!$B$3:$B$100,0)),F117),F117)</f>
        <v>79</v>
      </c>
      <c r="F117" s="8">
        <v>79</v>
      </c>
      <c r="G117" s="3">
        <v>1</v>
      </c>
      <c r="H117" s="6">
        <f>IF('Settings'!$B$11="Scenario",ROUND(E117*G117*IFERROR(SUMIF('Pricing &amp; promotions'!$A$6:$A$8,L117,'Pricing &amp; promotions'!$B$6:$B$8)/100,0),2),J117)</f>
        <v>11.85</v>
      </c>
      <c r="I117" s="6">
        <f>ROUND((E117*G117-H117)/IF(OR(K117=TRUE,K117="TRUE",K117="YES",K117=1),1+'Settings'!$B$6/100,1),2)</f>
        <v>55.5</v>
      </c>
      <c r="J117" s="8">
        <v>11.85</v>
      </c>
      <c r="K117" s="3" t="inlineStr">
        <is>
          <t xml:space="preserve">TRUE</t>
        </is>
      </c>
      <c r="L117" s="3" t="inlineStr">
        <is>
          <t xml:space="preserve">SUMMER15</t>
        </is>
      </c>
      <c r="M117" s="6">
        <f>ROUND(E117*G117-H117,2)</f>
        <v>67.15</v>
      </c>
      <c r="N117" s="5">
        <f>IF(COUNTIF($A$3:A117,A117)=1,1,0)</f>
        <v>1</v>
      </c>
      <c r="O117" s="6">
        <f>IF(N117=1,ROUND((SUMIFS($M$3:$M$1200,$A$3:$A$1200,A117)+'Settings'!$B$13)*'Settings'!$B$14/100+'Settings'!$B$15,2),0)</f>
        <v>2.19</v>
      </c>
    </row>
    <row r="118">
      <c r="A118" s="3" t="inlineStr">
        <is>
          <t xml:space="preserve">#1081</t>
        </is>
      </c>
      <c r="B118" s="3" t="inlineStr">
        <is>
          <t xml:space="preserve">2025-11-19</t>
        </is>
      </c>
      <c r="C118" s="3" t="inlineStr">
        <is>
          <t xml:space="preserve">SKU-A</t>
        </is>
      </c>
      <c r="D118" s="3" t="inlineStr">
        <is>
          <t xml:space="preserve">Renewal Serum</t>
        </is>
      </c>
      <c r="E118" s="6">
        <f>IF('Settings'!$B$11="Scenario",IFERROR(INDEX('Catalogue'!$E$3:$E$100,MATCH(C118,'Catalogue'!$B$3:$B$100,0)),F118),F118)</f>
        <v>69.9</v>
      </c>
      <c r="F118" s="8">
        <v>64</v>
      </c>
      <c r="G118" s="3">
        <v>1</v>
      </c>
      <c r="H118" s="6">
        <f>IF('Settings'!$B$11="Scenario",ROUND(E118*G118*IFERROR(SUMIF('Pricing &amp; promotions'!$A$6:$A$8,L118,'Pricing &amp; promotions'!$B$6:$B$8)/100,0),2),J118)</f>
        <v>10.49</v>
      </c>
      <c r="I118" s="6">
        <f>ROUND((E118*G118-H118)/IF(OR(K118=TRUE,K118="TRUE",K118="YES",K118=1),1+'Settings'!$B$6/100,1),2)</f>
        <v>49.1</v>
      </c>
      <c r="J118" s="8">
        <v>9.6</v>
      </c>
      <c r="K118" s="3" t="inlineStr">
        <is>
          <t xml:space="preserve">TRUE</t>
        </is>
      </c>
      <c r="L118" s="3" t="inlineStr">
        <is>
          <t xml:space="preserve">SUMMER15</t>
        </is>
      </c>
      <c r="M118" s="6">
        <f>ROUND(E118*G118-H118,2)</f>
        <v>59.41</v>
      </c>
      <c r="N118" s="5">
        <f>IF(COUNTIF($A$3:A118,A118)=1,1,0)</f>
        <v>0</v>
      </c>
      <c r="O118" s="6">
        <f>IF(N118=1,ROUND((SUMIFS($M$3:$M$1200,$A$3:$A$1200,A118)+'Settings'!$B$13)*'Settings'!$B$14/100+'Settings'!$B$15,2),0)</f>
        <v>0</v>
      </c>
    </row>
    <row r="119">
      <c r="A119" s="3" t="inlineStr">
        <is>
          <t xml:space="preserve">#1082</t>
        </is>
      </c>
      <c r="B119" s="3" t="inlineStr">
        <is>
          <t xml:space="preserve">2025-11-19</t>
        </is>
      </c>
      <c r="C119" s="3" t="inlineStr">
        <is>
          <t xml:space="preserve">SKU-D</t>
        </is>
      </c>
      <c r="D119" s="3" t="inlineStr">
        <is>
          <t xml:space="preserve">Daily Duo</t>
        </is>
      </c>
      <c r="E119" s="6">
        <f>IF('Settings'!$B$11="Scenario",IFERROR(INDEX('Catalogue'!$E$3:$E$100,MATCH(C119,'Catalogue'!$B$3:$B$100,0)),F119),F119)</f>
        <v>79</v>
      </c>
      <c r="F119" s="8">
        <v>79</v>
      </c>
      <c r="G119" s="3">
        <v>1</v>
      </c>
      <c r="H119" s="6">
        <f>IF('Settings'!$B$11="Scenario",ROUND(E119*G119*IFERROR(SUMIF('Pricing &amp; promotions'!$A$6:$A$8,L119,'Pricing &amp; promotions'!$B$6:$B$8)/100,0),2),J119)</f>
        <v>0.0</v>
      </c>
      <c r="I119" s="6">
        <f>ROUND((E119*G119-H119)/IF(OR(K119=TRUE,K119="TRUE",K119="YES",K119=1),1+'Settings'!$B$6/100,1),2)</f>
        <v>65.29</v>
      </c>
      <c r="J119" s="8">
        <v>0.0</v>
      </c>
      <c r="K119" s="3" t="inlineStr">
        <is>
          <t xml:space="preserve">TRUE</t>
        </is>
      </c>
      <c r="L119" s="3"/>
      <c r="M119" s="6">
        <f>ROUND(E119*G119-H119,2)</f>
        <v>79.0</v>
      </c>
      <c r="N119" s="5">
        <f>IF(COUNTIF($A$3:A119,A119)=1,1,0)</f>
        <v>1</v>
      </c>
      <c r="O119" s="6">
        <f>IF(N119=1,ROUND((SUMIFS($M$3:$M$1200,$A$3:$A$1200,A119)+'Settings'!$B$13)*'Settings'!$B$14/100+'Settings'!$B$15,2),0)</f>
        <v>2.81</v>
      </c>
    </row>
    <row r="120">
      <c r="A120" s="3" t="inlineStr">
        <is>
          <t xml:space="preserve">#1082</t>
        </is>
      </c>
      <c r="B120" s="3" t="inlineStr">
        <is>
          <t xml:space="preserve">2025-11-19</t>
        </is>
      </c>
      <c r="C120" s="3" t="inlineStr">
        <is>
          <t xml:space="preserve">SKU-E</t>
        </is>
      </c>
      <c r="D120" s="3" t="inlineStr">
        <is>
          <t xml:space="preserve">Complete Ritual</t>
        </is>
      </c>
      <c r="E120" s="6">
        <f>IF('Settings'!$B$11="Scenario",IFERROR(INDEX('Catalogue'!$E$3:$E$100,MATCH(C120,'Catalogue'!$B$3:$B$100,0)),F120),F120)</f>
        <v>89</v>
      </c>
      <c r="F120" s="8">
        <v>89</v>
      </c>
      <c r="G120" s="3">
        <v>1</v>
      </c>
      <c r="H120" s="6">
        <f>IF('Settings'!$B$11="Scenario",ROUND(E120*G120*IFERROR(SUMIF('Pricing &amp; promotions'!$A$6:$A$8,L120,'Pricing &amp; promotions'!$B$6:$B$8)/100,0),2),J120)</f>
        <v>0.0</v>
      </c>
      <c r="I120" s="6">
        <f>ROUND((E120*G120-H120)/IF(OR(K120=TRUE,K120="TRUE",K120="YES",K120=1),1+'Settings'!$B$6/100,1),2)</f>
        <v>73.55</v>
      </c>
      <c r="J120" s="8">
        <v>0.0</v>
      </c>
      <c r="K120" s="3" t="inlineStr">
        <is>
          <t xml:space="preserve">TRUE</t>
        </is>
      </c>
      <c r="L120" s="3"/>
      <c r="M120" s="6">
        <f>ROUND(E120*G120-H120,2)</f>
        <v>89.0</v>
      </c>
      <c r="N120" s="5">
        <f>IF(COUNTIF($A$3:A120,A120)=1,1,0)</f>
        <v>0</v>
      </c>
      <c r="O120" s="6">
        <f>IF(N120=1,ROUND((SUMIFS($M$3:$M$1200,$A$3:$A$1200,A120)+'Settings'!$B$13)*'Settings'!$B$14/100+'Settings'!$B$15,2),0)</f>
        <v>0</v>
      </c>
    </row>
    <row r="121">
      <c r="A121" s="3" t="inlineStr">
        <is>
          <t xml:space="preserve">#1083</t>
        </is>
      </c>
      <c r="B121" s="3" t="inlineStr">
        <is>
          <t xml:space="preserve">2025-11-20</t>
        </is>
      </c>
      <c r="C121" s="3" t="inlineStr">
        <is>
          <t xml:space="preserve">SKU-G</t>
        </is>
      </c>
      <c r="D121" s="3" t="inlineStr">
        <is>
          <t xml:space="preserve">Daily Reset Set</t>
        </is>
      </c>
      <c r="E121" s="6">
        <f>IF('Settings'!$B$11="Scenario",IFERROR(INDEX('Catalogue'!$E$3:$E$100,MATCH(C121,'Catalogue'!$B$3:$B$100,0)),F121),F121)</f>
        <v>69</v>
      </c>
      <c r="F121" s="8">
        <v>69</v>
      </c>
      <c r="G121" s="3">
        <v>1</v>
      </c>
      <c r="H121" s="6">
        <f>IF('Settings'!$B$11="Scenario",ROUND(E121*G121*IFERROR(SUMIF('Pricing &amp; promotions'!$A$6:$A$8,L121,'Pricing &amp; promotions'!$B$6:$B$8)/100,0),2),J121)</f>
        <v>10.35</v>
      </c>
      <c r="I121" s="6">
        <f>ROUND((E121*G121-H121)/IF(OR(K121=TRUE,K121="TRUE",K121="YES",K121=1),1+'Settings'!$B$6/100,1),2)</f>
        <v>48.47</v>
      </c>
      <c r="J121" s="8">
        <v>10.35</v>
      </c>
      <c r="K121" s="3" t="inlineStr">
        <is>
          <t xml:space="preserve">TRUE</t>
        </is>
      </c>
      <c r="L121" s="3" t="inlineStr">
        <is>
          <t xml:space="preserve">SUMMER15</t>
        </is>
      </c>
      <c r="M121" s="6">
        <f>ROUND(E121*G121-H121,2)</f>
        <v>58.65</v>
      </c>
      <c r="N121" s="5">
        <f>IF(COUNTIF($A$3:A121,A121)=1,1,0)</f>
        <v>1</v>
      </c>
      <c r="O121" s="6">
        <f>IF(N121=1,ROUND((SUMIFS($M$3:$M$1200,$A$3:$A$1200,A121)+'Settings'!$B$13)*'Settings'!$B$14/100+'Settings'!$B$15,2),0)</f>
        <v>1.61</v>
      </c>
    </row>
    <row r="122">
      <c r="A122" s="3" t="inlineStr">
        <is>
          <t xml:space="preserve">#1083</t>
        </is>
      </c>
      <c r="B122" s="3" t="inlineStr">
        <is>
          <t xml:space="preserve">2025-11-20</t>
        </is>
      </c>
      <c r="C122" s="3" t="inlineStr">
        <is>
          <t xml:space="preserve">SKU-F</t>
        </is>
      </c>
      <c r="D122" s="3" t="inlineStr">
        <is>
          <t xml:space="preserve">Cloud Cleanser</t>
        </is>
      </c>
      <c r="E122" s="6">
        <f>IF('Settings'!$B$11="Scenario",IFERROR(INDEX('Catalogue'!$E$3:$E$100,MATCH(C122,'Catalogue'!$B$3:$B$100,0)),F122),F122)</f>
        <v>34</v>
      </c>
      <c r="F122" s="8">
        <v>34</v>
      </c>
      <c r="G122" s="3">
        <v>1</v>
      </c>
      <c r="H122" s="6">
        <f>IF('Settings'!$B$11="Scenario",ROUND(E122*G122*IFERROR(SUMIF('Pricing &amp; promotions'!$A$6:$A$8,L122,'Pricing &amp; promotions'!$B$6:$B$8)/100,0),2),J122)</f>
        <v>5.1</v>
      </c>
      <c r="I122" s="6">
        <f>ROUND((E122*G122-H122)/IF(OR(K122=TRUE,K122="TRUE",K122="YES",K122=1),1+'Settings'!$B$6/100,1),2)</f>
        <v>23.88</v>
      </c>
      <c r="J122" s="8">
        <v>5.1</v>
      </c>
      <c r="K122" s="3" t="inlineStr">
        <is>
          <t xml:space="preserve">TRUE</t>
        </is>
      </c>
      <c r="L122" s="3" t="inlineStr">
        <is>
          <t xml:space="preserve">SUMMER15</t>
        </is>
      </c>
      <c r="M122" s="6">
        <f>ROUND(E122*G122-H122,2)</f>
        <v>28.9</v>
      </c>
      <c r="N122" s="5">
        <f>IF(COUNTIF($A$3:A122,A122)=1,1,0)</f>
        <v>0</v>
      </c>
      <c r="O122" s="6">
        <f>IF(N122=1,ROUND((SUMIFS($M$3:$M$1200,$A$3:$A$1200,A122)+'Settings'!$B$13)*'Settings'!$B$14/100+'Settings'!$B$15,2),0)</f>
        <v>0</v>
      </c>
    </row>
    <row r="123">
      <c r="A123" s="3" t="inlineStr">
        <is>
          <t xml:space="preserve">#1084</t>
        </is>
      </c>
      <c r="B123" s="3" t="inlineStr">
        <is>
          <t xml:space="preserve">2025-11-20</t>
        </is>
      </c>
      <c r="C123" s="3" t="inlineStr">
        <is>
          <t xml:space="preserve">SKU-A</t>
        </is>
      </c>
      <c r="D123" s="3" t="inlineStr">
        <is>
          <t xml:space="preserve">Renewal Serum</t>
        </is>
      </c>
      <c r="E123" s="6">
        <f>IF('Settings'!$B$11="Scenario",IFERROR(INDEX('Catalogue'!$E$3:$E$100,MATCH(C123,'Catalogue'!$B$3:$B$100,0)),F123),F123)</f>
        <v>69.9</v>
      </c>
      <c r="F123" s="8">
        <v>64</v>
      </c>
      <c r="G123" s="3">
        <v>1</v>
      </c>
      <c r="H123" s="6">
        <f>IF('Settings'!$B$11="Scenario",ROUND(E123*G123*IFERROR(SUMIF('Pricing &amp; promotions'!$A$6:$A$8,L123,'Pricing &amp; promotions'!$B$6:$B$8)/100,0),2),J123)</f>
        <v>6.99</v>
      </c>
      <c r="I123" s="6">
        <f>ROUND((E123*G123-H123)/IF(OR(K123=TRUE,K123="TRUE",K123="YES",K123=1),1+'Settings'!$B$6/100,1),2)</f>
        <v>51.99</v>
      </c>
      <c r="J123" s="8">
        <v>6.4</v>
      </c>
      <c r="K123" s="3" t="inlineStr">
        <is>
          <t xml:space="preserve">TRUE</t>
        </is>
      </c>
      <c r="L123" s="3" t="inlineStr">
        <is>
          <t xml:space="preserve">WELCOME10</t>
        </is>
      </c>
      <c r="M123" s="6">
        <f>ROUND(E123*G123-H123,2)</f>
        <v>62.91</v>
      </c>
      <c r="N123" s="5">
        <f>IF(COUNTIF($A$3:A123,A123)=1,1,0)</f>
        <v>1</v>
      </c>
      <c r="O123" s="6">
        <f>IF(N123=1,ROUND((SUMIFS($M$3:$M$1200,$A$3:$A$1200,A123)+'Settings'!$B$13)*'Settings'!$B$14/100+'Settings'!$B$15,2),0)</f>
        <v>1.24</v>
      </c>
    </row>
    <row r="124">
      <c r="A124" s="3" t="inlineStr">
        <is>
          <t xml:space="preserve">#1085</t>
        </is>
      </c>
      <c r="B124" s="3" t="inlineStr">
        <is>
          <t xml:space="preserve">2025-11-20</t>
        </is>
      </c>
      <c r="C124" s="3" t="inlineStr">
        <is>
          <t xml:space="preserve">SKU-C</t>
        </is>
      </c>
      <c r="D124" s="3" t="inlineStr">
        <is>
          <t xml:space="preserve">Contour Stone</t>
        </is>
      </c>
      <c r="E124" s="6">
        <f>IF('Settings'!$B$11="Scenario",IFERROR(INDEX('Catalogue'!$E$3:$E$100,MATCH(C124,'Catalogue'!$B$3:$B$100,0)),F124),F124)</f>
        <v>29</v>
      </c>
      <c r="F124" s="8">
        <v>29</v>
      </c>
      <c r="G124" s="3">
        <v>1</v>
      </c>
      <c r="H124" s="6">
        <f>IF('Settings'!$B$11="Scenario",ROUND(E124*G124*IFERROR(SUMIF('Pricing &amp; promotions'!$A$6:$A$8,L124,'Pricing &amp; promotions'!$B$6:$B$8)/100,0),2),J124)</f>
        <v>0.0</v>
      </c>
      <c r="I124" s="6">
        <f>ROUND((E124*G124-H124)/IF(OR(K124=TRUE,K124="TRUE",K124="YES",K124=1),1+'Settings'!$B$6/100,1),2)</f>
        <v>23.97</v>
      </c>
      <c r="J124" s="8">
        <v>0.0</v>
      </c>
      <c r="K124" s="3" t="inlineStr">
        <is>
          <t xml:space="preserve">TRUE</t>
        </is>
      </c>
      <c r="L124" s="3"/>
      <c r="M124" s="6">
        <f>ROUND(E124*G124-H124,2)</f>
        <v>29.0</v>
      </c>
      <c r="N124" s="5">
        <f>IF(COUNTIF($A$3:A124,A124)=1,1,0)</f>
        <v>1</v>
      </c>
      <c r="O124" s="6">
        <f>IF(N124=1,ROUND((SUMIFS($M$3:$M$1200,$A$3:$A$1200,A124)+'Settings'!$B$13)*'Settings'!$B$14/100+'Settings'!$B$15,2),0)</f>
        <v>0.73</v>
      </c>
    </row>
    <row r="125">
      <c r="A125" s="3" t="inlineStr">
        <is>
          <t xml:space="preserve">#1086</t>
        </is>
      </c>
      <c r="B125" s="3" t="inlineStr">
        <is>
          <t xml:space="preserve">2025-11-21</t>
        </is>
      </c>
      <c r="C125" s="3" t="inlineStr">
        <is>
          <t xml:space="preserve">SKU-B</t>
        </is>
      </c>
      <c r="D125" s="3" t="inlineStr">
        <is>
          <t xml:space="preserve">Barrier Balm</t>
        </is>
      </c>
      <c r="E125" s="6">
        <f>IF('Settings'!$B$11="Scenario",IFERROR(INDEX('Catalogue'!$E$3:$E$100,MATCH(C125,'Catalogue'!$B$3:$B$100,0)),F125),F125)</f>
        <v>19</v>
      </c>
      <c r="F125" s="8">
        <v>18</v>
      </c>
      <c r="G125" s="3">
        <v>1</v>
      </c>
      <c r="H125" s="6">
        <f>IF('Settings'!$B$11="Scenario",ROUND(E125*G125*IFERROR(SUMIF('Pricing &amp; promotions'!$A$6:$A$8,L125,'Pricing &amp; promotions'!$B$6:$B$8)/100,0),2),J125)</f>
        <v>0.0</v>
      </c>
      <c r="I125" s="6">
        <f>ROUND((E125*G125-H125)/IF(OR(K125=TRUE,K125="TRUE",K125="YES",K125=1),1+'Settings'!$B$6/100,1),2)</f>
        <v>15.7</v>
      </c>
      <c r="J125" s="8">
        <v>0.0</v>
      </c>
      <c r="K125" s="3" t="inlineStr">
        <is>
          <t xml:space="preserve">TRUE</t>
        </is>
      </c>
      <c r="L125" s="3"/>
      <c r="M125" s="6">
        <f>ROUND(E125*G125-H125,2)</f>
        <v>19.0</v>
      </c>
      <c r="N125" s="5">
        <f>IF(COUNTIF($A$3:A125,A125)=1,1,0)</f>
        <v>1</v>
      </c>
      <c r="O125" s="6">
        <f>IF(N125=1,ROUND((SUMIFS($M$3:$M$1200,$A$3:$A$1200,A125)+'Settings'!$B$13)*'Settings'!$B$14/100+'Settings'!$B$15,2),0)</f>
        <v>1.63</v>
      </c>
    </row>
    <row r="126">
      <c r="A126" s="3" t="inlineStr">
        <is>
          <t xml:space="preserve">#1086</t>
        </is>
      </c>
      <c r="B126" s="3" t="inlineStr">
        <is>
          <t xml:space="preserve">2025-11-21</t>
        </is>
      </c>
      <c r="C126" s="3" t="inlineStr">
        <is>
          <t xml:space="preserve">SKU-A</t>
        </is>
      </c>
      <c r="D126" s="3" t="inlineStr">
        <is>
          <t xml:space="preserve">Renewal Serum</t>
        </is>
      </c>
      <c r="E126" s="6">
        <f>IF('Settings'!$B$11="Scenario",IFERROR(INDEX('Catalogue'!$E$3:$E$100,MATCH(C126,'Catalogue'!$B$3:$B$100,0)),F126),F126)</f>
        <v>69.9</v>
      </c>
      <c r="F126" s="8">
        <v>64</v>
      </c>
      <c r="G126" s="3">
        <v>1</v>
      </c>
      <c r="H126" s="6">
        <f>IF('Settings'!$B$11="Scenario",ROUND(E126*G126*IFERROR(SUMIF('Pricing &amp; promotions'!$A$6:$A$8,L126,'Pricing &amp; promotions'!$B$6:$B$8)/100,0),2),J126)</f>
        <v>0.0</v>
      </c>
      <c r="I126" s="6">
        <f>ROUND((E126*G126-H126)/IF(OR(K126=TRUE,K126="TRUE",K126="YES",K126=1),1+'Settings'!$B$6/100,1),2)</f>
        <v>57.77</v>
      </c>
      <c r="J126" s="8">
        <v>0.0</v>
      </c>
      <c r="K126" s="3" t="inlineStr">
        <is>
          <t xml:space="preserve">TRUE</t>
        </is>
      </c>
      <c r="L126" s="3"/>
      <c r="M126" s="6">
        <f>ROUND(E126*G126-H126,2)</f>
        <v>69.9</v>
      </c>
      <c r="N126" s="5">
        <f>IF(COUNTIF($A$3:A126,A126)=1,1,0)</f>
        <v>0</v>
      </c>
      <c r="O126" s="6">
        <f>IF(N126=1,ROUND((SUMIFS($M$3:$M$1200,$A$3:$A$1200,A126)+'Settings'!$B$13)*'Settings'!$B$14/100+'Settings'!$B$15,2),0)</f>
        <v>0</v>
      </c>
    </row>
    <row r="127">
      <c r="A127" s="3" t="inlineStr">
        <is>
          <t xml:space="preserve">#1087</t>
        </is>
      </c>
      <c r="B127" s="3" t="inlineStr">
        <is>
          <t xml:space="preserve">2025-11-21</t>
        </is>
      </c>
      <c r="C127" s="3" t="inlineStr">
        <is>
          <t xml:space="preserve">SKU-D</t>
        </is>
      </c>
      <c r="D127" s="3" t="inlineStr">
        <is>
          <t xml:space="preserve">Daily Duo</t>
        </is>
      </c>
      <c r="E127" s="6">
        <f>IF('Settings'!$B$11="Scenario",IFERROR(INDEX('Catalogue'!$E$3:$E$100,MATCH(C127,'Catalogue'!$B$3:$B$100,0)),F127),F127)</f>
        <v>79</v>
      </c>
      <c r="F127" s="8">
        <v>79</v>
      </c>
      <c r="G127" s="3">
        <v>1</v>
      </c>
      <c r="H127" s="6">
        <f>IF('Settings'!$B$11="Scenario",ROUND(E127*G127*IFERROR(SUMIF('Pricing &amp; promotions'!$A$6:$A$8,L127,'Pricing &amp; promotions'!$B$6:$B$8)/100,0),2),J127)</f>
        <v>0.0</v>
      </c>
      <c r="I127" s="6">
        <f>ROUND((E127*G127-H127)/IF(OR(K127=TRUE,K127="TRUE",K127="YES",K127=1),1+'Settings'!$B$6/100,1),2)</f>
        <v>65.29</v>
      </c>
      <c r="J127" s="8">
        <v>0.0</v>
      </c>
      <c r="K127" s="3" t="inlineStr">
        <is>
          <t xml:space="preserve">TRUE</t>
        </is>
      </c>
      <c r="L127" s="3"/>
      <c r="M127" s="6">
        <f>ROUND(E127*G127-H127,2)</f>
        <v>79.0</v>
      </c>
      <c r="N127" s="5">
        <f>IF(COUNTIF($A$3:A127,A127)=1,1,0)</f>
        <v>1</v>
      </c>
      <c r="O127" s="6">
        <f>IF(N127=1,ROUND((SUMIFS($M$3:$M$1200,$A$3:$A$1200,A127)+'Settings'!$B$13)*'Settings'!$B$14/100+'Settings'!$B$15,2),0)</f>
        <v>2.53</v>
      </c>
    </row>
    <row r="128">
      <c r="A128" s="3" t="inlineStr">
        <is>
          <t xml:space="preserve">#1087</t>
        </is>
      </c>
      <c r="B128" s="3" t="inlineStr">
        <is>
          <t xml:space="preserve">2025-11-21</t>
        </is>
      </c>
      <c r="C128" s="3" t="inlineStr">
        <is>
          <t xml:space="preserve">SKU-A</t>
        </is>
      </c>
      <c r="D128" s="3" t="inlineStr">
        <is>
          <t xml:space="preserve">Renewal Serum</t>
        </is>
      </c>
      <c r="E128" s="6">
        <f>IF('Settings'!$B$11="Scenario",IFERROR(INDEX('Catalogue'!$E$3:$E$100,MATCH(C128,'Catalogue'!$B$3:$B$100,0)),F128),F128)</f>
        <v>69.9</v>
      </c>
      <c r="F128" s="8">
        <v>64</v>
      </c>
      <c r="G128" s="3">
        <v>1</v>
      </c>
      <c r="H128" s="6">
        <f>IF('Settings'!$B$11="Scenario",ROUND(E128*G128*IFERROR(SUMIF('Pricing &amp; promotions'!$A$6:$A$8,L128,'Pricing &amp; promotions'!$B$6:$B$8)/100,0),2),J128)</f>
        <v>0.0</v>
      </c>
      <c r="I128" s="6">
        <f>ROUND((E128*G128-H128)/IF(OR(K128=TRUE,K128="TRUE",K128="YES",K128=1),1+'Settings'!$B$6/100,1),2)</f>
        <v>57.77</v>
      </c>
      <c r="J128" s="8">
        <v>0.0</v>
      </c>
      <c r="K128" s="3" t="inlineStr">
        <is>
          <t xml:space="preserve">TRUE</t>
        </is>
      </c>
      <c r="L128" s="3"/>
      <c r="M128" s="6">
        <f>ROUND(E128*G128-H128,2)</f>
        <v>69.9</v>
      </c>
      <c r="N128" s="5">
        <f>IF(COUNTIF($A$3:A128,A128)=1,1,0)</f>
        <v>0</v>
      </c>
      <c r="O128" s="6">
        <f>IF(N128=1,ROUND((SUMIFS($M$3:$M$1200,$A$3:$A$1200,A128)+'Settings'!$B$13)*'Settings'!$B$14/100+'Settings'!$B$15,2),0)</f>
        <v>0</v>
      </c>
    </row>
    <row r="129">
      <c r="A129" s="3" t="inlineStr">
        <is>
          <t xml:space="preserve">#1088</t>
        </is>
      </c>
      <c r="B129" s="3" t="inlineStr">
        <is>
          <t xml:space="preserve">2025-11-21</t>
        </is>
      </c>
      <c r="C129" s="3" t="inlineStr">
        <is>
          <t xml:space="preserve">SKU-E</t>
        </is>
      </c>
      <c r="D129" s="3" t="inlineStr">
        <is>
          <t xml:space="preserve">Complete Ritual</t>
        </is>
      </c>
      <c r="E129" s="6">
        <f>IF('Settings'!$B$11="Scenario",IFERROR(INDEX('Catalogue'!$E$3:$E$100,MATCH(C129,'Catalogue'!$B$3:$B$100,0)),F129),F129)</f>
        <v>89</v>
      </c>
      <c r="F129" s="8">
        <v>89</v>
      </c>
      <c r="G129" s="3">
        <v>1</v>
      </c>
      <c r="H129" s="6">
        <f>IF('Settings'!$B$11="Scenario",ROUND(E129*G129*IFERROR(SUMIF('Pricing &amp; promotions'!$A$6:$A$8,L129,'Pricing &amp; promotions'!$B$6:$B$8)/100,0),2),J129)</f>
        <v>13.35</v>
      </c>
      <c r="I129" s="6">
        <f>ROUND((E129*G129-H129)/IF(OR(K129=TRUE,K129="TRUE",K129="YES",K129=1),1+'Settings'!$B$6/100,1),2)</f>
        <v>62.52</v>
      </c>
      <c r="J129" s="8">
        <v>13.35</v>
      </c>
      <c r="K129" s="3" t="inlineStr">
        <is>
          <t xml:space="preserve">TRUE</t>
        </is>
      </c>
      <c r="L129" s="3" t="inlineStr">
        <is>
          <t xml:space="preserve">SUMMER15</t>
        </is>
      </c>
      <c r="M129" s="6">
        <f>ROUND(E129*G129-H129,2)</f>
        <v>75.65</v>
      </c>
      <c r="N129" s="5">
        <f>IF(COUNTIF($A$3:A129,A129)=1,1,0)</f>
        <v>1</v>
      </c>
      <c r="O129" s="6">
        <f>IF(N129=1,ROUND((SUMIFS($M$3:$M$1200,$A$3:$A$1200,A129)+'Settings'!$B$13)*'Settings'!$B$14/100+'Settings'!$B$15,2),0)</f>
        <v>2.44</v>
      </c>
    </row>
    <row r="130">
      <c r="A130" s="3" t="inlineStr">
        <is>
          <t xml:space="preserve">#1088</t>
        </is>
      </c>
      <c r="B130" s="3" t="inlineStr">
        <is>
          <t xml:space="preserve">2025-11-21</t>
        </is>
      </c>
      <c r="C130" s="3" t="inlineStr">
        <is>
          <t xml:space="preserve">SKU-D</t>
        </is>
      </c>
      <c r="D130" s="3" t="inlineStr">
        <is>
          <t xml:space="preserve">Daily Duo</t>
        </is>
      </c>
      <c r="E130" s="6">
        <f>IF('Settings'!$B$11="Scenario",IFERROR(INDEX('Catalogue'!$E$3:$E$100,MATCH(C130,'Catalogue'!$B$3:$B$100,0)),F130),F130)</f>
        <v>79</v>
      </c>
      <c r="F130" s="8">
        <v>79</v>
      </c>
      <c r="G130" s="3">
        <v>1</v>
      </c>
      <c r="H130" s="6">
        <f>IF('Settings'!$B$11="Scenario",ROUND(E130*G130*IFERROR(SUMIF('Pricing &amp; promotions'!$A$6:$A$8,L130,'Pricing &amp; promotions'!$B$6:$B$8)/100,0),2),J130)</f>
        <v>11.85</v>
      </c>
      <c r="I130" s="6">
        <f>ROUND((E130*G130-H130)/IF(OR(K130=TRUE,K130="TRUE",K130="YES",K130=1),1+'Settings'!$B$6/100,1),2)</f>
        <v>55.5</v>
      </c>
      <c r="J130" s="8">
        <v>11.85</v>
      </c>
      <c r="K130" s="3" t="inlineStr">
        <is>
          <t xml:space="preserve">TRUE</t>
        </is>
      </c>
      <c r="L130" s="3" t="inlineStr">
        <is>
          <t xml:space="preserve">SUMMER15</t>
        </is>
      </c>
      <c r="M130" s="6">
        <f>ROUND(E130*G130-H130,2)</f>
        <v>67.15</v>
      </c>
      <c r="N130" s="5">
        <f>IF(COUNTIF($A$3:A130,A130)=1,1,0)</f>
        <v>0</v>
      </c>
      <c r="O130" s="6">
        <f>IF(N130=1,ROUND((SUMIFS($M$3:$M$1200,$A$3:$A$1200,A130)+'Settings'!$B$13)*'Settings'!$B$14/100+'Settings'!$B$15,2),0)</f>
        <v>0</v>
      </c>
    </row>
    <row r="131">
      <c r="A131" s="3" t="inlineStr">
        <is>
          <t xml:space="preserve">#1089</t>
        </is>
      </c>
      <c r="B131" s="3" t="inlineStr">
        <is>
          <t xml:space="preserve">2025-11-21</t>
        </is>
      </c>
      <c r="C131" s="3" t="inlineStr">
        <is>
          <t xml:space="preserve">SKU-A</t>
        </is>
      </c>
      <c r="D131" s="3" t="inlineStr">
        <is>
          <t xml:space="preserve">Renewal Serum</t>
        </is>
      </c>
      <c r="E131" s="6">
        <f>IF('Settings'!$B$11="Scenario",IFERROR(INDEX('Catalogue'!$E$3:$E$100,MATCH(C131,'Catalogue'!$B$3:$B$100,0)),F131),F131)</f>
        <v>69.9</v>
      </c>
      <c r="F131" s="8">
        <v>64</v>
      </c>
      <c r="G131" s="3">
        <v>1</v>
      </c>
      <c r="H131" s="6">
        <f>IF('Settings'!$B$11="Scenario",ROUND(E131*G131*IFERROR(SUMIF('Pricing &amp; promotions'!$A$6:$A$8,L131,'Pricing &amp; promotions'!$B$6:$B$8)/100,0),2),J131)</f>
        <v>13.98</v>
      </c>
      <c r="I131" s="6">
        <f>ROUND((E131*G131-H131)/IF(OR(K131=TRUE,K131="TRUE",K131="YES",K131=1),1+'Settings'!$B$6/100,1),2)</f>
        <v>46.21</v>
      </c>
      <c r="J131" s="8">
        <v>12.8</v>
      </c>
      <c r="K131" s="3" t="inlineStr">
        <is>
          <t xml:space="preserve">TRUE</t>
        </is>
      </c>
      <c r="L131" s="3" t="inlineStr">
        <is>
          <t xml:space="preserve">VIP20</t>
        </is>
      </c>
      <c r="M131" s="6">
        <f>ROUND(E131*G131-H131,2)</f>
        <v>55.92</v>
      </c>
      <c r="N131" s="5">
        <f>IF(COUNTIF($A$3:A131,A131)=1,1,0)</f>
        <v>1</v>
      </c>
      <c r="O131" s="6">
        <f>IF(N131=1,ROUND((SUMIFS($M$3:$M$1200,$A$3:$A$1200,A131)+'Settings'!$B$13)*'Settings'!$B$14/100+'Settings'!$B$15,2),0)</f>
        <v>1.96</v>
      </c>
    </row>
    <row r="132">
      <c r="A132" s="3" t="inlineStr">
        <is>
          <t xml:space="preserve">#1089</t>
        </is>
      </c>
      <c r="B132" s="3" t="inlineStr">
        <is>
          <t xml:space="preserve">2025-11-21</t>
        </is>
      </c>
      <c r="C132" s="3" t="inlineStr">
        <is>
          <t xml:space="preserve">SKU-G</t>
        </is>
      </c>
      <c r="D132" s="3" t="inlineStr">
        <is>
          <t xml:space="preserve">Daily Reset Set</t>
        </is>
      </c>
      <c r="E132" s="6">
        <f>IF('Settings'!$B$11="Scenario",IFERROR(INDEX('Catalogue'!$E$3:$E$100,MATCH(C132,'Catalogue'!$B$3:$B$100,0)),F132),F132)</f>
        <v>69</v>
      </c>
      <c r="F132" s="8">
        <v>69</v>
      </c>
      <c r="G132" s="3">
        <v>1</v>
      </c>
      <c r="H132" s="6">
        <f>IF('Settings'!$B$11="Scenario",ROUND(E132*G132*IFERROR(SUMIF('Pricing &amp; promotions'!$A$6:$A$8,L132,'Pricing &amp; promotions'!$B$6:$B$8)/100,0),2),J132)</f>
        <v>13.8</v>
      </c>
      <c r="I132" s="6">
        <f>ROUND((E132*G132-H132)/IF(OR(K132=TRUE,K132="TRUE",K132="YES",K132=1),1+'Settings'!$B$6/100,1),2)</f>
        <v>45.62</v>
      </c>
      <c r="J132" s="8">
        <v>13.8</v>
      </c>
      <c r="K132" s="3" t="inlineStr">
        <is>
          <t xml:space="preserve">TRUE</t>
        </is>
      </c>
      <c r="L132" s="3" t="inlineStr">
        <is>
          <t xml:space="preserve">VIP20</t>
        </is>
      </c>
      <c r="M132" s="6">
        <f>ROUND(E132*G132-H132,2)</f>
        <v>55.2</v>
      </c>
      <c r="N132" s="5">
        <f>IF(COUNTIF($A$3:A132,A132)=1,1,0)</f>
        <v>0</v>
      </c>
      <c r="O132" s="6">
        <f>IF(N132=1,ROUND((SUMIFS($M$3:$M$1200,$A$3:$A$1200,A132)+'Settings'!$B$13)*'Settings'!$B$14/100+'Settings'!$B$15,2),0)</f>
        <v>0</v>
      </c>
    </row>
    <row r="133">
      <c r="A133" s="3" t="inlineStr">
        <is>
          <t xml:space="preserve">#1090</t>
        </is>
      </c>
      <c r="B133" s="3" t="inlineStr">
        <is>
          <t xml:space="preserve">2025-11-21</t>
        </is>
      </c>
      <c r="C133" s="3" t="inlineStr">
        <is>
          <t xml:space="preserve">SKU-A</t>
        </is>
      </c>
      <c r="D133" s="3" t="inlineStr">
        <is>
          <t xml:space="preserve">Renewal Serum</t>
        </is>
      </c>
      <c r="E133" s="6">
        <f>IF('Settings'!$B$11="Scenario",IFERROR(INDEX('Catalogue'!$E$3:$E$100,MATCH(C133,'Catalogue'!$B$3:$B$100,0)),F133),F133)</f>
        <v>69.9</v>
      </c>
      <c r="F133" s="8">
        <v>64</v>
      </c>
      <c r="G133" s="3">
        <v>2</v>
      </c>
      <c r="H133" s="6">
        <f>IF('Settings'!$B$11="Scenario",ROUND(E133*G133*IFERROR(SUMIF('Pricing &amp; promotions'!$A$6:$A$8,L133,'Pricing &amp; promotions'!$B$6:$B$8)/100,0),2),J133)</f>
        <v>0.0</v>
      </c>
      <c r="I133" s="6">
        <f>ROUND((E133*G133-H133)/IF(OR(K133=TRUE,K133="TRUE",K133="YES",K133=1),1+'Settings'!$B$6/100,1),2)</f>
        <v>115.54</v>
      </c>
      <c r="J133" s="8">
        <v>0.0</v>
      </c>
      <c r="K133" s="3" t="inlineStr">
        <is>
          <t xml:space="preserve">TRUE</t>
        </is>
      </c>
      <c r="L133" s="3"/>
      <c r="M133" s="6">
        <f>ROUND(E133*G133-H133,2)</f>
        <v>139.8</v>
      </c>
      <c r="N133" s="5">
        <f>IF(COUNTIF($A$3:A133,A133)=1,1,0)</f>
        <v>1</v>
      </c>
      <c r="O133" s="6">
        <f>IF(N133=1,ROUND((SUMIFS($M$3:$M$1200,$A$3:$A$1200,A133)+'Settings'!$B$13)*'Settings'!$B$14/100+'Settings'!$B$15,2),0)</f>
        <v>4.01</v>
      </c>
    </row>
    <row r="134">
      <c r="A134" s="3" t="inlineStr">
        <is>
          <t xml:space="preserve">#1090</t>
        </is>
      </c>
      <c r="B134" s="3" t="inlineStr">
        <is>
          <t xml:space="preserve">2025-11-21</t>
        </is>
      </c>
      <c r="C134" s="3" t="inlineStr">
        <is>
          <t xml:space="preserve">SKU-C</t>
        </is>
      </c>
      <c r="D134" s="3" t="inlineStr">
        <is>
          <t xml:space="preserve">Contour Stone</t>
        </is>
      </c>
      <c r="E134" s="6">
        <f>IF('Settings'!$B$11="Scenario",IFERROR(INDEX('Catalogue'!$E$3:$E$100,MATCH(C134,'Catalogue'!$B$3:$B$100,0)),F134),F134)</f>
        <v>29</v>
      </c>
      <c r="F134" s="8">
        <v>29</v>
      </c>
      <c r="G134" s="3">
        <v>1</v>
      </c>
      <c r="H134" s="6">
        <f>IF('Settings'!$B$11="Scenario",ROUND(E134*G134*IFERROR(SUMIF('Pricing &amp; promotions'!$A$6:$A$8,L134,'Pricing &amp; promotions'!$B$6:$B$8)/100,0),2),J134)</f>
        <v>0.0</v>
      </c>
      <c r="I134" s="6">
        <f>ROUND((E134*G134-H134)/IF(OR(K134=TRUE,K134="TRUE",K134="YES",K134=1),1+'Settings'!$B$6/100,1),2)</f>
        <v>23.97</v>
      </c>
      <c r="J134" s="8">
        <v>0.0</v>
      </c>
      <c r="K134" s="3" t="inlineStr">
        <is>
          <t xml:space="preserve">TRUE</t>
        </is>
      </c>
      <c r="L134" s="3"/>
      <c r="M134" s="6">
        <f>ROUND(E134*G134-H134,2)</f>
        <v>29.0</v>
      </c>
      <c r="N134" s="5">
        <f>IF(COUNTIF($A$3:A134,A134)=1,1,0)</f>
        <v>0</v>
      </c>
      <c r="O134" s="6">
        <f>IF(N134=1,ROUND((SUMIFS($M$3:$M$1200,$A$3:$A$1200,A134)+'Settings'!$B$13)*'Settings'!$B$14/100+'Settings'!$B$15,2),0)</f>
        <v>0</v>
      </c>
    </row>
    <row r="135">
      <c r="A135" s="3" t="inlineStr">
        <is>
          <t xml:space="preserve">#1090</t>
        </is>
      </c>
      <c r="B135" s="3" t="inlineStr">
        <is>
          <t xml:space="preserve">2025-11-21</t>
        </is>
      </c>
      <c r="C135" s="3" t="inlineStr">
        <is>
          <t xml:space="preserve">SKU-D</t>
        </is>
      </c>
      <c r="D135" s="3" t="inlineStr">
        <is>
          <t xml:space="preserve">Daily Duo</t>
        </is>
      </c>
      <c r="E135" s="6">
        <f>IF('Settings'!$B$11="Scenario",IFERROR(INDEX('Catalogue'!$E$3:$E$100,MATCH(C135,'Catalogue'!$B$3:$B$100,0)),F135),F135)</f>
        <v>79</v>
      </c>
      <c r="F135" s="8">
        <v>79</v>
      </c>
      <c r="G135" s="3">
        <v>1</v>
      </c>
      <c r="H135" s="6">
        <f>IF('Settings'!$B$11="Scenario",ROUND(E135*G135*IFERROR(SUMIF('Pricing &amp; promotions'!$A$6:$A$8,L135,'Pricing &amp; promotions'!$B$6:$B$8)/100,0),2),J135)</f>
        <v>0.0</v>
      </c>
      <c r="I135" s="6">
        <f>ROUND((E135*G135-H135)/IF(OR(K135=TRUE,K135="TRUE",K135="YES",K135=1),1+'Settings'!$B$6/100,1),2)</f>
        <v>65.29</v>
      </c>
      <c r="J135" s="8">
        <v>0.0</v>
      </c>
      <c r="K135" s="3" t="inlineStr">
        <is>
          <t xml:space="preserve">TRUE</t>
        </is>
      </c>
      <c r="L135" s="3"/>
      <c r="M135" s="6">
        <f>ROUND(E135*G135-H135,2)</f>
        <v>79.0</v>
      </c>
      <c r="N135" s="5">
        <f>IF(COUNTIF($A$3:A135,A135)=1,1,0)</f>
        <v>0</v>
      </c>
      <c r="O135" s="6">
        <f>IF(N135=1,ROUND((SUMIFS($M$3:$M$1200,$A$3:$A$1200,A135)+'Settings'!$B$13)*'Settings'!$B$14/100+'Settings'!$B$15,2),0)</f>
        <v>0</v>
      </c>
    </row>
    <row r="136">
      <c r="A136" s="3" t="inlineStr">
        <is>
          <t xml:space="preserve">#1091</t>
        </is>
      </c>
      <c r="B136" s="3" t="inlineStr">
        <is>
          <t xml:space="preserve">2025-11-22</t>
        </is>
      </c>
      <c r="C136" s="3" t="inlineStr">
        <is>
          <t xml:space="preserve">SKU-D</t>
        </is>
      </c>
      <c r="D136" s="3" t="inlineStr">
        <is>
          <t xml:space="preserve">Daily Duo</t>
        </is>
      </c>
      <c r="E136" s="6">
        <f>IF('Settings'!$B$11="Scenario",IFERROR(INDEX('Catalogue'!$E$3:$E$100,MATCH(C136,'Catalogue'!$B$3:$B$100,0)),F136),F136)</f>
        <v>79</v>
      </c>
      <c r="F136" s="8">
        <v>79</v>
      </c>
      <c r="G136" s="3">
        <v>1</v>
      </c>
      <c r="H136" s="6">
        <f>IF('Settings'!$B$11="Scenario",ROUND(E136*G136*IFERROR(SUMIF('Pricing &amp; promotions'!$A$6:$A$8,L136,'Pricing &amp; promotions'!$B$6:$B$8)/100,0),2),J136)</f>
        <v>0.0</v>
      </c>
      <c r="I136" s="6">
        <f>ROUND((E136*G136-H136)/IF(OR(K136=TRUE,K136="TRUE",K136="YES",K136=1),1+'Settings'!$B$6/100,1),2)</f>
        <v>65.29</v>
      </c>
      <c r="J136" s="8">
        <v>0.0</v>
      </c>
      <c r="K136" s="3" t="inlineStr">
        <is>
          <t xml:space="preserve">TRUE</t>
        </is>
      </c>
      <c r="L136" s="3"/>
      <c r="M136" s="6">
        <f>ROUND(E136*G136-H136,2)</f>
        <v>79.0</v>
      </c>
      <c r="N136" s="5">
        <f>IF(COUNTIF($A$3:A136,A136)=1,1,0)</f>
        <v>1</v>
      </c>
      <c r="O136" s="6">
        <f>IF(N136=1,ROUND((SUMIFS($M$3:$M$1200,$A$3:$A$1200,A136)+'Settings'!$B$13)*'Settings'!$B$14/100+'Settings'!$B$15,2),0)</f>
        <v>1.99</v>
      </c>
    </row>
    <row r="137">
      <c r="A137" s="3" t="inlineStr">
        <is>
          <t xml:space="preserve">#1091</t>
        </is>
      </c>
      <c r="B137" s="3" t="inlineStr">
        <is>
          <t xml:space="preserve">2025-11-22</t>
        </is>
      </c>
      <c r="C137" s="3" t="inlineStr">
        <is>
          <t xml:space="preserve">SKU-F</t>
        </is>
      </c>
      <c r="D137" s="3" t="inlineStr">
        <is>
          <t xml:space="preserve">Cloud Cleanser</t>
        </is>
      </c>
      <c r="E137" s="6">
        <f>IF('Settings'!$B$11="Scenario",IFERROR(INDEX('Catalogue'!$E$3:$E$100,MATCH(C137,'Catalogue'!$B$3:$B$100,0)),F137),F137)</f>
        <v>34</v>
      </c>
      <c r="F137" s="8">
        <v>34</v>
      </c>
      <c r="G137" s="3">
        <v>1</v>
      </c>
      <c r="H137" s="6">
        <f>IF('Settings'!$B$11="Scenario",ROUND(E137*G137*IFERROR(SUMIF('Pricing &amp; promotions'!$A$6:$A$8,L137,'Pricing &amp; promotions'!$B$6:$B$8)/100,0),2),J137)</f>
        <v>0.0</v>
      </c>
      <c r="I137" s="6">
        <f>ROUND((E137*G137-H137)/IF(OR(K137=TRUE,K137="TRUE",K137="YES",K137=1),1+'Settings'!$B$6/100,1),2)</f>
        <v>28.1</v>
      </c>
      <c r="J137" s="8">
        <v>0.0</v>
      </c>
      <c r="K137" s="3" t="inlineStr">
        <is>
          <t xml:space="preserve">TRUE</t>
        </is>
      </c>
      <c r="L137" s="3"/>
      <c r="M137" s="6">
        <f>ROUND(E137*G137-H137,2)</f>
        <v>34.0</v>
      </c>
      <c r="N137" s="5">
        <f>IF(COUNTIF($A$3:A137,A137)=1,1,0)</f>
        <v>0</v>
      </c>
      <c r="O137" s="6">
        <f>IF(N137=1,ROUND((SUMIFS($M$3:$M$1200,$A$3:$A$1200,A137)+'Settings'!$B$13)*'Settings'!$B$14/100+'Settings'!$B$15,2),0)</f>
        <v>0</v>
      </c>
    </row>
    <row r="138">
      <c r="A138" s="3" t="inlineStr">
        <is>
          <t xml:space="preserve">#1092</t>
        </is>
      </c>
      <c r="B138" s="3" t="inlineStr">
        <is>
          <t xml:space="preserve">2025-11-22</t>
        </is>
      </c>
      <c r="C138" s="3" t="inlineStr">
        <is>
          <t xml:space="preserve">SKU-D</t>
        </is>
      </c>
      <c r="D138" s="3" t="inlineStr">
        <is>
          <t xml:space="preserve">Daily Duo</t>
        </is>
      </c>
      <c r="E138" s="6">
        <f>IF('Settings'!$B$11="Scenario",IFERROR(INDEX('Catalogue'!$E$3:$E$100,MATCH(C138,'Catalogue'!$B$3:$B$100,0)),F138),F138)</f>
        <v>79</v>
      </c>
      <c r="F138" s="8">
        <v>79</v>
      </c>
      <c r="G138" s="3">
        <v>1</v>
      </c>
      <c r="H138" s="6">
        <f>IF('Settings'!$B$11="Scenario",ROUND(E138*G138*IFERROR(SUMIF('Pricing &amp; promotions'!$A$6:$A$8,L138,'Pricing &amp; promotions'!$B$6:$B$8)/100,0),2),J138)</f>
        <v>7.9</v>
      </c>
      <c r="I138" s="6">
        <f>ROUND((E138*G138-H138)/IF(OR(K138=TRUE,K138="TRUE",K138="YES",K138=1),1+'Settings'!$B$6/100,1),2)</f>
        <v>58.76</v>
      </c>
      <c r="J138" s="8">
        <v>7.9</v>
      </c>
      <c r="K138" s="3" t="inlineStr">
        <is>
          <t xml:space="preserve">TRUE</t>
        </is>
      </c>
      <c r="L138" s="3" t="inlineStr">
        <is>
          <t xml:space="preserve">WELCOME10</t>
        </is>
      </c>
      <c r="M138" s="6">
        <f>ROUND(E138*G138-H138,2)</f>
        <v>71.1</v>
      </c>
      <c r="N138" s="5">
        <f>IF(COUNTIF($A$3:A138,A138)=1,1,0)</f>
        <v>1</v>
      </c>
      <c r="O138" s="6">
        <f>IF(N138=1,ROUND((SUMIFS($M$3:$M$1200,$A$3:$A$1200,A138)+'Settings'!$B$13)*'Settings'!$B$14/100+'Settings'!$B$15,2),0)</f>
        <v>1.36</v>
      </c>
    </row>
    <row r="139">
      <c r="A139" s="3" t="inlineStr">
        <is>
          <t xml:space="preserve">#1093</t>
        </is>
      </c>
      <c r="B139" s="3" t="inlineStr">
        <is>
          <t xml:space="preserve">2025-11-22</t>
        </is>
      </c>
      <c r="C139" s="3" t="inlineStr">
        <is>
          <t xml:space="preserve">SKU-D</t>
        </is>
      </c>
      <c r="D139" s="3" t="inlineStr">
        <is>
          <t xml:space="preserve">Daily Duo</t>
        </is>
      </c>
      <c r="E139" s="6">
        <f>IF('Settings'!$B$11="Scenario",IFERROR(INDEX('Catalogue'!$E$3:$E$100,MATCH(C139,'Catalogue'!$B$3:$B$100,0)),F139),F139)</f>
        <v>79</v>
      </c>
      <c r="F139" s="8">
        <v>79</v>
      </c>
      <c r="G139" s="3">
        <v>1</v>
      </c>
      <c r="H139" s="6">
        <f>IF('Settings'!$B$11="Scenario",ROUND(E139*G139*IFERROR(SUMIF('Pricing &amp; promotions'!$A$6:$A$8,L139,'Pricing &amp; promotions'!$B$6:$B$8)/100,0),2),J139)</f>
        <v>0.0</v>
      </c>
      <c r="I139" s="6">
        <f>ROUND((E139*G139-H139)/IF(OR(K139=TRUE,K139="TRUE",K139="YES",K139=1),1+'Settings'!$B$6/100,1),2)</f>
        <v>65.29</v>
      </c>
      <c r="J139" s="8">
        <v>0.0</v>
      </c>
      <c r="K139" s="3" t="inlineStr">
        <is>
          <t xml:space="preserve">TRUE</t>
        </is>
      </c>
      <c r="L139" s="3"/>
      <c r="M139" s="6">
        <f>ROUND(E139*G139-H139,2)</f>
        <v>79.0</v>
      </c>
      <c r="N139" s="5">
        <f>IF(COUNTIF($A$3:A139,A139)=1,1,0)</f>
        <v>1</v>
      </c>
      <c r="O139" s="6">
        <f>IF(N139=1,ROUND((SUMIFS($M$3:$M$1200,$A$3:$A$1200,A139)+'Settings'!$B$13)*'Settings'!$B$14/100+'Settings'!$B$15,2),0)</f>
        <v>1.48</v>
      </c>
    </row>
    <row r="140">
      <c r="A140" s="3" t="inlineStr">
        <is>
          <t xml:space="preserve">#1094</t>
        </is>
      </c>
      <c r="B140" s="3" t="inlineStr">
        <is>
          <t xml:space="preserve">2025-11-23</t>
        </is>
      </c>
      <c r="C140" s="3" t="inlineStr">
        <is>
          <t xml:space="preserve">SKU-G</t>
        </is>
      </c>
      <c r="D140" s="3" t="inlineStr">
        <is>
          <t xml:space="preserve">Daily Reset Set</t>
        </is>
      </c>
      <c r="E140" s="6">
        <f>IF('Settings'!$B$11="Scenario",IFERROR(INDEX('Catalogue'!$E$3:$E$100,MATCH(C140,'Catalogue'!$B$3:$B$100,0)),F140),F140)</f>
        <v>69</v>
      </c>
      <c r="F140" s="8">
        <v>69</v>
      </c>
      <c r="G140" s="3">
        <v>2</v>
      </c>
      <c r="H140" s="6">
        <f>IF('Settings'!$B$11="Scenario",ROUND(E140*G140*IFERROR(SUMIF('Pricing &amp; promotions'!$A$6:$A$8,L140,'Pricing &amp; promotions'!$B$6:$B$8)/100,0),2),J140)</f>
        <v>0.0</v>
      </c>
      <c r="I140" s="6">
        <f>ROUND((E140*G140-H140)/IF(OR(K140=TRUE,K140="TRUE",K140="YES",K140=1),1+'Settings'!$B$6/100,1),2)</f>
        <v>114.05</v>
      </c>
      <c r="J140" s="8">
        <v>0.0</v>
      </c>
      <c r="K140" s="3" t="inlineStr">
        <is>
          <t xml:space="preserve">TRUE</t>
        </is>
      </c>
      <c r="L140" s="3"/>
      <c r="M140" s="6">
        <f>ROUND(E140*G140-H140,2)</f>
        <v>138.0</v>
      </c>
      <c r="N140" s="5">
        <f>IF(COUNTIF($A$3:A140,A140)=1,1,0)</f>
        <v>1</v>
      </c>
      <c r="O140" s="6">
        <f>IF(N140=1,ROUND((SUMIFS($M$3:$M$1200,$A$3:$A$1200,A140)+'Settings'!$B$13)*'Settings'!$B$14/100+'Settings'!$B$15,2),0)</f>
        <v>2.36</v>
      </c>
    </row>
    <row r="141">
      <c r="A141" s="3" t="inlineStr">
        <is>
          <t xml:space="preserve">#1095</t>
        </is>
      </c>
      <c r="B141" s="3" t="inlineStr">
        <is>
          <t xml:space="preserve">2025-11-23</t>
        </is>
      </c>
      <c r="C141" s="3" t="inlineStr">
        <is>
          <t xml:space="preserve">SKU-A</t>
        </is>
      </c>
      <c r="D141" s="3" t="inlineStr">
        <is>
          <t xml:space="preserve">Renewal Serum</t>
        </is>
      </c>
      <c r="E141" s="6">
        <f>IF('Settings'!$B$11="Scenario",IFERROR(INDEX('Catalogue'!$E$3:$E$100,MATCH(C141,'Catalogue'!$B$3:$B$100,0)),F141),F141)</f>
        <v>69.9</v>
      </c>
      <c r="F141" s="8">
        <v>64</v>
      </c>
      <c r="G141" s="3">
        <v>1</v>
      </c>
      <c r="H141" s="6">
        <f>IF('Settings'!$B$11="Scenario",ROUND(E141*G141*IFERROR(SUMIF('Pricing &amp; promotions'!$A$6:$A$8,L141,'Pricing &amp; promotions'!$B$6:$B$8)/100,0),2),J141)</f>
        <v>0.0</v>
      </c>
      <c r="I141" s="6">
        <f>ROUND((E141*G141-H141)/IF(OR(K141=TRUE,K141="TRUE",K141="YES",K141=1),1+'Settings'!$B$6/100,1),2)</f>
        <v>57.77</v>
      </c>
      <c r="J141" s="8">
        <v>0.0</v>
      </c>
      <c r="K141" s="3" t="inlineStr">
        <is>
          <t xml:space="preserve">TRUE</t>
        </is>
      </c>
      <c r="L141" s="3"/>
      <c r="M141" s="6">
        <f>ROUND(E141*G141-H141,2)</f>
        <v>69.9</v>
      </c>
      <c r="N141" s="5">
        <f>IF(COUNTIF($A$3:A141,A141)=1,1,0)</f>
        <v>1</v>
      </c>
      <c r="O141" s="6">
        <f>IF(N141=1,ROUND((SUMIFS($M$3:$M$1200,$A$3:$A$1200,A141)+'Settings'!$B$13)*'Settings'!$B$14/100+'Settings'!$B$15,2),0)</f>
        <v>1.63</v>
      </c>
    </row>
    <row r="142">
      <c r="A142" s="3" t="inlineStr">
        <is>
          <t xml:space="preserve">#1095</t>
        </is>
      </c>
      <c r="B142" s="3" t="inlineStr">
        <is>
          <t xml:space="preserve">2025-11-23</t>
        </is>
      </c>
      <c r="C142" s="3" t="inlineStr">
        <is>
          <t xml:space="preserve">SKU-B</t>
        </is>
      </c>
      <c r="D142" s="3" t="inlineStr">
        <is>
          <t xml:space="preserve">Barrier Balm</t>
        </is>
      </c>
      <c r="E142" s="6">
        <f>IF('Settings'!$B$11="Scenario",IFERROR(INDEX('Catalogue'!$E$3:$E$100,MATCH(C142,'Catalogue'!$B$3:$B$100,0)),F142),F142)</f>
        <v>19</v>
      </c>
      <c r="F142" s="8">
        <v>18</v>
      </c>
      <c r="G142" s="3">
        <v>1</v>
      </c>
      <c r="H142" s="6">
        <f>IF('Settings'!$B$11="Scenario",ROUND(E142*G142*IFERROR(SUMIF('Pricing &amp; promotions'!$A$6:$A$8,L142,'Pricing &amp; promotions'!$B$6:$B$8)/100,0),2),J142)</f>
        <v>0.0</v>
      </c>
      <c r="I142" s="6">
        <f>ROUND((E142*G142-H142)/IF(OR(K142=TRUE,K142="TRUE",K142="YES",K142=1),1+'Settings'!$B$6/100,1),2)</f>
        <v>15.7</v>
      </c>
      <c r="J142" s="8">
        <v>0.0</v>
      </c>
      <c r="K142" s="3" t="inlineStr">
        <is>
          <t xml:space="preserve">TRUE</t>
        </is>
      </c>
      <c r="L142" s="3"/>
      <c r="M142" s="6">
        <f>ROUND(E142*G142-H142,2)</f>
        <v>19.0</v>
      </c>
      <c r="N142" s="5">
        <f>IF(COUNTIF($A$3:A142,A142)=1,1,0)</f>
        <v>0</v>
      </c>
      <c r="O142" s="6">
        <f>IF(N142=1,ROUND((SUMIFS($M$3:$M$1200,$A$3:$A$1200,A142)+'Settings'!$B$13)*'Settings'!$B$14/100+'Settings'!$B$15,2),0)</f>
        <v>0</v>
      </c>
    </row>
    <row r="143">
      <c r="A143" s="3" t="inlineStr">
        <is>
          <t xml:space="preserve">#1096</t>
        </is>
      </c>
      <c r="B143" s="3" t="inlineStr">
        <is>
          <t xml:space="preserve">2025-11-23</t>
        </is>
      </c>
      <c r="C143" s="3" t="inlineStr">
        <is>
          <t xml:space="preserve">SKU-G</t>
        </is>
      </c>
      <c r="D143" s="3" t="inlineStr">
        <is>
          <t xml:space="preserve">Daily Reset Set</t>
        </is>
      </c>
      <c r="E143" s="6">
        <f>IF('Settings'!$B$11="Scenario",IFERROR(INDEX('Catalogue'!$E$3:$E$100,MATCH(C143,'Catalogue'!$B$3:$B$100,0)),F143),F143)</f>
        <v>69</v>
      </c>
      <c r="F143" s="8">
        <v>69</v>
      </c>
      <c r="G143" s="3">
        <v>1</v>
      </c>
      <c r="H143" s="6">
        <f>IF('Settings'!$B$11="Scenario",ROUND(E143*G143*IFERROR(SUMIF('Pricing &amp; promotions'!$A$6:$A$8,L143,'Pricing &amp; promotions'!$B$6:$B$8)/100,0),2),J143)</f>
        <v>0.0</v>
      </c>
      <c r="I143" s="6">
        <f>ROUND((E143*G143-H143)/IF(OR(K143=TRUE,K143="TRUE",K143="YES",K143=1),1+'Settings'!$B$6/100,1),2)</f>
        <v>57.02</v>
      </c>
      <c r="J143" s="8">
        <v>0.0</v>
      </c>
      <c r="K143" s="3" t="inlineStr">
        <is>
          <t xml:space="preserve">TRUE</t>
        </is>
      </c>
      <c r="L143" s="3"/>
      <c r="M143" s="6">
        <f>ROUND(E143*G143-H143,2)</f>
        <v>69.0</v>
      </c>
      <c r="N143" s="5">
        <f>IF(COUNTIF($A$3:A143,A143)=1,1,0)</f>
        <v>1</v>
      </c>
      <c r="O143" s="6">
        <f>IF(N143=1,ROUND((SUMIFS($M$3:$M$1200,$A$3:$A$1200,A143)+'Settings'!$B$13)*'Settings'!$B$14/100+'Settings'!$B$15,2),0)</f>
        <v>1.33</v>
      </c>
    </row>
    <row r="144">
      <c r="A144" s="3" t="inlineStr">
        <is>
          <t xml:space="preserve">#1097</t>
        </is>
      </c>
      <c r="B144" s="3" t="inlineStr">
        <is>
          <t xml:space="preserve">2025-11-24</t>
        </is>
      </c>
      <c r="C144" s="3" t="inlineStr">
        <is>
          <t xml:space="preserve">SKU-G</t>
        </is>
      </c>
      <c r="D144" s="3" t="inlineStr">
        <is>
          <t xml:space="preserve">Daily Reset Set</t>
        </is>
      </c>
      <c r="E144" s="6">
        <f>IF('Settings'!$B$11="Scenario",IFERROR(INDEX('Catalogue'!$E$3:$E$100,MATCH(C144,'Catalogue'!$B$3:$B$100,0)),F144),F144)</f>
        <v>69</v>
      </c>
      <c r="F144" s="8">
        <v>69</v>
      </c>
      <c r="G144" s="3">
        <v>2</v>
      </c>
      <c r="H144" s="6">
        <f>IF('Settings'!$B$11="Scenario",ROUND(E144*G144*IFERROR(SUMIF('Pricing &amp; promotions'!$A$6:$A$8,L144,'Pricing &amp; promotions'!$B$6:$B$8)/100,0),2),J144)</f>
        <v>13.8</v>
      </c>
      <c r="I144" s="6">
        <f>ROUND((E144*G144-H144)/IF(OR(K144=TRUE,K144="TRUE",K144="YES",K144=1),1+'Settings'!$B$6/100,1),2)</f>
        <v>102.64</v>
      </c>
      <c r="J144" s="8">
        <v>13.8</v>
      </c>
      <c r="K144" s="3" t="inlineStr">
        <is>
          <t xml:space="preserve">TRUE</t>
        </is>
      </c>
      <c r="L144" s="3" t="inlineStr">
        <is>
          <t xml:space="preserve">WELCOME10</t>
        </is>
      </c>
      <c r="M144" s="6">
        <f>ROUND(E144*G144-H144,2)</f>
        <v>124.2</v>
      </c>
      <c r="N144" s="5">
        <f>IF(COUNTIF($A$3:A144,A144)=1,1,0)</f>
        <v>1</v>
      </c>
      <c r="O144" s="6">
        <f>IF(N144=1,ROUND((SUMIFS($M$3:$M$1200,$A$3:$A$1200,A144)+'Settings'!$B$13)*'Settings'!$B$14/100+'Settings'!$B$15,2),0)</f>
        <v>2.16</v>
      </c>
    </row>
    <row r="145">
      <c r="A145" s="3" t="inlineStr">
        <is>
          <t xml:space="preserve">#1098</t>
        </is>
      </c>
      <c r="B145" s="3" t="inlineStr">
        <is>
          <t xml:space="preserve">2025-11-24</t>
        </is>
      </c>
      <c r="C145" s="3" t="inlineStr">
        <is>
          <t xml:space="preserve">SKU-A</t>
        </is>
      </c>
      <c r="D145" s="3" t="inlineStr">
        <is>
          <t xml:space="preserve">Renewal Serum</t>
        </is>
      </c>
      <c r="E145" s="6">
        <f>IF('Settings'!$B$11="Scenario",IFERROR(INDEX('Catalogue'!$E$3:$E$100,MATCH(C145,'Catalogue'!$B$3:$B$100,0)),F145),F145)</f>
        <v>69.9</v>
      </c>
      <c r="F145" s="8">
        <v>64</v>
      </c>
      <c r="G145" s="3">
        <v>1</v>
      </c>
      <c r="H145" s="6">
        <f>IF('Settings'!$B$11="Scenario",ROUND(E145*G145*IFERROR(SUMIF('Pricing &amp; promotions'!$A$6:$A$8,L145,'Pricing &amp; promotions'!$B$6:$B$8)/100,0),2),J145)</f>
        <v>6.99</v>
      </c>
      <c r="I145" s="6">
        <f>ROUND((E145*G145-H145)/IF(OR(K145=TRUE,K145="TRUE",K145="YES",K145=1),1+'Settings'!$B$6/100,1),2)</f>
        <v>51.99</v>
      </c>
      <c r="J145" s="8">
        <v>6.4</v>
      </c>
      <c r="K145" s="3" t="inlineStr">
        <is>
          <t xml:space="preserve">TRUE</t>
        </is>
      </c>
      <c r="L145" s="3" t="inlineStr">
        <is>
          <t xml:space="preserve">WELCOME10</t>
        </is>
      </c>
      <c r="M145" s="6">
        <f>ROUND(E145*G145-H145,2)</f>
        <v>62.91</v>
      </c>
      <c r="N145" s="5">
        <f>IF(COUNTIF($A$3:A145,A145)=1,1,0)</f>
        <v>1</v>
      </c>
      <c r="O145" s="6">
        <f>IF(N145=1,ROUND((SUMIFS($M$3:$M$1200,$A$3:$A$1200,A145)+'Settings'!$B$13)*'Settings'!$B$14/100+'Settings'!$B$15,2),0)</f>
        <v>3.51</v>
      </c>
    </row>
    <row r="146">
      <c r="A146" s="3" t="inlineStr">
        <is>
          <t xml:space="preserve">#1098</t>
        </is>
      </c>
      <c r="B146" s="3" t="inlineStr">
        <is>
          <t xml:space="preserve">2025-11-24</t>
        </is>
      </c>
      <c r="C146" s="3" t="inlineStr">
        <is>
          <t xml:space="preserve">SKU-D</t>
        </is>
      </c>
      <c r="D146" s="3" t="inlineStr">
        <is>
          <t xml:space="preserve">Daily Duo</t>
        </is>
      </c>
      <c r="E146" s="6">
        <f>IF('Settings'!$B$11="Scenario",IFERROR(INDEX('Catalogue'!$E$3:$E$100,MATCH(C146,'Catalogue'!$B$3:$B$100,0)),F146),F146)</f>
        <v>79</v>
      </c>
      <c r="F146" s="8">
        <v>79</v>
      </c>
      <c r="G146" s="3">
        <v>1</v>
      </c>
      <c r="H146" s="6">
        <f>IF('Settings'!$B$11="Scenario",ROUND(E146*G146*IFERROR(SUMIF('Pricing &amp; promotions'!$A$6:$A$8,L146,'Pricing &amp; promotions'!$B$6:$B$8)/100,0),2),J146)</f>
        <v>7.9</v>
      </c>
      <c r="I146" s="6">
        <f>ROUND((E146*G146-H146)/IF(OR(K146=TRUE,K146="TRUE",K146="YES",K146=1),1+'Settings'!$B$6/100,1),2)</f>
        <v>58.76</v>
      </c>
      <c r="J146" s="8">
        <v>7.9</v>
      </c>
      <c r="K146" s="3" t="inlineStr">
        <is>
          <t xml:space="preserve">TRUE</t>
        </is>
      </c>
      <c r="L146" s="3" t="inlineStr">
        <is>
          <t xml:space="preserve">WELCOME10</t>
        </is>
      </c>
      <c r="M146" s="6">
        <f>ROUND(E146*G146-H146,2)</f>
        <v>71.1</v>
      </c>
      <c r="N146" s="5">
        <f>IF(COUNTIF($A$3:A146,A146)=1,1,0)</f>
        <v>0</v>
      </c>
      <c r="O146" s="6">
        <f>IF(N146=1,ROUND((SUMIFS($M$3:$M$1200,$A$3:$A$1200,A146)+'Settings'!$B$13)*'Settings'!$B$14/100+'Settings'!$B$15,2),0)</f>
        <v>0</v>
      </c>
    </row>
    <row r="147">
      <c r="A147" s="3" t="inlineStr">
        <is>
          <t xml:space="preserve">#1098</t>
        </is>
      </c>
      <c r="B147" s="3" t="inlineStr">
        <is>
          <t xml:space="preserve">2025-11-24</t>
        </is>
      </c>
      <c r="C147" s="3" t="inlineStr">
        <is>
          <t xml:space="preserve">SKU-E</t>
        </is>
      </c>
      <c r="D147" s="3" t="inlineStr">
        <is>
          <t xml:space="preserve">Complete Ritual</t>
        </is>
      </c>
      <c r="E147" s="6">
        <f>IF('Settings'!$B$11="Scenario",IFERROR(INDEX('Catalogue'!$E$3:$E$100,MATCH(C147,'Catalogue'!$B$3:$B$100,0)),F147),F147)</f>
        <v>89</v>
      </c>
      <c r="F147" s="8">
        <v>89</v>
      </c>
      <c r="G147" s="3">
        <v>1</v>
      </c>
      <c r="H147" s="6">
        <f>IF('Settings'!$B$11="Scenario",ROUND(E147*G147*IFERROR(SUMIF('Pricing &amp; promotions'!$A$6:$A$8,L147,'Pricing &amp; promotions'!$B$6:$B$8)/100,0),2),J147)</f>
        <v>8.9</v>
      </c>
      <c r="I147" s="6">
        <f>ROUND((E147*G147-H147)/IF(OR(K147=TRUE,K147="TRUE",K147="YES",K147=1),1+'Settings'!$B$6/100,1),2)</f>
        <v>66.2</v>
      </c>
      <c r="J147" s="8">
        <v>8.9</v>
      </c>
      <c r="K147" s="3" t="inlineStr">
        <is>
          <t xml:space="preserve">TRUE</t>
        </is>
      </c>
      <c r="L147" s="3" t="inlineStr">
        <is>
          <t xml:space="preserve">WELCOME10</t>
        </is>
      </c>
      <c r="M147" s="6">
        <f>ROUND(E147*G147-H147,2)</f>
        <v>80.1</v>
      </c>
      <c r="N147" s="5">
        <f>IF(COUNTIF($A$3:A147,A147)=1,1,0)</f>
        <v>0</v>
      </c>
      <c r="O147" s="6">
        <f>IF(N147=1,ROUND((SUMIFS($M$3:$M$1200,$A$3:$A$1200,A147)+'Settings'!$B$13)*'Settings'!$B$14/100+'Settings'!$B$15,2),0)</f>
        <v>0</v>
      </c>
    </row>
    <row r="148">
      <c r="A148" s="3" t="inlineStr">
        <is>
          <t xml:space="preserve">#1099</t>
        </is>
      </c>
      <c r="B148" s="3" t="inlineStr">
        <is>
          <t xml:space="preserve">2025-11-24</t>
        </is>
      </c>
      <c r="C148" s="3" t="inlineStr">
        <is>
          <t xml:space="preserve">SKU-E</t>
        </is>
      </c>
      <c r="D148" s="3" t="inlineStr">
        <is>
          <t xml:space="preserve">Complete Ritual</t>
        </is>
      </c>
      <c r="E148" s="6">
        <f>IF('Settings'!$B$11="Scenario",IFERROR(INDEX('Catalogue'!$E$3:$E$100,MATCH(C148,'Catalogue'!$B$3:$B$100,0)),F148),F148)</f>
        <v>89</v>
      </c>
      <c r="F148" s="8">
        <v>89</v>
      </c>
      <c r="G148" s="3">
        <v>1</v>
      </c>
      <c r="H148" s="6">
        <f>IF('Settings'!$B$11="Scenario",ROUND(E148*G148*IFERROR(SUMIF('Pricing &amp; promotions'!$A$6:$A$8,L148,'Pricing &amp; promotions'!$B$6:$B$8)/100,0),2),J148)</f>
        <v>8.9</v>
      </c>
      <c r="I148" s="6">
        <f>ROUND((E148*G148-H148)/IF(OR(K148=TRUE,K148="TRUE",K148="YES",K148=1),1+'Settings'!$B$6/100,1),2)</f>
        <v>66.2</v>
      </c>
      <c r="J148" s="8">
        <v>8.9</v>
      </c>
      <c r="K148" s="3" t="inlineStr">
        <is>
          <t xml:space="preserve">TRUE</t>
        </is>
      </c>
      <c r="L148" s="3" t="inlineStr">
        <is>
          <t xml:space="preserve">WELCOME10</t>
        </is>
      </c>
      <c r="M148" s="6">
        <f>ROUND(E148*G148-H148,2)</f>
        <v>80.1</v>
      </c>
      <c r="N148" s="5">
        <f>IF(COUNTIF($A$3:A148,A148)=1,1,0)</f>
        <v>1</v>
      </c>
      <c r="O148" s="6">
        <f>IF(N148=1,ROUND((SUMIFS($M$3:$M$1200,$A$3:$A$1200,A148)+'Settings'!$B$13)*'Settings'!$B$14/100+'Settings'!$B$15,2),0)</f>
        <v>1.5</v>
      </c>
    </row>
    <row r="149">
      <c r="A149" s="3" t="inlineStr">
        <is>
          <t xml:space="preserve">#1100</t>
        </is>
      </c>
      <c r="B149" s="3" t="inlineStr">
        <is>
          <t xml:space="preserve">2025-11-24</t>
        </is>
      </c>
      <c r="C149" s="3" t="inlineStr">
        <is>
          <t xml:space="preserve">SKU-G</t>
        </is>
      </c>
      <c r="D149" s="3" t="inlineStr">
        <is>
          <t xml:space="preserve">Daily Reset Set</t>
        </is>
      </c>
      <c r="E149" s="6">
        <f>IF('Settings'!$B$11="Scenario",IFERROR(INDEX('Catalogue'!$E$3:$E$100,MATCH(C149,'Catalogue'!$B$3:$B$100,0)),F149),F149)</f>
        <v>69</v>
      </c>
      <c r="F149" s="8">
        <v>69</v>
      </c>
      <c r="G149" s="3">
        <v>1</v>
      </c>
      <c r="H149" s="6">
        <f>IF('Settings'!$B$11="Scenario",ROUND(E149*G149*IFERROR(SUMIF('Pricing &amp; promotions'!$A$6:$A$8,L149,'Pricing &amp; promotions'!$B$6:$B$8)/100,0),2),J149)</f>
        <v>0.0</v>
      </c>
      <c r="I149" s="6">
        <f>ROUND((E149*G149-H149)/IF(OR(K149=TRUE,K149="TRUE",K149="YES",K149=1),1+'Settings'!$B$6/100,1),2)</f>
        <v>57.02</v>
      </c>
      <c r="J149" s="8">
        <v>0.0</v>
      </c>
      <c r="K149" s="3" t="inlineStr">
        <is>
          <t xml:space="preserve">TRUE</t>
        </is>
      </c>
      <c r="L149" s="3"/>
      <c r="M149" s="6">
        <f>ROUND(E149*G149-H149,2)</f>
        <v>69.0</v>
      </c>
      <c r="N149" s="5">
        <f>IF(COUNTIF($A$3:A149,A149)=1,1,0)</f>
        <v>1</v>
      </c>
      <c r="O149" s="6">
        <f>IF(N149=1,ROUND((SUMIFS($M$3:$M$1200,$A$3:$A$1200,A149)+'Settings'!$B$13)*'Settings'!$B$14/100+'Settings'!$B$15,2),0)</f>
        <v>1.33</v>
      </c>
    </row>
    <row r="150">
      <c r="A150" s="3" t="inlineStr">
        <is>
          <t xml:space="preserve">#1101</t>
        </is>
      </c>
      <c r="B150" s="3" t="inlineStr">
        <is>
          <t xml:space="preserve">2025-11-24</t>
        </is>
      </c>
      <c r="C150" s="3" t="inlineStr">
        <is>
          <t xml:space="preserve">SKU-B</t>
        </is>
      </c>
      <c r="D150" s="3" t="inlineStr">
        <is>
          <t xml:space="preserve">Barrier Balm</t>
        </is>
      </c>
      <c r="E150" s="6">
        <f>IF('Settings'!$B$11="Scenario",IFERROR(INDEX('Catalogue'!$E$3:$E$100,MATCH(C150,'Catalogue'!$B$3:$B$100,0)),F150),F150)</f>
        <v>19</v>
      </c>
      <c r="F150" s="8">
        <v>18</v>
      </c>
      <c r="G150" s="3">
        <v>1</v>
      </c>
      <c r="H150" s="6">
        <f>IF('Settings'!$B$11="Scenario",ROUND(E150*G150*IFERROR(SUMIF('Pricing &amp; promotions'!$A$6:$A$8,L150,'Pricing &amp; promotions'!$B$6:$B$8)/100,0),2),J150)</f>
        <v>0.0</v>
      </c>
      <c r="I150" s="6">
        <f>ROUND((E150*G150-H150)/IF(OR(K150=TRUE,K150="TRUE",K150="YES",K150=1),1+'Settings'!$B$6/100,1),2)</f>
        <v>15.7</v>
      </c>
      <c r="J150" s="8">
        <v>0.0</v>
      </c>
      <c r="K150" s="3" t="inlineStr">
        <is>
          <t xml:space="preserve">TRUE</t>
        </is>
      </c>
      <c r="L150" s="3"/>
      <c r="M150" s="6">
        <f>ROUND(E150*G150-H150,2)</f>
        <v>19.0</v>
      </c>
      <c r="N150" s="5">
        <f>IF(COUNTIF($A$3:A150,A150)=1,1,0)</f>
        <v>1</v>
      </c>
      <c r="O150" s="6">
        <f>IF(N150=1,ROUND((SUMIFS($M$3:$M$1200,$A$3:$A$1200,A150)+'Settings'!$B$13)*'Settings'!$B$14/100+'Settings'!$B$15,2),0)</f>
        <v>0.58</v>
      </c>
    </row>
    <row r="151">
      <c r="A151" s="3" t="inlineStr">
        <is>
          <t xml:space="preserve">#1102</t>
        </is>
      </c>
      <c r="B151" s="3" t="inlineStr">
        <is>
          <t xml:space="preserve">2025-11-25</t>
        </is>
      </c>
      <c r="C151" s="3" t="inlineStr">
        <is>
          <t xml:space="preserve">SKU-B</t>
        </is>
      </c>
      <c r="D151" s="3" t="inlineStr">
        <is>
          <t xml:space="preserve">Barrier Balm</t>
        </is>
      </c>
      <c r="E151" s="6">
        <f>IF('Settings'!$B$11="Scenario",IFERROR(INDEX('Catalogue'!$E$3:$E$100,MATCH(C151,'Catalogue'!$B$3:$B$100,0)),F151),F151)</f>
        <v>19</v>
      </c>
      <c r="F151" s="8">
        <v>18</v>
      </c>
      <c r="G151" s="3">
        <v>2</v>
      </c>
      <c r="H151" s="6">
        <f>IF('Settings'!$B$11="Scenario",ROUND(E151*G151*IFERROR(SUMIF('Pricing &amp; promotions'!$A$6:$A$8,L151,'Pricing &amp; promotions'!$B$6:$B$8)/100,0),2),J151)</f>
        <v>5.7</v>
      </c>
      <c r="I151" s="6">
        <f>ROUND((E151*G151-H151)/IF(OR(K151=TRUE,K151="TRUE",K151="YES",K151=1),1+'Settings'!$B$6/100,1),2)</f>
        <v>26.69</v>
      </c>
      <c r="J151" s="8">
        <v>5.4</v>
      </c>
      <c r="K151" s="3" t="inlineStr">
        <is>
          <t xml:space="preserve">TRUE</t>
        </is>
      </c>
      <c r="L151" s="3" t="inlineStr">
        <is>
          <t xml:space="preserve">SUMMER15</t>
        </is>
      </c>
      <c r="M151" s="6">
        <f>ROUND(E151*G151-H151,2)</f>
        <v>32.3</v>
      </c>
      <c r="N151" s="5">
        <f>IF(COUNTIF($A$3:A151,A151)=1,1,0)</f>
        <v>1</v>
      </c>
      <c r="O151" s="6">
        <f>IF(N151=1,ROUND((SUMIFS($M$3:$M$1200,$A$3:$A$1200,A151)+'Settings'!$B$13)*'Settings'!$B$14/100+'Settings'!$B$15,2),0)</f>
        <v>0.78</v>
      </c>
    </row>
    <row r="152">
      <c r="A152" s="3" t="inlineStr">
        <is>
          <t xml:space="preserve">#1103</t>
        </is>
      </c>
      <c r="B152" s="3" t="inlineStr">
        <is>
          <t xml:space="preserve">2025-11-25</t>
        </is>
      </c>
      <c r="C152" s="3" t="inlineStr">
        <is>
          <t xml:space="preserve">SKU-E</t>
        </is>
      </c>
      <c r="D152" s="3" t="inlineStr">
        <is>
          <t xml:space="preserve">Complete Ritual</t>
        </is>
      </c>
      <c r="E152" s="6">
        <f>IF('Settings'!$B$11="Scenario",IFERROR(INDEX('Catalogue'!$E$3:$E$100,MATCH(C152,'Catalogue'!$B$3:$B$100,0)),F152),F152)</f>
        <v>89</v>
      </c>
      <c r="F152" s="8">
        <v>89</v>
      </c>
      <c r="G152" s="3">
        <v>2</v>
      </c>
      <c r="H152" s="6">
        <f>IF('Settings'!$B$11="Scenario",ROUND(E152*G152*IFERROR(SUMIF('Pricing &amp; promotions'!$A$6:$A$8,L152,'Pricing &amp; promotions'!$B$6:$B$8)/100,0),2),J152)</f>
        <v>0.0</v>
      </c>
      <c r="I152" s="6">
        <f>ROUND((E152*G152-H152)/IF(OR(K152=TRUE,K152="TRUE",K152="YES",K152=1),1+'Settings'!$B$6/100,1),2)</f>
        <v>147.11</v>
      </c>
      <c r="J152" s="8">
        <v>0.0</v>
      </c>
      <c r="K152" s="3" t="inlineStr">
        <is>
          <t xml:space="preserve">TRUE</t>
        </is>
      </c>
      <c r="L152" s="3"/>
      <c r="M152" s="6">
        <f>ROUND(E152*G152-H152,2)</f>
        <v>178.0</v>
      </c>
      <c r="N152" s="5">
        <f>IF(COUNTIF($A$3:A152,A152)=1,1,0)</f>
        <v>1</v>
      </c>
      <c r="O152" s="6">
        <f>IF(N152=1,ROUND((SUMIFS($M$3:$M$1200,$A$3:$A$1200,A152)+'Settings'!$B$13)*'Settings'!$B$14/100+'Settings'!$B$15,2),0)</f>
        <v>2.96</v>
      </c>
    </row>
    <row r="153">
      <c r="A153" s="3" t="inlineStr">
        <is>
          <t xml:space="preserve">#1104</t>
        </is>
      </c>
      <c r="B153" s="3" t="inlineStr">
        <is>
          <t xml:space="preserve">2025-11-25</t>
        </is>
      </c>
      <c r="C153" s="3" t="inlineStr">
        <is>
          <t xml:space="preserve">SKU-D</t>
        </is>
      </c>
      <c r="D153" s="3" t="inlineStr">
        <is>
          <t xml:space="preserve">Daily Duo</t>
        </is>
      </c>
      <c r="E153" s="6">
        <f>IF('Settings'!$B$11="Scenario",IFERROR(INDEX('Catalogue'!$E$3:$E$100,MATCH(C153,'Catalogue'!$B$3:$B$100,0)),F153),F153)</f>
        <v>79</v>
      </c>
      <c r="F153" s="8">
        <v>79</v>
      </c>
      <c r="G153" s="3">
        <v>1</v>
      </c>
      <c r="H153" s="6">
        <f>IF('Settings'!$B$11="Scenario",ROUND(E153*G153*IFERROR(SUMIF('Pricing &amp; promotions'!$A$6:$A$8,L153,'Pricing &amp; promotions'!$B$6:$B$8)/100,0),2),J153)</f>
        <v>15.8</v>
      </c>
      <c r="I153" s="6">
        <f>ROUND((E153*G153-H153)/IF(OR(K153=TRUE,K153="TRUE",K153="YES",K153=1),1+'Settings'!$B$6/100,1),2)</f>
        <v>52.23</v>
      </c>
      <c r="J153" s="8">
        <v>15.8</v>
      </c>
      <c r="K153" s="3" t="inlineStr">
        <is>
          <t xml:space="preserve">TRUE</t>
        </is>
      </c>
      <c r="L153" s="3" t="inlineStr">
        <is>
          <t xml:space="preserve">VIP20</t>
        </is>
      </c>
      <c r="M153" s="6">
        <f>ROUND(E153*G153-H153,2)</f>
        <v>63.2</v>
      </c>
      <c r="N153" s="5">
        <f>IF(COUNTIF($A$3:A153,A153)=1,1,0)</f>
        <v>1</v>
      </c>
      <c r="O153" s="6">
        <f>IF(N153=1,ROUND((SUMIFS($M$3:$M$1200,$A$3:$A$1200,A153)+'Settings'!$B$13)*'Settings'!$B$14/100+'Settings'!$B$15,2),0)</f>
        <v>1.24</v>
      </c>
    </row>
    <row r="154">
      <c r="A154" s="3" t="inlineStr">
        <is>
          <t xml:space="preserve">#1105</t>
        </is>
      </c>
      <c r="B154" s="3" t="inlineStr">
        <is>
          <t xml:space="preserve">2025-11-25</t>
        </is>
      </c>
      <c r="C154" s="3" t="inlineStr">
        <is>
          <t xml:space="preserve">SKU-E</t>
        </is>
      </c>
      <c r="D154" s="3" t="inlineStr">
        <is>
          <t xml:space="preserve">Complete Ritual</t>
        </is>
      </c>
      <c r="E154" s="6">
        <f>IF('Settings'!$B$11="Scenario",IFERROR(INDEX('Catalogue'!$E$3:$E$100,MATCH(C154,'Catalogue'!$B$3:$B$100,0)),F154),F154)</f>
        <v>89</v>
      </c>
      <c r="F154" s="8">
        <v>89</v>
      </c>
      <c r="G154" s="3">
        <v>1</v>
      </c>
      <c r="H154" s="6">
        <f>IF('Settings'!$B$11="Scenario",ROUND(E154*G154*IFERROR(SUMIF('Pricing &amp; promotions'!$A$6:$A$8,L154,'Pricing &amp; promotions'!$B$6:$B$8)/100,0),2),J154)</f>
        <v>0.0</v>
      </c>
      <c r="I154" s="6">
        <f>ROUND((E154*G154-H154)/IF(OR(K154=TRUE,K154="TRUE",K154="YES",K154=1),1+'Settings'!$B$6/100,1),2)</f>
        <v>73.55</v>
      </c>
      <c r="J154" s="8">
        <v>0.0</v>
      </c>
      <c r="K154" s="3" t="inlineStr">
        <is>
          <t xml:space="preserve">TRUE</t>
        </is>
      </c>
      <c r="L154" s="3"/>
      <c r="M154" s="6">
        <f>ROUND(E154*G154-H154,2)</f>
        <v>89.0</v>
      </c>
      <c r="N154" s="5">
        <f>IF(COUNTIF($A$3:A154,A154)=1,1,0)</f>
        <v>1</v>
      </c>
      <c r="O154" s="6">
        <f>IF(N154=1,ROUND((SUMIFS($M$3:$M$1200,$A$3:$A$1200,A154)+'Settings'!$B$13)*'Settings'!$B$14/100+'Settings'!$B$15,2),0)</f>
        <v>1.63</v>
      </c>
    </row>
    <row r="155">
      <c r="A155" s="3" t="inlineStr">
        <is>
          <t xml:space="preserve">#1106</t>
        </is>
      </c>
      <c r="B155" s="3" t="inlineStr">
        <is>
          <t xml:space="preserve">2025-11-26</t>
        </is>
      </c>
      <c r="C155" s="3" t="inlineStr">
        <is>
          <t xml:space="preserve">SKU-G</t>
        </is>
      </c>
      <c r="D155" s="3" t="inlineStr">
        <is>
          <t xml:space="preserve">Daily Reset Set</t>
        </is>
      </c>
      <c r="E155" s="6">
        <f>IF('Settings'!$B$11="Scenario",IFERROR(INDEX('Catalogue'!$E$3:$E$100,MATCH(C155,'Catalogue'!$B$3:$B$100,0)),F155),F155)</f>
        <v>69</v>
      </c>
      <c r="F155" s="8">
        <v>69</v>
      </c>
      <c r="G155" s="3">
        <v>1</v>
      </c>
      <c r="H155" s="6">
        <f>IF('Settings'!$B$11="Scenario",ROUND(E155*G155*IFERROR(SUMIF('Pricing &amp; promotions'!$A$6:$A$8,L155,'Pricing &amp; promotions'!$B$6:$B$8)/100,0),2),J155)</f>
        <v>6.9</v>
      </c>
      <c r="I155" s="6">
        <f>ROUND((E155*G155-H155)/IF(OR(K155=TRUE,K155="TRUE",K155="YES",K155=1),1+'Settings'!$B$6/100,1),2)</f>
        <v>51.32</v>
      </c>
      <c r="J155" s="8">
        <v>6.9</v>
      </c>
      <c r="K155" s="3" t="inlineStr">
        <is>
          <t xml:space="preserve">TRUE</t>
        </is>
      </c>
      <c r="L155" s="3" t="inlineStr">
        <is>
          <t xml:space="preserve">WELCOME10</t>
        </is>
      </c>
      <c r="M155" s="6">
        <f>ROUND(E155*G155-H155,2)</f>
        <v>62.1</v>
      </c>
      <c r="N155" s="5">
        <f>IF(COUNTIF($A$3:A155,A155)=1,1,0)</f>
        <v>1</v>
      </c>
      <c r="O155" s="6">
        <f>IF(N155=1,ROUND((SUMIFS($M$3:$M$1200,$A$3:$A$1200,A155)+'Settings'!$B$13)*'Settings'!$B$14/100+'Settings'!$B$15,2),0)</f>
        <v>1.23</v>
      </c>
    </row>
    <row r="156">
      <c r="A156" s="3" t="inlineStr">
        <is>
          <t xml:space="preserve">#1107</t>
        </is>
      </c>
      <c r="B156" s="3" t="inlineStr">
        <is>
          <t xml:space="preserve">2025-11-26</t>
        </is>
      </c>
      <c r="C156" s="3" t="inlineStr">
        <is>
          <t xml:space="preserve">SKU-A</t>
        </is>
      </c>
      <c r="D156" s="3" t="inlineStr">
        <is>
          <t xml:space="preserve">Renewal Serum</t>
        </is>
      </c>
      <c r="E156" s="6">
        <f>IF('Settings'!$B$11="Scenario",IFERROR(INDEX('Catalogue'!$E$3:$E$100,MATCH(C156,'Catalogue'!$B$3:$B$100,0)),F156),F156)</f>
        <v>69.9</v>
      </c>
      <c r="F156" s="8">
        <v>64</v>
      </c>
      <c r="G156" s="3">
        <v>1</v>
      </c>
      <c r="H156" s="6">
        <f>IF('Settings'!$B$11="Scenario",ROUND(E156*G156*IFERROR(SUMIF('Pricing &amp; promotions'!$A$6:$A$8,L156,'Pricing &amp; promotions'!$B$6:$B$8)/100,0),2),J156)</f>
        <v>0.0</v>
      </c>
      <c r="I156" s="6">
        <f>ROUND((E156*G156-H156)/IF(OR(K156=TRUE,K156="TRUE",K156="YES",K156=1),1+'Settings'!$B$6/100,1),2)</f>
        <v>57.77</v>
      </c>
      <c r="J156" s="8">
        <v>0.0</v>
      </c>
      <c r="K156" s="3" t="inlineStr">
        <is>
          <t xml:space="preserve">TRUE</t>
        </is>
      </c>
      <c r="L156" s="3"/>
      <c r="M156" s="6">
        <f>ROUND(E156*G156-H156,2)</f>
        <v>69.9</v>
      </c>
      <c r="N156" s="5">
        <f>IF(COUNTIF($A$3:A156,A156)=1,1,0)</f>
        <v>1</v>
      </c>
      <c r="O156" s="6">
        <f>IF(N156=1,ROUND((SUMIFS($M$3:$M$1200,$A$3:$A$1200,A156)+'Settings'!$B$13)*'Settings'!$B$14/100+'Settings'!$B$15,2),0)</f>
        <v>1.34</v>
      </c>
    </row>
    <row r="157">
      <c r="A157" s="3" t="inlineStr">
        <is>
          <t xml:space="preserve">#1108</t>
        </is>
      </c>
      <c r="B157" s="3" t="inlineStr">
        <is>
          <t xml:space="preserve">2025-11-26</t>
        </is>
      </c>
      <c r="C157" s="3" t="inlineStr">
        <is>
          <t xml:space="preserve">SKU-A</t>
        </is>
      </c>
      <c r="D157" s="3" t="inlineStr">
        <is>
          <t xml:space="preserve">Renewal Serum</t>
        </is>
      </c>
      <c r="E157" s="6">
        <f>IF('Settings'!$B$11="Scenario",IFERROR(INDEX('Catalogue'!$E$3:$E$100,MATCH(C157,'Catalogue'!$B$3:$B$100,0)),F157),F157)</f>
        <v>69.9</v>
      </c>
      <c r="F157" s="8">
        <v>64</v>
      </c>
      <c r="G157" s="3">
        <v>1</v>
      </c>
      <c r="H157" s="6">
        <f>IF('Settings'!$B$11="Scenario",ROUND(E157*G157*IFERROR(SUMIF('Pricing &amp; promotions'!$A$6:$A$8,L157,'Pricing &amp; promotions'!$B$6:$B$8)/100,0),2),J157)</f>
        <v>10.49</v>
      </c>
      <c r="I157" s="6">
        <f>ROUND((E157*G157-H157)/IF(OR(K157=TRUE,K157="TRUE",K157="YES",K157=1),1+'Settings'!$B$6/100,1),2)</f>
        <v>49.1</v>
      </c>
      <c r="J157" s="8">
        <v>9.6</v>
      </c>
      <c r="K157" s="3" t="inlineStr">
        <is>
          <t xml:space="preserve">TRUE</t>
        </is>
      </c>
      <c r="L157" s="3" t="inlineStr">
        <is>
          <t xml:space="preserve">SUMMER15</t>
        </is>
      </c>
      <c r="M157" s="6">
        <f>ROUND(E157*G157-H157,2)</f>
        <v>59.41</v>
      </c>
      <c r="N157" s="5">
        <f>IF(COUNTIF($A$3:A157,A157)=1,1,0)</f>
        <v>1</v>
      </c>
      <c r="O157" s="6">
        <f>IF(N157=1,ROUND((SUMIFS($M$3:$M$1200,$A$3:$A$1200,A157)+'Settings'!$B$13)*'Settings'!$B$14/100+'Settings'!$B$15,2),0)</f>
        <v>1.19</v>
      </c>
    </row>
    <row r="158">
      <c r="A158" s="3" t="inlineStr">
        <is>
          <t xml:space="preserve">#1109</t>
        </is>
      </c>
      <c r="B158" s="3" t="inlineStr">
        <is>
          <t xml:space="preserve">2025-11-26</t>
        </is>
      </c>
      <c r="C158" s="3" t="inlineStr">
        <is>
          <t xml:space="preserve">SKU-G</t>
        </is>
      </c>
      <c r="D158" s="3" t="inlineStr">
        <is>
          <t xml:space="preserve">Daily Reset Set</t>
        </is>
      </c>
      <c r="E158" s="6">
        <f>IF('Settings'!$B$11="Scenario",IFERROR(INDEX('Catalogue'!$E$3:$E$100,MATCH(C158,'Catalogue'!$B$3:$B$100,0)),F158),F158)</f>
        <v>69</v>
      </c>
      <c r="F158" s="8">
        <v>69</v>
      </c>
      <c r="G158" s="3">
        <v>2</v>
      </c>
      <c r="H158" s="6">
        <f>IF('Settings'!$B$11="Scenario",ROUND(E158*G158*IFERROR(SUMIF('Pricing &amp; promotions'!$A$6:$A$8,L158,'Pricing &amp; promotions'!$B$6:$B$8)/100,0),2),J158)</f>
        <v>0.0</v>
      </c>
      <c r="I158" s="6">
        <f>ROUND((E158*G158-H158)/IF(OR(K158=TRUE,K158="TRUE",K158="YES",K158=1),1+'Settings'!$B$6/100,1),2)</f>
        <v>114.05</v>
      </c>
      <c r="J158" s="8">
        <v>0.0</v>
      </c>
      <c r="K158" s="3" t="inlineStr">
        <is>
          <t xml:space="preserve">TRUE</t>
        </is>
      </c>
      <c r="L158" s="3"/>
      <c r="M158" s="6">
        <f>ROUND(E158*G158-H158,2)</f>
        <v>138.0</v>
      </c>
      <c r="N158" s="5">
        <f>IF(COUNTIF($A$3:A158,A158)=1,1,0)</f>
        <v>1</v>
      </c>
      <c r="O158" s="6">
        <f>IF(N158=1,ROUND((SUMIFS($M$3:$M$1200,$A$3:$A$1200,A158)+'Settings'!$B$13)*'Settings'!$B$14/100+'Settings'!$B$15,2),0)</f>
        <v>2.36</v>
      </c>
    </row>
    <row r="159">
      <c r="A159" s="3" t="inlineStr">
        <is>
          <t xml:space="preserve">#1110</t>
        </is>
      </c>
      <c r="B159" s="3" t="inlineStr">
        <is>
          <t xml:space="preserve">2025-11-26</t>
        </is>
      </c>
      <c r="C159" s="3" t="inlineStr">
        <is>
          <t xml:space="preserve">SKU-D</t>
        </is>
      </c>
      <c r="D159" s="3" t="inlineStr">
        <is>
          <t xml:space="preserve">Daily Duo</t>
        </is>
      </c>
      <c r="E159" s="6">
        <f>IF('Settings'!$B$11="Scenario",IFERROR(INDEX('Catalogue'!$E$3:$E$100,MATCH(C159,'Catalogue'!$B$3:$B$100,0)),F159),F159)</f>
        <v>79</v>
      </c>
      <c r="F159" s="8">
        <v>79</v>
      </c>
      <c r="G159" s="3">
        <v>2</v>
      </c>
      <c r="H159" s="6">
        <f>IF('Settings'!$B$11="Scenario",ROUND(E159*G159*IFERROR(SUMIF('Pricing &amp; promotions'!$A$6:$A$8,L159,'Pricing &amp; promotions'!$B$6:$B$8)/100,0),2),J159)</f>
        <v>15.8</v>
      </c>
      <c r="I159" s="6">
        <f>ROUND((E159*G159-H159)/IF(OR(K159=TRUE,K159="TRUE",K159="YES",K159=1),1+'Settings'!$B$6/100,1),2)</f>
        <v>117.52</v>
      </c>
      <c r="J159" s="8">
        <v>15.8</v>
      </c>
      <c r="K159" s="3" t="inlineStr">
        <is>
          <t xml:space="preserve">TRUE</t>
        </is>
      </c>
      <c r="L159" s="3" t="inlineStr">
        <is>
          <t xml:space="preserve">WELCOME10</t>
        </is>
      </c>
      <c r="M159" s="6">
        <f>ROUND(E159*G159-H159,2)</f>
        <v>142.2</v>
      </c>
      <c r="N159" s="5">
        <f>IF(COUNTIF($A$3:A159,A159)=1,1,0)</f>
        <v>1</v>
      </c>
      <c r="O159" s="6">
        <f>IF(N159=1,ROUND((SUMIFS($M$3:$M$1200,$A$3:$A$1200,A159)+'Settings'!$B$13)*'Settings'!$B$14/100+'Settings'!$B$15,2),0)</f>
        <v>3.88</v>
      </c>
    </row>
    <row r="160">
      <c r="A160" s="3" t="inlineStr">
        <is>
          <t xml:space="preserve">#1110</t>
        </is>
      </c>
      <c r="B160" s="3" t="inlineStr">
        <is>
          <t xml:space="preserve">2025-11-26</t>
        </is>
      </c>
      <c r="C160" s="3" t="inlineStr">
        <is>
          <t xml:space="preserve">SKU-B</t>
        </is>
      </c>
      <c r="D160" s="3" t="inlineStr">
        <is>
          <t xml:space="preserve">Barrier Balm</t>
        </is>
      </c>
      <c r="E160" s="6">
        <f>IF('Settings'!$B$11="Scenario",IFERROR(INDEX('Catalogue'!$E$3:$E$100,MATCH(C160,'Catalogue'!$B$3:$B$100,0)),F160),F160)</f>
        <v>19</v>
      </c>
      <c r="F160" s="8">
        <v>18</v>
      </c>
      <c r="G160" s="3">
        <v>2</v>
      </c>
      <c r="H160" s="6">
        <f>IF('Settings'!$B$11="Scenario",ROUND(E160*G160*IFERROR(SUMIF('Pricing &amp; promotions'!$A$6:$A$8,L160,'Pricing &amp; promotions'!$B$6:$B$8)/100,0),2),J160)</f>
        <v>3.8</v>
      </c>
      <c r="I160" s="6">
        <f>ROUND((E160*G160-H160)/IF(OR(K160=TRUE,K160="TRUE",K160="YES",K160=1),1+'Settings'!$B$6/100,1),2)</f>
        <v>28.26</v>
      </c>
      <c r="J160" s="8">
        <v>3.6</v>
      </c>
      <c r="K160" s="3" t="inlineStr">
        <is>
          <t xml:space="preserve">TRUE</t>
        </is>
      </c>
      <c r="L160" s="3" t="inlineStr">
        <is>
          <t xml:space="preserve">WELCOME10</t>
        </is>
      </c>
      <c r="M160" s="6">
        <f>ROUND(E160*G160-H160,2)</f>
        <v>34.2</v>
      </c>
      <c r="N160" s="5">
        <f>IF(COUNTIF($A$3:A160,A160)=1,1,0)</f>
        <v>0</v>
      </c>
      <c r="O160" s="6">
        <f>IF(N160=1,ROUND((SUMIFS($M$3:$M$1200,$A$3:$A$1200,A160)+'Settings'!$B$13)*'Settings'!$B$14/100+'Settings'!$B$15,2),0)</f>
        <v>0</v>
      </c>
    </row>
    <row r="161">
      <c r="A161" s="3" t="inlineStr">
        <is>
          <t xml:space="preserve">#1110</t>
        </is>
      </c>
      <c r="B161" s="3" t="inlineStr">
        <is>
          <t xml:space="preserve">2025-11-26</t>
        </is>
      </c>
      <c r="C161" s="3" t="inlineStr">
        <is>
          <t xml:space="preserve">SKU-A</t>
        </is>
      </c>
      <c r="D161" s="3" t="inlineStr">
        <is>
          <t xml:space="preserve">Renewal Serum</t>
        </is>
      </c>
      <c r="E161" s="6">
        <f>IF('Settings'!$B$11="Scenario",IFERROR(INDEX('Catalogue'!$E$3:$E$100,MATCH(C161,'Catalogue'!$B$3:$B$100,0)),F161),F161)</f>
        <v>69.9</v>
      </c>
      <c r="F161" s="8">
        <v>64</v>
      </c>
      <c r="G161" s="3">
        <v>1</v>
      </c>
      <c r="H161" s="6">
        <f>IF('Settings'!$B$11="Scenario",ROUND(E161*G161*IFERROR(SUMIF('Pricing &amp; promotions'!$A$6:$A$8,L161,'Pricing &amp; promotions'!$B$6:$B$8)/100,0),2),J161)</f>
        <v>6.99</v>
      </c>
      <c r="I161" s="6">
        <f>ROUND((E161*G161-H161)/IF(OR(K161=TRUE,K161="TRUE",K161="YES",K161=1),1+'Settings'!$B$6/100,1),2)</f>
        <v>51.99</v>
      </c>
      <c r="J161" s="8">
        <v>6.4</v>
      </c>
      <c r="K161" s="3" t="inlineStr">
        <is>
          <t xml:space="preserve">TRUE</t>
        </is>
      </c>
      <c r="L161" s="3" t="inlineStr">
        <is>
          <t xml:space="preserve">WELCOME10</t>
        </is>
      </c>
      <c r="M161" s="6">
        <f>ROUND(E161*G161-H161,2)</f>
        <v>62.91</v>
      </c>
      <c r="N161" s="5">
        <f>IF(COUNTIF($A$3:A161,A161)=1,1,0)</f>
        <v>0</v>
      </c>
      <c r="O161" s="6">
        <f>IF(N161=1,ROUND((SUMIFS($M$3:$M$1200,$A$3:$A$1200,A161)+'Settings'!$B$13)*'Settings'!$B$14/100+'Settings'!$B$15,2),0)</f>
        <v>0</v>
      </c>
    </row>
    <row r="162">
      <c r="A162" s="3" t="inlineStr">
        <is>
          <t xml:space="preserve">#1111</t>
        </is>
      </c>
      <c r="B162" s="3" t="inlineStr">
        <is>
          <t xml:space="preserve">2025-11-26</t>
        </is>
      </c>
      <c r="C162" s="3" t="inlineStr">
        <is>
          <t xml:space="preserve">SKU-D</t>
        </is>
      </c>
      <c r="D162" s="3" t="inlineStr">
        <is>
          <t xml:space="preserve">Daily Duo</t>
        </is>
      </c>
      <c r="E162" s="6">
        <f>IF('Settings'!$B$11="Scenario",IFERROR(INDEX('Catalogue'!$E$3:$E$100,MATCH(C162,'Catalogue'!$B$3:$B$100,0)),F162),F162)</f>
        <v>79</v>
      </c>
      <c r="F162" s="8">
        <v>79</v>
      </c>
      <c r="G162" s="3">
        <v>1</v>
      </c>
      <c r="H162" s="6">
        <f>IF('Settings'!$B$11="Scenario",ROUND(E162*G162*IFERROR(SUMIF('Pricing &amp; promotions'!$A$6:$A$8,L162,'Pricing &amp; promotions'!$B$6:$B$8)/100,0),2),J162)</f>
        <v>7.9</v>
      </c>
      <c r="I162" s="6">
        <f>ROUND((E162*G162-H162)/IF(OR(K162=TRUE,K162="TRUE",K162="YES",K162=1),1+'Settings'!$B$6/100,1),2)</f>
        <v>58.76</v>
      </c>
      <c r="J162" s="8">
        <v>7.9</v>
      </c>
      <c r="K162" s="3" t="inlineStr">
        <is>
          <t xml:space="preserve">TRUE</t>
        </is>
      </c>
      <c r="L162" s="3" t="inlineStr">
        <is>
          <t xml:space="preserve">WELCOME10</t>
        </is>
      </c>
      <c r="M162" s="6">
        <f>ROUND(E162*G162-H162,2)</f>
        <v>71.1</v>
      </c>
      <c r="N162" s="5">
        <f>IF(COUNTIF($A$3:A162,A162)=1,1,0)</f>
        <v>1</v>
      </c>
      <c r="O162" s="6">
        <f>IF(N162=1,ROUND((SUMIFS($M$3:$M$1200,$A$3:$A$1200,A162)+'Settings'!$B$13)*'Settings'!$B$14/100+'Settings'!$B$15,2),0)</f>
        <v>1.36</v>
      </c>
    </row>
    <row r="163">
      <c r="A163" s="3" t="inlineStr">
        <is>
          <t xml:space="preserve">#1112</t>
        </is>
      </c>
      <c r="B163" s="3" t="inlineStr">
        <is>
          <t xml:space="preserve">2025-11-27</t>
        </is>
      </c>
      <c r="C163" s="3" t="inlineStr">
        <is>
          <t xml:space="preserve">SKU-B</t>
        </is>
      </c>
      <c r="D163" s="3" t="inlineStr">
        <is>
          <t xml:space="preserve">Barrier Balm</t>
        </is>
      </c>
      <c r="E163" s="6">
        <f>IF('Settings'!$B$11="Scenario",IFERROR(INDEX('Catalogue'!$E$3:$E$100,MATCH(C163,'Catalogue'!$B$3:$B$100,0)),F163),F163)</f>
        <v>19</v>
      </c>
      <c r="F163" s="8">
        <v>18</v>
      </c>
      <c r="G163" s="3">
        <v>2</v>
      </c>
      <c r="H163" s="6">
        <f>IF('Settings'!$B$11="Scenario",ROUND(E163*G163*IFERROR(SUMIF('Pricing &amp; promotions'!$A$6:$A$8,L163,'Pricing &amp; promotions'!$B$6:$B$8)/100,0),2),J163)</f>
        <v>5.7</v>
      </c>
      <c r="I163" s="6">
        <f>ROUND((E163*G163-H163)/IF(OR(K163=TRUE,K163="TRUE",K163="YES",K163=1),1+'Settings'!$B$6/100,1),2)</f>
        <v>26.69</v>
      </c>
      <c r="J163" s="8">
        <v>5.4</v>
      </c>
      <c r="K163" s="3" t="inlineStr">
        <is>
          <t xml:space="preserve">TRUE</t>
        </is>
      </c>
      <c r="L163" s="3" t="inlineStr">
        <is>
          <t xml:space="preserve">SUMMER15</t>
        </is>
      </c>
      <c r="M163" s="6">
        <f>ROUND(E163*G163-H163,2)</f>
        <v>32.3</v>
      </c>
      <c r="N163" s="5">
        <f>IF(COUNTIF($A$3:A163,A163)=1,1,0)</f>
        <v>1</v>
      </c>
      <c r="O163" s="6">
        <f>IF(N163=1,ROUND((SUMIFS($M$3:$M$1200,$A$3:$A$1200,A163)+'Settings'!$B$13)*'Settings'!$B$14/100+'Settings'!$B$15,2),0)</f>
        <v>1.91</v>
      </c>
    </row>
    <row r="164">
      <c r="A164" s="3" t="inlineStr">
        <is>
          <t xml:space="preserve">#1112</t>
        </is>
      </c>
      <c r="B164" s="3" t="inlineStr">
        <is>
          <t xml:space="preserve">2025-11-27</t>
        </is>
      </c>
      <c r="C164" s="3" t="inlineStr">
        <is>
          <t xml:space="preserve">SKU-E</t>
        </is>
      </c>
      <c r="D164" s="3" t="inlineStr">
        <is>
          <t xml:space="preserve">Complete Ritual</t>
        </is>
      </c>
      <c r="E164" s="6">
        <f>IF('Settings'!$B$11="Scenario",IFERROR(INDEX('Catalogue'!$E$3:$E$100,MATCH(C164,'Catalogue'!$B$3:$B$100,0)),F164),F164)</f>
        <v>89</v>
      </c>
      <c r="F164" s="8">
        <v>89</v>
      </c>
      <c r="G164" s="3">
        <v>1</v>
      </c>
      <c r="H164" s="6">
        <f>IF('Settings'!$B$11="Scenario",ROUND(E164*G164*IFERROR(SUMIF('Pricing &amp; promotions'!$A$6:$A$8,L164,'Pricing &amp; promotions'!$B$6:$B$8)/100,0),2),J164)</f>
        <v>13.35</v>
      </c>
      <c r="I164" s="6">
        <f>ROUND((E164*G164-H164)/IF(OR(K164=TRUE,K164="TRUE",K164="YES",K164=1),1+'Settings'!$B$6/100,1),2)</f>
        <v>62.52</v>
      </c>
      <c r="J164" s="8">
        <v>13.35</v>
      </c>
      <c r="K164" s="3" t="inlineStr">
        <is>
          <t xml:space="preserve">TRUE</t>
        </is>
      </c>
      <c r="L164" s="3" t="inlineStr">
        <is>
          <t xml:space="preserve">SUMMER15</t>
        </is>
      </c>
      <c r="M164" s="6">
        <f>ROUND(E164*G164-H164,2)</f>
        <v>75.65</v>
      </c>
      <c r="N164" s="5">
        <f>IF(COUNTIF($A$3:A164,A164)=1,1,0)</f>
        <v>0</v>
      </c>
      <c r="O164" s="6">
        <f>IF(N164=1,ROUND((SUMIFS($M$3:$M$1200,$A$3:$A$1200,A164)+'Settings'!$B$13)*'Settings'!$B$14/100+'Settings'!$B$15,2),0)</f>
        <v>0</v>
      </c>
    </row>
    <row r="165">
      <c r="A165" s="3" t="inlineStr">
        <is>
          <t xml:space="preserve">#1113</t>
        </is>
      </c>
      <c r="B165" s="3" t="inlineStr">
        <is>
          <t xml:space="preserve">2025-11-27</t>
        </is>
      </c>
      <c r="C165" s="3" t="inlineStr">
        <is>
          <t xml:space="preserve">SKU-D</t>
        </is>
      </c>
      <c r="D165" s="3" t="inlineStr">
        <is>
          <t xml:space="preserve">Daily Duo</t>
        </is>
      </c>
      <c r="E165" s="6">
        <f>IF('Settings'!$B$11="Scenario",IFERROR(INDEX('Catalogue'!$E$3:$E$100,MATCH(C165,'Catalogue'!$B$3:$B$100,0)),F165),F165)</f>
        <v>79</v>
      </c>
      <c r="F165" s="8">
        <v>79</v>
      </c>
      <c r="G165" s="3">
        <v>1</v>
      </c>
      <c r="H165" s="6">
        <f>IF('Settings'!$B$11="Scenario",ROUND(E165*G165*IFERROR(SUMIF('Pricing &amp; promotions'!$A$6:$A$8,L165,'Pricing &amp; promotions'!$B$6:$B$8)/100,0),2),J165)</f>
        <v>0.0</v>
      </c>
      <c r="I165" s="6">
        <f>ROUND((E165*G165-H165)/IF(OR(K165=TRUE,K165="TRUE",K165="YES",K165=1),1+'Settings'!$B$6/100,1),2)</f>
        <v>65.29</v>
      </c>
      <c r="J165" s="8">
        <v>0.0</v>
      </c>
      <c r="K165" s="3" t="inlineStr">
        <is>
          <t xml:space="preserve">TRUE</t>
        </is>
      </c>
      <c r="L165" s="3"/>
      <c r="M165" s="6">
        <f>ROUND(E165*G165-H165,2)</f>
        <v>79.0</v>
      </c>
      <c r="N165" s="5">
        <f>IF(COUNTIF($A$3:A165,A165)=1,1,0)</f>
        <v>1</v>
      </c>
      <c r="O165" s="6">
        <f>IF(N165=1,ROUND((SUMIFS($M$3:$M$1200,$A$3:$A$1200,A165)+'Settings'!$B$13)*'Settings'!$B$14/100+'Settings'!$B$15,2),0)</f>
        <v>1.48</v>
      </c>
    </row>
    <row r="166">
      <c r="A166" s="3" t="inlineStr">
        <is>
          <t xml:space="preserve">#1114</t>
        </is>
      </c>
      <c r="B166" s="3" t="inlineStr">
        <is>
          <t xml:space="preserve">2025-11-27</t>
        </is>
      </c>
      <c r="C166" s="3" t="inlineStr">
        <is>
          <t xml:space="preserve">SKU-B</t>
        </is>
      </c>
      <c r="D166" s="3" t="inlineStr">
        <is>
          <t xml:space="preserve">Barrier Balm</t>
        </is>
      </c>
      <c r="E166" s="6">
        <f>IF('Settings'!$B$11="Scenario",IFERROR(INDEX('Catalogue'!$E$3:$E$100,MATCH(C166,'Catalogue'!$B$3:$B$100,0)),F166),F166)</f>
        <v>19</v>
      </c>
      <c r="F166" s="8">
        <v>18</v>
      </c>
      <c r="G166" s="3">
        <v>1</v>
      </c>
      <c r="H166" s="6">
        <f>IF('Settings'!$B$11="Scenario",ROUND(E166*G166*IFERROR(SUMIF('Pricing &amp; promotions'!$A$6:$A$8,L166,'Pricing &amp; promotions'!$B$6:$B$8)/100,0),2),J166)</f>
        <v>0.0</v>
      </c>
      <c r="I166" s="6">
        <f>ROUND((E166*G166-H166)/IF(OR(K166=TRUE,K166="TRUE",K166="YES",K166=1),1+'Settings'!$B$6/100,1),2)</f>
        <v>15.7</v>
      </c>
      <c r="J166" s="8">
        <v>0.0</v>
      </c>
      <c r="K166" s="3" t="inlineStr">
        <is>
          <t xml:space="preserve">TRUE</t>
        </is>
      </c>
      <c r="L166" s="3"/>
      <c r="M166" s="6">
        <f>ROUND(E166*G166-H166,2)</f>
        <v>19.0</v>
      </c>
      <c r="N166" s="5">
        <f>IF(COUNTIF($A$3:A166,A166)=1,1,0)</f>
        <v>1</v>
      </c>
      <c r="O166" s="6">
        <f>IF(N166=1,ROUND((SUMIFS($M$3:$M$1200,$A$3:$A$1200,A166)+'Settings'!$B$13)*'Settings'!$B$14/100+'Settings'!$B$15,2),0)</f>
        <v>1.63</v>
      </c>
    </row>
    <row r="167">
      <c r="A167" s="3" t="inlineStr">
        <is>
          <t xml:space="preserve">#1114</t>
        </is>
      </c>
      <c r="B167" s="3" t="inlineStr">
        <is>
          <t xml:space="preserve">2025-11-27</t>
        </is>
      </c>
      <c r="C167" s="3" t="inlineStr">
        <is>
          <t xml:space="preserve">SKU-A</t>
        </is>
      </c>
      <c r="D167" s="3" t="inlineStr">
        <is>
          <t xml:space="preserve">Renewal Serum</t>
        </is>
      </c>
      <c r="E167" s="6">
        <f>IF('Settings'!$B$11="Scenario",IFERROR(INDEX('Catalogue'!$E$3:$E$100,MATCH(C167,'Catalogue'!$B$3:$B$100,0)),F167),F167)</f>
        <v>69.9</v>
      </c>
      <c r="F167" s="8">
        <v>64</v>
      </c>
      <c r="G167" s="3">
        <v>1</v>
      </c>
      <c r="H167" s="6">
        <f>IF('Settings'!$B$11="Scenario",ROUND(E167*G167*IFERROR(SUMIF('Pricing &amp; promotions'!$A$6:$A$8,L167,'Pricing &amp; promotions'!$B$6:$B$8)/100,0),2),J167)</f>
        <v>0.0</v>
      </c>
      <c r="I167" s="6">
        <f>ROUND((E167*G167-H167)/IF(OR(K167=TRUE,K167="TRUE",K167="YES",K167=1),1+'Settings'!$B$6/100,1),2)</f>
        <v>57.77</v>
      </c>
      <c r="J167" s="8">
        <v>0.0</v>
      </c>
      <c r="K167" s="3" t="inlineStr">
        <is>
          <t xml:space="preserve">TRUE</t>
        </is>
      </c>
      <c r="L167" s="3"/>
      <c r="M167" s="6">
        <f>ROUND(E167*G167-H167,2)</f>
        <v>69.9</v>
      </c>
      <c r="N167" s="5">
        <f>IF(COUNTIF($A$3:A167,A167)=1,1,0)</f>
        <v>0</v>
      </c>
      <c r="O167" s="6">
        <f>IF(N167=1,ROUND((SUMIFS($M$3:$M$1200,$A$3:$A$1200,A167)+'Settings'!$B$13)*'Settings'!$B$14/100+'Settings'!$B$15,2),0)</f>
        <v>0</v>
      </c>
    </row>
    <row r="168">
      <c r="A168" s="3" t="inlineStr">
        <is>
          <t xml:space="preserve">#1115</t>
        </is>
      </c>
      <c r="B168" s="3" t="inlineStr">
        <is>
          <t xml:space="preserve">2025-11-27</t>
        </is>
      </c>
      <c r="C168" s="3" t="inlineStr">
        <is>
          <t xml:space="preserve">SKU-G</t>
        </is>
      </c>
      <c r="D168" s="3" t="inlineStr">
        <is>
          <t xml:space="preserve">Daily Reset Set</t>
        </is>
      </c>
      <c r="E168" s="6">
        <f>IF('Settings'!$B$11="Scenario",IFERROR(INDEX('Catalogue'!$E$3:$E$100,MATCH(C168,'Catalogue'!$B$3:$B$100,0)),F168),F168)</f>
        <v>69</v>
      </c>
      <c r="F168" s="8">
        <v>69</v>
      </c>
      <c r="G168" s="3">
        <v>1</v>
      </c>
      <c r="H168" s="6">
        <f>IF('Settings'!$B$11="Scenario",ROUND(E168*G168*IFERROR(SUMIF('Pricing &amp; promotions'!$A$6:$A$8,L168,'Pricing &amp; promotions'!$B$6:$B$8)/100,0),2),J168)</f>
        <v>0.0</v>
      </c>
      <c r="I168" s="6">
        <f>ROUND((E168*G168-H168)/IF(OR(K168=TRUE,K168="TRUE",K168="YES",K168=1),1+'Settings'!$B$6/100,1),2)</f>
        <v>57.02</v>
      </c>
      <c r="J168" s="8">
        <v>0.0</v>
      </c>
      <c r="K168" s="3" t="inlineStr">
        <is>
          <t xml:space="preserve">TRUE</t>
        </is>
      </c>
      <c r="L168" s="3"/>
      <c r="M168" s="6">
        <f>ROUND(E168*G168-H168,2)</f>
        <v>69.0</v>
      </c>
      <c r="N168" s="5">
        <f>IF(COUNTIF($A$3:A168,A168)=1,1,0)</f>
        <v>1</v>
      </c>
      <c r="O168" s="6">
        <f>IF(N168=1,ROUND((SUMIFS($M$3:$M$1200,$A$3:$A$1200,A168)+'Settings'!$B$13)*'Settings'!$B$14/100+'Settings'!$B$15,2),0)</f>
        <v>1.33</v>
      </c>
    </row>
    <row r="169">
      <c r="A169" s="3" t="inlineStr">
        <is>
          <t xml:space="preserve">#1116</t>
        </is>
      </c>
      <c r="B169" s="3" t="inlineStr">
        <is>
          <t xml:space="preserve">2025-11-28</t>
        </is>
      </c>
      <c r="C169" s="3" t="inlineStr">
        <is>
          <t xml:space="preserve">SKU-A</t>
        </is>
      </c>
      <c r="D169" s="3" t="inlineStr">
        <is>
          <t xml:space="preserve">Renewal Serum</t>
        </is>
      </c>
      <c r="E169" s="6">
        <f>IF('Settings'!$B$11="Scenario",IFERROR(INDEX('Catalogue'!$E$3:$E$100,MATCH(C169,'Catalogue'!$B$3:$B$100,0)),F169),F169)</f>
        <v>69.9</v>
      </c>
      <c r="F169" s="8">
        <v>64</v>
      </c>
      <c r="G169" s="3">
        <v>1</v>
      </c>
      <c r="H169" s="6">
        <f>IF('Settings'!$B$11="Scenario",ROUND(E169*G169*IFERROR(SUMIF('Pricing &amp; promotions'!$A$6:$A$8,L169,'Pricing &amp; promotions'!$B$6:$B$8)/100,0),2),J169)</f>
        <v>0.0</v>
      </c>
      <c r="I169" s="6">
        <f>ROUND((E169*G169-H169)/IF(OR(K169=TRUE,K169="TRUE",K169="YES",K169=1),1+'Settings'!$B$6/100,1),2)</f>
        <v>57.77</v>
      </c>
      <c r="J169" s="8">
        <v>0.0</v>
      </c>
      <c r="K169" s="3" t="inlineStr">
        <is>
          <t xml:space="preserve">TRUE</t>
        </is>
      </c>
      <c r="L169" s="3"/>
      <c r="M169" s="6">
        <f>ROUND(E169*G169-H169,2)</f>
        <v>69.9</v>
      </c>
      <c r="N169" s="5">
        <f>IF(COUNTIF($A$3:A169,A169)=1,1,0)</f>
        <v>1</v>
      </c>
      <c r="O169" s="6">
        <f>IF(N169=1,ROUND((SUMIFS($M$3:$M$1200,$A$3:$A$1200,A169)+'Settings'!$B$13)*'Settings'!$B$14/100+'Settings'!$B$15,2),0)</f>
        <v>1.34</v>
      </c>
    </row>
    <row r="170">
      <c r="A170" s="3" t="inlineStr">
        <is>
          <t xml:space="preserve">#1117</t>
        </is>
      </c>
      <c r="B170" s="3" t="inlineStr">
        <is>
          <t xml:space="preserve">2025-11-28</t>
        </is>
      </c>
      <c r="C170" s="3" t="inlineStr">
        <is>
          <t xml:space="preserve">SKU-A</t>
        </is>
      </c>
      <c r="D170" s="3" t="inlineStr">
        <is>
          <t xml:space="preserve">Renewal Serum</t>
        </is>
      </c>
      <c r="E170" s="6">
        <f>IF('Settings'!$B$11="Scenario",IFERROR(INDEX('Catalogue'!$E$3:$E$100,MATCH(C170,'Catalogue'!$B$3:$B$100,0)),F170),F170)</f>
        <v>69.9</v>
      </c>
      <c r="F170" s="8">
        <v>64</v>
      </c>
      <c r="G170" s="3">
        <v>1</v>
      </c>
      <c r="H170" s="6">
        <f>IF('Settings'!$B$11="Scenario",ROUND(E170*G170*IFERROR(SUMIF('Pricing &amp; promotions'!$A$6:$A$8,L170,'Pricing &amp; promotions'!$B$6:$B$8)/100,0),2),J170)</f>
        <v>0.0</v>
      </c>
      <c r="I170" s="6">
        <f>ROUND((E170*G170-H170)/IF(OR(K170=TRUE,K170="TRUE",K170="YES",K170=1),1+'Settings'!$B$6/100,1),2)</f>
        <v>57.77</v>
      </c>
      <c r="J170" s="8">
        <v>0.0</v>
      </c>
      <c r="K170" s="3" t="inlineStr">
        <is>
          <t xml:space="preserve">TRUE</t>
        </is>
      </c>
      <c r="L170" s="3"/>
      <c r="M170" s="6">
        <f>ROUND(E170*G170-H170,2)</f>
        <v>69.9</v>
      </c>
      <c r="N170" s="5">
        <f>IF(COUNTIF($A$3:A170,A170)=1,1,0)</f>
        <v>1</v>
      </c>
      <c r="O170" s="6">
        <f>IF(N170=1,ROUND((SUMIFS($M$3:$M$1200,$A$3:$A$1200,A170)+'Settings'!$B$13)*'Settings'!$B$14/100+'Settings'!$B$15,2),0)</f>
        <v>1.34</v>
      </c>
    </row>
    <row r="171">
      <c r="A171" s="3" t="inlineStr">
        <is>
          <t xml:space="preserve">#1118</t>
        </is>
      </c>
      <c r="B171" s="3" t="inlineStr">
        <is>
          <t xml:space="preserve">2025-11-28</t>
        </is>
      </c>
      <c r="C171" s="3" t="inlineStr">
        <is>
          <t xml:space="preserve">SKU-D</t>
        </is>
      </c>
      <c r="D171" s="3" t="inlineStr">
        <is>
          <t xml:space="preserve">Daily Duo</t>
        </is>
      </c>
      <c r="E171" s="6">
        <f>IF('Settings'!$B$11="Scenario",IFERROR(INDEX('Catalogue'!$E$3:$E$100,MATCH(C171,'Catalogue'!$B$3:$B$100,0)),F171),F171)</f>
        <v>79</v>
      </c>
      <c r="F171" s="8">
        <v>79</v>
      </c>
      <c r="G171" s="3">
        <v>1</v>
      </c>
      <c r="H171" s="6">
        <f>IF('Settings'!$B$11="Scenario",ROUND(E171*G171*IFERROR(SUMIF('Pricing &amp; promotions'!$A$6:$A$8,L171,'Pricing &amp; promotions'!$B$6:$B$8)/100,0),2),J171)</f>
        <v>0.0</v>
      </c>
      <c r="I171" s="6">
        <f>ROUND((E171*G171-H171)/IF(OR(K171=TRUE,K171="TRUE",K171="YES",K171=1),1+'Settings'!$B$6/100,1),2)</f>
        <v>65.29</v>
      </c>
      <c r="J171" s="8">
        <v>0.0</v>
      </c>
      <c r="K171" s="3" t="inlineStr">
        <is>
          <t xml:space="preserve">TRUE</t>
        </is>
      </c>
      <c r="L171" s="3"/>
      <c r="M171" s="6">
        <f>ROUND(E171*G171-H171,2)</f>
        <v>79.0</v>
      </c>
      <c r="N171" s="5">
        <f>IF(COUNTIF($A$3:A171,A171)=1,1,0)</f>
        <v>1</v>
      </c>
      <c r="O171" s="6">
        <f>IF(N171=1,ROUND((SUMIFS($M$3:$M$1200,$A$3:$A$1200,A171)+'Settings'!$B$13)*'Settings'!$B$14/100+'Settings'!$B$15,2),0)</f>
        <v>1.99</v>
      </c>
    </row>
    <row r="172">
      <c r="A172" s="3" t="inlineStr">
        <is>
          <t xml:space="preserve">#1118</t>
        </is>
      </c>
      <c r="B172" s="3" t="inlineStr">
        <is>
          <t xml:space="preserve">2025-11-28</t>
        </is>
      </c>
      <c r="C172" s="3" t="inlineStr">
        <is>
          <t xml:space="preserve">SKU-F</t>
        </is>
      </c>
      <c r="D172" s="3" t="inlineStr">
        <is>
          <t xml:space="preserve">Cloud Cleanser</t>
        </is>
      </c>
      <c r="E172" s="6">
        <f>IF('Settings'!$B$11="Scenario",IFERROR(INDEX('Catalogue'!$E$3:$E$100,MATCH(C172,'Catalogue'!$B$3:$B$100,0)),F172),F172)</f>
        <v>34</v>
      </c>
      <c r="F172" s="8">
        <v>34</v>
      </c>
      <c r="G172" s="3">
        <v>1</v>
      </c>
      <c r="H172" s="6">
        <f>IF('Settings'!$B$11="Scenario",ROUND(E172*G172*IFERROR(SUMIF('Pricing &amp; promotions'!$A$6:$A$8,L172,'Pricing &amp; promotions'!$B$6:$B$8)/100,0),2),J172)</f>
        <v>0.0</v>
      </c>
      <c r="I172" s="6">
        <f>ROUND((E172*G172-H172)/IF(OR(K172=TRUE,K172="TRUE",K172="YES",K172=1),1+'Settings'!$B$6/100,1),2)</f>
        <v>28.1</v>
      </c>
      <c r="J172" s="8">
        <v>0.0</v>
      </c>
      <c r="K172" s="3" t="inlineStr">
        <is>
          <t xml:space="preserve">TRUE</t>
        </is>
      </c>
      <c r="L172" s="3"/>
      <c r="M172" s="6">
        <f>ROUND(E172*G172-H172,2)</f>
        <v>34.0</v>
      </c>
      <c r="N172" s="5">
        <f>IF(COUNTIF($A$3:A172,A172)=1,1,0)</f>
        <v>0</v>
      </c>
      <c r="O172" s="6">
        <f>IF(N172=1,ROUND((SUMIFS($M$3:$M$1200,$A$3:$A$1200,A172)+'Settings'!$B$13)*'Settings'!$B$14/100+'Settings'!$B$15,2),0)</f>
        <v>0</v>
      </c>
    </row>
    <row r="173">
      <c r="A173" s="3" t="inlineStr">
        <is>
          <t xml:space="preserve">#1119</t>
        </is>
      </c>
      <c r="B173" s="3" t="inlineStr">
        <is>
          <t xml:space="preserve">2025-11-28</t>
        </is>
      </c>
      <c r="C173" s="3" t="inlineStr">
        <is>
          <t xml:space="preserve">SKU-C</t>
        </is>
      </c>
      <c r="D173" s="3" t="inlineStr">
        <is>
          <t xml:space="preserve">Contour Stone</t>
        </is>
      </c>
      <c r="E173" s="6">
        <f>IF('Settings'!$B$11="Scenario",IFERROR(INDEX('Catalogue'!$E$3:$E$100,MATCH(C173,'Catalogue'!$B$3:$B$100,0)),F173),F173)</f>
        <v>29</v>
      </c>
      <c r="F173" s="8">
        <v>29</v>
      </c>
      <c r="G173" s="3">
        <v>1</v>
      </c>
      <c r="H173" s="6">
        <f>IF('Settings'!$B$11="Scenario",ROUND(E173*G173*IFERROR(SUMIF('Pricing &amp; promotions'!$A$6:$A$8,L173,'Pricing &amp; promotions'!$B$6:$B$8)/100,0),2),J173)</f>
        <v>0.0</v>
      </c>
      <c r="I173" s="6">
        <f>ROUND((E173*G173-H173)/IF(OR(K173=TRUE,K173="TRUE",K173="YES",K173=1),1+'Settings'!$B$6/100,1),2)</f>
        <v>23.97</v>
      </c>
      <c r="J173" s="8">
        <v>0.0</v>
      </c>
      <c r="K173" s="3" t="inlineStr">
        <is>
          <t xml:space="preserve">TRUE</t>
        </is>
      </c>
      <c r="L173" s="3"/>
      <c r="M173" s="6">
        <f>ROUND(E173*G173-H173,2)</f>
        <v>29.0</v>
      </c>
      <c r="N173" s="5">
        <f>IF(COUNTIF($A$3:A173,A173)=1,1,0)</f>
        <v>1</v>
      </c>
      <c r="O173" s="6">
        <f>IF(N173=1,ROUND((SUMIFS($M$3:$M$1200,$A$3:$A$1200,A173)+'Settings'!$B$13)*'Settings'!$B$14/100+'Settings'!$B$15,2),0)</f>
        <v>1.91</v>
      </c>
    </row>
    <row r="174">
      <c r="A174" s="3" t="inlineStr">
        <is>
          <t xml:space="preserve">#1119</t>
        </is>
      </c>
      <c r="B174" s="3" t="inlineStr">
        <is>
          <t xml:space="preserve">2025-11-28</t>
        </is>
      </c>
      <c r="C174" s="3" t="inlineStr">
        <is>
          <t xml:space="preserve">SKU-D</t>
        </is>
      </c>
      <c r="D174" s="3" t="inlineStr">
        <is>
          <t xml:space="preserve">Daily Duo</t>
        </is>
      </c>
      <c r="E174" s="6">
        <f>IF('Settings'!$B$11="Scenario",IFERROR(INDEX('Catalogue'!$E$3:$E$100,MATCH(C174,'Catalogue'!$B$3:$B$100,0)),F174),F174)</f>
        <v>79</v>
      </c>
      <c r="F174" s="8">
        <v>79</v>
      </c>
      <c r="G174" s="3">
        <v>1</v>
      </c>
      <c r="H174" s="6">
        <f>IF('Settings'!$B$11="Scenario",ROUND(E174*G174*IFERROR(SUMIF('Pricing &amp; promotions'!$A$6:$A$8,L174,'Pricing &amp; promotions'!$B$6:$B$8)/100,0),2),J174)</f>
        <v>0.0</v>
      </c>
      <c r="I174" s="6">
        <f>ROUND((E174*G174-H174)/IF(OR(K174=TRUE,K174="TRUE",K174="YES",K174=1),1+'Settings'!$B$6/100,1),2)</f>
        <v>65.29</v>
      </c>
      <c r="J174" s="8">
        <v>0.0</v>
      </c>
      <c r="K174" s="3" t="inlineStr">
        <is>
          <t xml:space="preserve">TRUE</t>
        </is>
      </c>
      <c r="L174" s="3"/>
      <c r="M174" s="6">
        <f>ROUND(E174*G174-H174,2)</f>
        <v>79.0</v>
      </c>
      <c r="N174" s="5">
        <f>IF(COUNTIF($A$3:A174,A174)=1,1,0)</f>
        <v>0</v>
      </c>
      <c r="O174" s="6">
        <f>IF(N174=1,ROUND((SUMIFS($M$3:$M$1200,$A$3:$A$1200,A174)+'Settings'!$B$13)*'Settings'!$B$14/100+'Settings'!$B$15,2),0)</f>
        <v>0</v>
      </c>
    </row>
    <row r="175">
      <c r="A175" s="3" t="inlineStr">
        <is>
          <t xml:space="preserve">#1120</t>
        </is>
      </c>
      <c r="B175" s="3" t="inlineStr">
        <is>
          <t xml:space="preserve">2025-11-28</t>
        </is>
      </c>
      <c r="C175" s="3" t="inlineStr">
        <is>
          <t xml:space="preserve">SKU-B</t>
        </is>
      </c>
      <c r="D175" s="3" t="inlineStr">
        <is>
          <t xml:space="preserve">Barrier Balm</t>
        </is>
      </c>
      <c r="E175" s="6">
        <f>IF('Settings'!$B$11="Scenario",IFERROR(INDEX('Catalogue'!$E$3:$E$100,MATCH(C175,'Catalogue'!$B$3:$B$100,0)),F175),F175)</f>
        <v>19</v>
      </c>
      <c r="F175" s="8">
        <v>18</v>
      </c>
      <c r="G175" s="3">
        <v>1</v>
      </c>
      <c r="H175" s="6">
        <f>IF('Settings'!$B$11="Scenario",ROUND(E175*G175*IFERROR(SUMIF('Pricing &amp; promotions'!$A$6:$A$8,L175,'Pricing &amp; promotions'!$B$6:$B$8)/100,0),2),J175)</f>
        <v>0.0</v>
      </c>
      <c r="I175" s="6">
        <f>ROUND((E175*G175-H175)/IF(OR(K175=TRUE,K175="TRUE",K175="YES",K175=1),1+'Settings'!$B$6/100,1),2)</f>
        <v>15.7</v>
      </c>
      <c r="J175" s="8">
        <v>0.0</v>
      </c>
      <c r="K175" s="3" t="inlineStr">
        <is>
          <t xml:space="preserve">TRUE</t>
        </is>
      </c>
      <c r="L175" s="3"/>
      <c r="M175" s="6">
        <f>ROUND(E175*G175-H175,2)</f>
        <v>19.0</v>
      </c>
      <c r="N175" s="5">
        <f>IF(COUNTIF($A$3:A175,A175)=1,1,0)</f>
        <v>1</v>
      </c>
      <c r="O175" s="6">
        <f>IF(N175=1,ROUND((SUMIFS($M$3:$M$1200,$A$3:$A$1200,A175)+'Settings'!$B$13)*'Settings'!$B$14/100+'Settings'!$B$15,2),0)</f>
        <v>2.42</v>
      </c>
    </row>
    <row r="176">
      <c r="A176" s="3" t="inlineStr">
        <is>
          <t xml:space="preserve">#1120</t>
        </is>
      </c>
      <c r="B176" s="3" t="inlineStr">
        <is>
          <t xml:space="preserve">2025-11-28</t>
        </is>
      </c>
      <c r="C176" s="3" t="inlineStr">
        <is>
          <t xml:space="preserve">SKU-F</t>
        </is>
      </c>
      <c r="D176" s="3" t="inlineStr">
        <is>
          <t xml:space="preserve">Cloud Cleanser</t>
        </is>
      </c>
      <c r="E176" s="6">
        <f>IF('Settings'!$B$11="Scenario",IFERROR(INDEX('Catalogue'!$E$3:$E$100,MATCH(C176,'Catalogue'!$B$3:$B$100,0)),F176),F176)</f>
        <v>34</v>
      </c>
      <c r="F176" s="8">
        <v>34</v>
      </c>
      <c r="G176" s="3">
        <v>1</v>
      </c>
      <c r="H176" s="6">
        <f>IF('Settings'!$B$11="Scenario",ROUND(E176*G176*IFERROR(SUMIF('Pricing &amp; promotions'!$A$6:$A$8,L176,'Pricing &amp; promotions'!$B$6:$B$8)/100,0),2),J176)</f>
        <v>0.0</v>
      </c>
      <c r="I176" s="6">
        <f>ROUND((E176*G176-H176)/IF(OR(K176=TRUE,K176="TRUE",K176="YES",K176=1),1+'Settings'!$B$6/100,1),2)</f>
        <v>28.1</v>
      </c>
      <c r="J176" s="8">
        <v>0.0</v>
      </c>
      <c r="K176" s="3" t="inlineStr">
        <is>
          <t xml:space="preserve">TRUE</t>
        </is>
      </c>
      <c r="L176" s="3"/>
      <c r="M176" s="6">
        <f>ROUND(E176*G176-H176,2)</f>
        <v>34.0</v>
      </c>
      <c r="N176" s="5">
        <f>IF(COUNTIF($A$3:A176,A176)=1,1,0)</f>
        <v>0</v>
      </c>
      <c r="O176" s="6">
        <f>IF(N176=1,ROUND((SUMIFS($M$3:$M$1200,$A$3:$A$1200,A176)+'Settings'!$B$13)*'Settings'!$B$14/100+'Settings'!$B$15,2),0)</f>
        <v>0</v>
      </c>
    </row>
    <row r="177">
      <c r="A177" s="3" t="inlineStr">
        <is>
          <t xml:space="preserve">#1120</t>
        </is>
      </c>
      <c r="B177" s="3" t="inlineStr">
        <is>
          <t xml:space="preserve">2025-11-28</t>
        </is>
      </c>
      <c r="C177" s="3" t="inlineStr">
        <is>
          <t xml:space="preserve">SKU-E</t>
        </is>
      </c>
      <c r="D177" s="3" t="inlineStr">
        <is>
          <t xml:space="preserve">Complete Ritual</t>
        </is>
      </c>
      <c r="E177" s="6">
        <f>IF('Settings'!$B$11="Scenario",IFERROR(INDEX('Catalogue'!$E$3:$E$100,MATCH(C177,'Catalogue'!$B$3:$B$100,0)),F177),F177)</f>
        <v>89</v>
      </c>
      <c r="F177" s="8">
        <v>89</v>
      </c>
      <c r="G177" s="3">
        <v>1</v>
      </c>
      <c r="H177" s="6">
        <f>IF('Settings'!$B$11="Scenario",ROUND(E177*G177*IFERROR(SUMIF('Pricing &amp; promotions'!$A$6:$A$8,L177,'Pricing &amp; promotions'!$B$6:$B$8)/100,0),2),J177)</f>
        <v>0.0</v>
      </c>
      <c r="I177" s="6">
        <f>ROUND((E177*G177-H177)/IF(OR(K177=TRUE,K177="TRUE",K177="YES",K177=1),1+'Settings'!$B$6/100,1),2)</f>
        <v>73.55</v>
      </c>
      <c r="J177" s="8">
        <v>0.0</v>
      </c>
      <c r="K177" s="3" t="inlineStr">
        <is>
          <t xml:space="preserve">TRUE</t>
        </is>
      </c>
      <c r="L177" s="3"/>
      <c r="M177" s="6">
        <f>ROUND(E177*G177-H177,2)</f>
        <v>89.0</v>
      </c>
      <c r="N177" s="5">
        <f>IF(COUNTIF($A$3:A177,A177)=1,1,0)</f>
        <v>0</v>
      </c>
      <c r="O177" s="6">
        <f>IF(N177=1,ROUND((SUMIFS($M$3:$M$1200,$A$3:$A$1200,A177)+'Settings'!$B$13)*'Settings'!$B$14/100+'Settings'!$B$15,2),0)</f>
        <v>0</v>
      </c>
    </row>
    <row r="178">
      <c r="A178" s="3" t="inlineStr">
        <is>
          <t xml:space="preserve">#1121</t>
        </is>
      </c>
      <c r="B178" s="3" t="inlineStr">
        <is>
          <t xml:space="preserve">2025-11-29</t>
        </is>
      </c>
      <c r="C178" s="3" t="inlineStr">
        <is>
          <t xml:space="preserve">SKU-D</t>
        </is>
      </c>
      <c r="D178" s="3" t="inlineStr">
        <is>
          <t xml:space="preserve">Daily Duo</t>
        </is>
      </c>
      <c r="E178" s="6">
        <f>IF('Settings'!$B$11="Scenario",IFERROR(INDEX('Catalogue'!$E$3:$E$100,MATCH(C178,'Catalogue'!$B$3:$B$100,0)),F178),F178)</f>
        <v>79</v>
      </c>
      <c r="F178" s="8">
        <v>79</v>
      </c>
      <c r="G178" s="3">
        <v>1</v>
      </c>
      <c r="H178" s="6">
        <f>IF('Settings'!$B$11="Scenario",ROUND(E178*G178*IFERROR(SUMIF('Pricing &amp; promotions'!$A$6:$A$8,L178,'Pricing &amp; promotions'!$B$6:$B$8)/100,0),2),J178)</f>
        <v>7.9</v>
      </c>
      <c r="I178" s="6">
        <f>ROUND((E178*G178-H178)/IF(OR(K178=TRUE,K178="TRUE",K178="YES",K178=1),1+'Settings'!$B$6/100,1),2)</f>
        <v>58.76</v>
      </c>
      <c r="J178" s="8">
        <v>7.9</v>
      </c>
      <c r="K178" s="3" t="inlineStr">
        <is>
          <t xml:space="preserve">TRUE</t>
        </is>
      </c>
      <c r="L178" s="3" t="inlineStr">
        <is>
          <t xml:space="preserve">WELCOME10</t>
        </is>
      </c>
      <c r="M178" s="6">
        <f>ROUND(E178*G178-H178,2)</f>
        <v>71.1</v>
      </c>
      <c r="N178" s="5">
        <f>IF(COUNTIF($A$3:A178,A178)=1,1,0)</f>
        <v>1</v>
      </c>
      <c r="O178" s="6">
        <f>IF(N178=1,ROUND((SUMIFS($M$3:$M$1200,$A$3:$A$1200,A178)+'Settings'!$B$13)*'Settings'!$B$14/100+'Settings'!$B$15,2),0)</f>
        <v>2.76</v>
      </c>
    </row>
    <row r="179">
      <c r="A179" s="3" t="inlineStr">
        <is>
          <t xml:space="preserve">#1121</t>
        </is>
      </c>
      <c r="B179" s="3" t="inlineStr">
        <is>
          <t xml:space="preserve">2025-11-29</t>
        </is>
      </c>
      <c r="C179" s="3" t="inlineStr">
        <is>
          <t xml:space="preserve">SKU-A</t>
        </is>
      </c>
      <c r="D179" s="3" t="inlineStr">
        <is>
          <t xml:space="preserve">Renewal Serum</t>
        </is>
      </c>
      <c r="E179" s="6">
        <f>IF('Settings'!$B$11="Scenario",IFERROR(INDEX('Catalogue'!$E$3:$E$100,MATCH(C179,'Catalogue'!$B$3:$B$100,0)),F179),F179)</f>
        <v>69.9</v>
      </c>
      <c r="F179" s="8">
        <v>64</v>
      </c>
      <c r="G179" s="3">
        <v>1</v>
      </c>
      <c r="H179" s="6">
        <f>IF('Settings'!$B$11="Scenario",ROUND(E179*G179*IFERROR(SUMIF('Pricing &amp; promotions'!$A$6:$A$8,L179,'Pricing &amp; promotions'!$B$6:$B$8)/100,0),2),J179)</f>
        <v>6.99</v>
      </c>
      <c r="I179" s="6">
        <f>ROUND((E179*G179-H179)/IF(OR(K179=TRUE,K179="TRUE",K179="YES",K179=1),1+'Settings'!$B$6/100,1),2)</f>
        <v>51.99</v>
      </c>
      <c r="J179" s="8">
        <v>6.4</v>
      </c>
      <c r="K179" s="3" t="inlineStr">
        <is>
          <t xml:space="preserve">TRUE</t>
        </is>
      </c>
      <c r="L179" s="3" t="inlineStr">
        <is>
          <t xml:space="preserve">WELCOME10</t>
        </is>
      </c>
      <c r="M179" s="6">
        <f>ROUND(E179*G179-H179,2)</f>
        <v>62.91</v>
      </c>
      <c r="N179" s="5">
        <f>IF(COUNTIF($A$3:A179,A179)=1,1,0)</f>
        <v>0</v>
      </c>
      <c r="O179" s="6">
        <f>IF(N179=1,ROUND((SUMIFS($M$3:$M$1200,$A$3:$A$1200,A179)+'Settings'!$B$13)*'Settings'!$B$14/100+'Settings'!$B$15,2),0)</f>
        <v>0</v>
      </c>
    </row>
    <row r="180">
      <c r="A180" s="3" t="inlineStr">
        <is>
          <t xml:space="preserve">#1121</t>
        </is>
      </c>
      <c r="B180" s="3" t="inlineStr">
        <is>
          <t xml:space="preserve">2025-11-29</t>
        </is>
      </c>
      <c r="C180" s="3" t="inlineStr">
        <is>
          <t xml:space="preserve">SKU-F</t>
        </is>
      </c>
      <c r="D180" s="3" t="inlineStr">
        <is>
          <t xml:space="preserve">Cloud Cleanser</t>
        </is>
      </c>
      <c r="E180" s="6">
        <f>IF('Settings'!$B$11="Scenario",IFERROR(INDEX('Catalogue'!$E$3:$E$100,MATCH(C180,'Catalogue'!$B$3:$B$100,0)),F180),F180)</f>
        <v>34</v>
      </c>
      <c r="F180" s="8">
        <v>34</v>
      </c>
      <c r="G180" s="3">
        <v>1</v>
      </c>
      <c r="H180" s="6">
        <f>IF('Settings'!$B$11="Scenario",ROUND(E180*G180*IFERROR(SUMIF('Pricing &amp; promotions'!$A$6:$A$8,L180,'Pricing &amp; promotions'!$B$6:$B$8)/100,0),2),J180)</f>
        <v>3.4</v>
      </c>
      <c r="I180" s="6">
        <f>ROUND((E180*G180-H180)/IF(OR(K180=TRUE,K180="TRUE",K180="YES",K180=1),1+'Settings'!$B$6/100,1),2)</f>
        <v>25.29</v>
      </c>
      <c r="J180" s="8">
        <v>3.4</v>
      </c>
      <c r="K180" s="3" t="inlineStr">
        <is>
          <t xml:space="preserve">TRUE</t>
        </is>
      </c>
      <c r="L180" s="3" t="inlineStr">
        <is>
          <t xml:space="preserve">WELCOME10</t>
        </is>
      </c>
      <c r="M180" s="6">
        <f>ROUND(E180*G180-H180,2)</f>
        <v>30.6</v>
      </c>
      <c r="N180" s="5">
        <f>IF(COUNTIF($A$3:A180,A180)=1,1,0)</f>
        <v>0</v>
      </c>
      <c r="O180" s="6">
        <f>IF(N180=1,ROUND((SUMIFS($M$3:$M$1200,$A$3:$A$1200,A180)+'Settings'!$B$13)*'Settings'!$B$14/100+'Settings'!$B$15,2),0)</f>
        <v>0</v>
      </c>
    </row>
    <row r="181">
      <c r="A181" s="3" t="inlineStr">
        <is>
          <t xml:space="preserve">#1122</t>
        </is>
      </c>
      <c r="B181" s="3" t="inlineStr">
        <is>
          <t xml:space="preserve">2025-11-29</t>
        </is>
      </c>
      <c r="C181" s="3" t="inlineStr">
        <is>
          <t xml:space="preserve">SKU-A</t>
        </is>
      </c>
      <c r="D181" s="3" t="inlineStr">
        <is>
          <t xml:space="preserve">Renewal Serum</t>
        </is>
      </c>
      <c r="E181" s="6">
        <f>IF('Settings'!$B$11="Scenario",IFERROR(INDEX('Catalogue'!$E$3:$E$100,MATCH(C181,'Catalogue'!$B$3:$B$100,0)),F181),F181)</f>
        <v>69.9</v>
      </c>
      <c r="F181" s="8">
        <v>64</v>
      </c>
      <c r="G181" s="3">
        <v>1</v>
      </c>
      <c r="H181" s="6">
        <f>IF('Settings'!$B$11="Scenario",ROUND(E181*G181*IFERROR(SUMIF('Pricing &amp; promotions'!$A$6:$A$8,L181,'Pricing &amp; promotions'!$B$6:$B$8)/100,0),2),J181)</f>
        <v>0.0</v>
      </c>
      <c r="I181" s="6">
        <f>ROUND((E181*G181-H181)/IF(OR(K181=TRUE,K181="TRUE",K181="YES",K181=1),1+'Settings'!$B$6/100,1),2)</f>
        <v>57.77</v>
      </c>
      <c r="J181" s="8">
        <v>0.0</v>
      </c>
      <c r="K181" s="3" t="inlineStr">
        <is>
          <t xml:space="preserve">TRUE</t>
        </is>
      </c>
      <c r="L181" s="3"/>
      <c r="M181" s="6">
        <f>ROUND(E181*G181-H181,2)</f>
        <v>69.9</v>
      </c>
      <c r="N181" s="5">
        <f>IF(COUNTIF($A$3:A181,A181)=1,1,0)</f>
        <v>1</v>
      </c>
      <c r="O181" s="6">
        <f>IF(N181=1,ROUND((SUMIFS($M$3:$M$1200,$A$3:$A$1200,A181)+'Settings'!$B$13)*'Settings'!$B$14/100+'Settings'!$B$15,2),0)</f>
        <v>1.34</v>
      </c>
    </row>
    <row r="182">
      <c r="A182" s="3" t="inlineStr">
        <is>
          <t xml:space="preserve">#1123</t>
        </is>
      </c>
      <c r="B182" s="3" t="inlineStr">
        <is>
          <t xml:space="preserve">2025-11-30</t>
        </is>
      </c>
      <c r="C182" s="3" t="inlineStr">
        <is>
          <t xml:space="preserve">SKU-A</t>
        </is>
      </c>
      <c r="D182" s="3" t="inlineStr">
        <is>
          <t xml:space="preserve">Renewal Serum</t>
        </is>
      </c>
      <c r="E182" s="6">
        <f>IF('Settings'!$B$11="Scenario",IFERROR(INDEX('Catalogue'!$E$3:$E$100,MATCH(C182,'Catalogue'!$B$3:$B$100,0)),F182),F182)</f>
        <v>69.9</v>
      </c>
      <c r="F182" s="8">
        <v>64</v>
      </c>
      <c r="G182" s="3">
        <v>1</v>
      </c>
      <c r="H182" s="6">
        <f>IF('Settings'!$B$11="Scenario",ROUND(E182*G182*IFERROR(SUMIF('Pricing &amp; promotions'!$A$6:$A$8,L182,'Pricing &amp; promotions'!$B$6:$B$8)/100,0),2),J182)</f>
        <v>0.0</v>
      </c>
      <c r="I182" s="6">
        <f>ROUND((E182*G182-H182)/IF(OR(K182=TRUE,K182="TRUE",K182="YES",K182=1),1+'Settings'!$B$6/100,1),2)</f>
        <v>57.77</v>
      </c>
      <c r="J182" s="8">
        <v>0.0</v>
      </c>
      <c r="K182" s="3" t="inlineStr">
        <is>
          <t xml:space="preserve">TRUE</t>
        </is>
      </c>
      <c r="L182" s="3"/>
      <c r="M182" s="6">
        <f>ROUND(E182*G182-H182,2)</f>
        <v>69.9</v>
      </c>
      <c r="N182" s="5">
        <f>IF(COUNTIF($A$3:A182,A182)=1,1,0)</f>
        <v>1</v>
      </c>
      <c r="O182" s="6">
        <f>IF(N182=1,ROUND((SUMIFS($M$3:$M$1200,$A$3:$A$1200,A182)+'Settings'!$B$13)*'Settings'!$B$14/100+'Settings'!$B$15,2),0)</f>
        <v>2.38</v>
      </c>
    </row>
    <row r="183">
      <c r="A183" s="3" t="inlineStr">
        <is>
          <t xml:space="preserve">#1123</t>
        </is>
      </c>
      <c r="B183" s="3" t="inlineStr">
        <is>
          <t xml:space="preserve">2025-11-30</t>
        </is>
      </c>
      <c r="C183" s="3" t="inlineStr">
        <is>
          <t xml:space="preserve">SKU-G</t>
        </is>
      </c>
      <c r="D183" s="3" t="inlineStr">
        <is>
          <t xml:space="preserve">Daily Reset Set</t>
        </is>
      </c>
      <c r="E183" s="6">
        <f>IF('Settings'!$B$11="Scenario",IFERROR(INDEX('Catalogue'!$E$3:$E$100,MATCH(C183,'Catalogue'!$B$3:$B$100,0)),F183),F183)</f>
        <v>69</v>
      </c>
      <c r="F183" s="8">
        <v>69</v>
      </c>
      <c r="G183" s="3">
        <v>1</v>
      </c>
      <c r="H183" s="6">
        <f>IF('Settings'!$B$11="Scenario",ROUND(E183*G183*IFERROR(SUMIF('Pricing &amp; promotions'!$A$6:$A$8,L183,'Pricing &amp; promotions'!$B$6:$B$8)/100,0),2),J183)</f>
        <v>0.0</v>
      </c>
      <c r="I183" s="6">
        <f>ROUND((E183*G183-H183)/IF(OR(K183=TRUE,K183="TRUE",K183="YES",K183=1),1+'Settings'!$B$6/100,1),2)</f>
        <v>57.02</v>
      </c>
      <c r="J183" s="8">
        <v>0.0</v>
      </c>
      <c r="K183" s="3" t="inlineStr">
        <is>
          <t xml:space="preserve">TRUE</t>
        </is>
      </c>
      <c r="L183" s="3"/>
      <c r="M183" s="6">
        <f>ROUND(E183*G183-H183,2)</f>
        <v>69.0</v>
      </c>
      <c r="N183" s="5">
        <f>IF(COUNTIF($A$3:A183,A183)=1,1,0)</f>
        <v>0</v>
      </c>
      <c r="O183" s="6">
        <f>IF(N183=1,ROUND((SUMIFS($M$3:$M$1200,$A$3:$A$1200,A183)+'Settings'!$B$13)*'Settings'!$B$14/100+'Settings'!$B$15,2),0)</f>
        <v>0</v>
      </c>
    </row>
    <row r="184">
      <c r="A184" s="3" t="inlineStr">
        <is>
          <t xml:space="preserve">#1124</t>
        </is>
      </c>
      <c r="B184" s="3" t="inlineStr">
        <is>
          <t xml:space="preserve">2025-11-30</t>
        </is>
      </c>
      <c r="C184" s="3" t="inlineStr">
        <is>
          <t xml:space="preserve">SKU-A</t>
        </is>
      </c>
      <c r="D184" s="3" t="inlineStr">
        <is>
          <t xml:space="preserve">Renewal Serum</t>
        </is>
      </c>
      <c r="E184" s="6">
        <f>IF('Settings'!$B$11="Scenario",IFERROR(INDEX('Catalogue'!$E$3:$E$100,MATCH(C184,'Catalogue'!$B$3:$B$100,0)),F184),F184)</f>
        <v>69.9</v>
      </c>
      <c r="F184" s="8">
        <v>64</v>
      </c>
      <c r="G184" s="3">
        <v>1</v>
      </c>
      <c r="H184" s="6">
        <f>IF('Settings'!$B$11="Scenario",ROUND(E184*G184*IFERROR(SUMIF('Pricing &amp; promotions'!$A$6:$A$8,L184,'Pricing &amp; promotions'!$B$6:$B$8)/100,0),2),J184)</f>
        <v>0.0</v>
      </c>
      <c r="I184" s="6">
        <f>ROUND((E184*G184-H184)/IF(OR(K184=TRUE,K184="TRUE",K184="YES",K184=1),1+'Settings'!$B$6/100,1),2)</f>
        <v>57.77</v>
      </c>
      <c r="J184" s="8">
        <v>0.0</v>
      </c>
      <c r="K184" s="3" t="inlineStr">
        <is>
          <t xml:space="preserve">TRUE</t>
        </is>
      </c>
      <c r="L184" s="3"/>
      <c r="M184" s="6">
        <f>ROUND(E184*G184-H184,2)</f>
        <v>69.9</v>
      </c>
      <c r="N184" s="5">
        <f>IF(COUNTIF($A$3:A184,A184)=1,1,0)</f>
        <v>1</v>
      </c>
      <c r="O184" s="6">
        <f>IF(N184=1,ROUND((SUMIFS($M$3:$M$1200,$A$3:$A$1200,A184)+'Settings'!$B$13)*'Settings'!$B$14/100+'Settings'!$B$15,2),0)</f>
        <v>1.34</v>
      </c>
    </row>
    <row r="185">
      <c r="A185" s="3" t="inlineStr">
        <is>
          <t xml:space="preserve">#1125</t>
        </is>
      </c>
      <c r="B185" s="3" t="inlineStr">
        <is>
          <t xml:space="preserve">2025-11-30</t>
        </is>
      </c>
      <c r="C185" s="3" t="inlineStr">
        <is>
          <t xml:space="preserve">SKU-B</t>
        </is>
      </c>
      <c r="D185" s="3" t="inlineStr">
        <is>
          <t xml:space="preserve">Barrier Balm</t>
        </is>
      </c>
      <c r="E185" s="6">
        <f>IF('Settings'!$B$11="Scenario",IFERROR(INDEX('Catalogue'!$E$3:$E$100,MATCH(C185,'Catalogue'!$B$3:$B$100,0)),F185),F185)</f>
        <v>19</v>
      </c>
      <c r="F185" s="8">
        <v>18</v>
      </c>
      <c r="G185" s="3">
        <v>1</v>
      </c>
      <c r="H185" s="6">
        <f>IF('Settings'!$B$11="Scenario",ROUND(E185*G185*IFERROR(SUMIF('Pricing &amp; promotions'!$A$6:$A$8,L185,'Pricing &amp; promotions'!$B$6:$B$8)/100,0),2),J185)</f>
        <v>0.0</v>
      </c>
      <c r="I185" s="6">
        <f>ROUND((E185*G185-H185)/IF(OR(K185=TRUE,K185="TRUE",K185="YES",K185=1),1+'Settings'!$B$6/100,1),2)</f>
        <v>15.7</v>
      </c>
      <c r="J185" s="8">
        <v>0.0</v>
      </c>
      <c r="K185" s="3" t="inlineStr">
        <is>
          <t xml:space="preserve">TRUE</t>
        </is>
      </c>
      <c r="L185" s="3"/>
      <c r="M185" s="6">
        <f>ROUND(E185*G185-H185,2)</f>
        <v>19.0</v>
      </c>
      <c r="N185" s="5">
        <f>IF(COUNTIF($A$3:A185,A185)=1,1,0)</f>
        <v>1</v>
      </c>
      <c r="O185" s="6">
        <f>IF(N185=1,ROUND((SUMIFS($M$3:$M$1200,$A$3:$A$1200,A185)+'Settings'!$B$13)*'Settings'!$B$14/100+'Settings'!$B$15,2),0)</f>
        <v>0.58</v>
      </c>
    </row>
    <row r="186">
      <c r="A186" s="3" t="inlineStr">
        <is>
          <t xml:space="preserve">#1126</t>
        </is>
      </c>
      <c r="B186" s="3" t="inlineStr">
        <is>
          <t xml:space="preserve">2025-12-01</t>
        </is>
      </c>
      <c r="C186" s="3" t="inlineStr">
        <is>
          <t xml:space="preserve">SKU-E</t>
        </is>
      </c>
      <c r="D186" s="3" t="inlineStr">
        <is>
          <t xml:space="preserve">Complete Ritual</t>
        </is>
      </c>
      <c r="E186" s="6">
        <f>IF('Settings'!$B$11="Scenario",IFERROR(INDEX('Catalogue'!$E$3:$E$100,MATCH(C186,'Catalogue'!$B$3:$B$100,0)),F186),F186)</f>
        <v>89</v>
      </c>
      <c r="F186" s="8">
        <v>89</v>
      </c>
      <c r="G186" s="3">
        <v>1</v>
      </c>
      <c r="H186" s="6">
        <f>IF('Settings'!$B$11="Scenario",ROUND(E186*G186*IFERROR(SUMIF('Pricing &amp; promotions'!$A$6:$A$8,L186,'Pricing &amp; promotions'!$B$6:$B$8)/100,0),2),J186)</f>
        <v>0.0</v>
      </c>
      <c r="I186" s="6">
        <f>ROUND((E186*G186-H186)/IF(OR(K186=TRUE,K186="TRUE",K186="YES",K186=1),1+'Settings'!$B$6/100,1),2)</f>
        <v>73.55</v>
      </c>
      <c r="J186" s="8">
        <v>0.0</v>
      </c>
      <c r="K186" s="3" t="inlineStr">
        <is>
          <t xml:space="preserve">TRUE</t>
        </is>
      </c>
      <c r="L186" s="3"/>
      <c r="M186" s="6">
        <f>ROUND(E186*G186-H186,2)</f>
        <v>89.0</v>
      </c>
      <c r="N186" s="5">
        <f>IF(COUNTIF($A$3:A186,A186)=1,1,0)</f>
        <v>1</v>
      </c>
      <c r="O186" s="6">
        <f>IF(N186=1,ROUND((SUMIFS($M$3:$M$1200,$A$3:$A$1200,A186)+'Settings'!$B$13)*'Settings'!$B$14/100+'Settings'!$B$15,2),0)</f>
        <v>1.63</v>
      </c>
    </row>
    <row r="187">
      <c r="A187" s="3" t="inlineStr">
        <is>
          <t xml:space="preserve">#1127</t>
        </is>
      </c>
      <c r="B187" s="3" t="inlineStr">
        <is>
          <t xml:space="preserve">2025-12-01</t>
        </is>
      </c>
      <c r="C187" s="3" t="inlineStr">
        <is>
          <t xml:space="preserve">SKU-A</t>
        </is>
      </c>
      <c r="D187" s="3" t="inlineStr">
        <is>
          <t xml:space="preserve">Renewal Serum</t>
        </is>
      </c>
      <c r="E187" s="6">
        <f>IF('Settings'!$B$11="Scenario",IFERROR(INDEX('Catalogue'!$E$3:$E$100,MATCH(C187,'Catalogue'!$B$3:$B$100,0)),F187),F187)</f>
        <v>69.9</v>
      </c>
      <c r="F187" s="8">
        <v>64</v>
      </c>
      <c r="G187" s="3">
        <v>1</v>
      </c>
      <c r="H187" s="6">
        <f>IF('Settings'!$B$11="Scenario",ROUND(E187*G187*IFERROR(SUMIF('Pricing &amp; promotions'!$A$6:$A$8,L187,'Pricing &amp; promotions'!$B$6:$B$8)/100,0),2),J187)</f>
        <v>0.0</v>
      </c>
      <c r="I187" s="6">
        <f>ROUND((E187*G187-H187)/IF(OR(K187=TRUE,K187="TRUE",K187="YES",K187=1),1+'Settings'!$B$6/100,1),2)</f>
        <v>57.77</v>
      </c>
      <c r="J187" s="8">
        <v>0.0</v>
      </c>
      <c r="K187" s="3" t="inlineStr">
        <is>
          <t xml:space="preserve">TRUE</t>
        </is>
      </c>
      <c r="L187" s="3"/>
      <c r="M187" s="6">
        <f>ROUND(E187*G187-H187,2)</f>
        <v>69.9</v>
      </c>
      <c r="N187" s="5">
        <f>IF(COUNTIF($A$3:A187,A187)=1,1,0)</f>
        <v>1</v>
      </c>
      <c r="O187" s="6">
        <f>IF(N187=1,ROUND((SUMIFS($M$3:$M$1200,$A$3:$A$1200,A187)+'Settings'!$B$13)*'Settings'!$B$14/100+'Settings'!$B$15,2),0)</f>
        <v>1.34</v>
      </c>
    </row>
    <row r="188">
      <c r="A188" s="3" t="inlineStr">
        <is>
          <t xml:space="preserve">#1128</t>
        </is>
      </c>
      <c r="B188" s="3" t="inlineStr">
        <is>
          <t xml:space="preserve">2025-12-01</t>
        </is>
      </c>
      <c r="C188" s="3" t="inlineStr">
        <is>
          <t xml:space="preserve">SKU-E</t>
        </is>
      </c>
      <c r="D188" s="3" t="inlineStr">
        <is>
          <t xml:space="preserve">Complete Ritual</t>
        </is>
      </c>
      <c r="E188" s="6">
        <f>IF('Settings'!$B$11="Scenario",IFERROR(INDEX('Catalogue'!$E$3:$E$100,MATCH(C188,'Catalogue'!$B$3:$B$100,0)),F188),F188)</f>
        <v>89</v>
      </c>
      <c r="F188" s="8">
        <v>89</v>
      </c>
      <c r="G188" s="3">
        <v>1</v>
      </c>
      <c r="H188" s="6">
        <f>IF('Settings'!$B$11="Scenario",ROUND(E188*G188*IFERROR(SUMIF('Pricing &amp; promotions'!$A$6:$A$8,L188,'Pricing &amp; promotions'!$B$6:$B$8)/100,0),2),J188)</f>
        <v>0.0</v>
      </c>
      <c r="I188" s="6">
        <f>ROUND((E188*G188-H188)/IF(OR(K188=TRUE,K188="TRUE",K188="YES",K188=1),1+'Settings'!$B$6/100,1),2)</f>
        <v>73.55</v>
      </c>
      <c r="J188" s="8">
        <v>0.0</v>
      </c>
      <c r="K188" s="3" t="inlineStr">
        <is>
          <t xml:space="preserve">TRUE</t>
        </is>
      </c>
      <c r="L188" s="3"/>
      <c r="M188" s="6">
        <f>ROUND(E188*G188-H188,2)</f>
        <v>89.0</v>
      </c>
      <c r="N188" s="5">
        <f>IF(COUNTIF($A$3:A188,A188)=1,1,0)</f>
        <v>1</v>
      </c>
      <c r="O188" s="6">
        <f>IF(N188=1,ROUND((SUMIFS($M$3:$M$1200,$A$3:$A$1200,A188)+'Settings'!$B$13)*'Settings'!$B$14/100+'Settings'!$B$15,2),0)</f>
        <v>1.63</v>
      </c>
    </row>
    <row r="189">
      <c r="A189" s="3" t="inlineStr">
        <is>
          <t xml:space="preserve">#1129</t>
        </is>
      </c>
      <c r="B189" s="3" t="inlineStr">
        <is>
          <t xml:space="preserve">2025-12-01</t>
        </is>
      </c>
      <c r="C189" s="3" t="inlineStr">
        <is>
          <t xml:space="preserve">SKU-A</t>
        </is>
      </c>
      <c r="D189" s="3" t="inlineStr">
        <is>
          <t xml:space="preserve">Renewal Serum</t>
        </is>
      </c>
      <c r="E189" s="6">
        <f>IF('Settings'!$B$11="Scenario",IFERROR(INDEX('Catalogue'!$E$3:$E$100,MATCH(C189,'Catalogue'!$B$3:$B$100,0)),F189),F189)</f>
        <v>69.9</v>
      </c>
      <c r="F189" s="8">
        <v>64</v>
      </c>
      <c r="G189" s="3">
        <v>1</v>
      </c>
      <c r="H189" s="6">
        <f>IF('Settings'!$B$11="Scenario",ROUND(E189*G189*IFERROR(SUMIF('Pricing &amp; promotions'!$A$6:$A$8,L189,'Pricing &amp; promotions'!$B$6:$B$8)/100,0),2),J189)</f>
        <v>10.49</v>
      </c>
      <c r="I189" s="6">
        <f>ROUND((E189*G189-H189)/IF(OR(K189=TRUE,K189="TRUE",K189="YES",K189=1),1+'Settings'!$B$6/100,1),2)</f>
        <v>49.1</v>
      </c>
      <c r="J189" s="8">
        <v>9.6</v>
      </c>
      <c r="K189" s="3" t="inlineStr">
        <is>
          <t xml:space="preserve">TRUE</t>
        </is>
      </c>
      <c r="L189" s="3" t="inlineStr">
        <is>
          <t xml:space="preserve">SUMMER15</t>
        </is>
      </c>
      <c r="M189" s="6">
        <f>ROUND(E189*G189-H189,2)</f>
        <v>59.41</v>
      </c>
      <c r="N189" s="5">
        <f>IF(COUNTIF($A$3:A189,A189)=1,1,0)</f>
        <v>1</v>
      </c>
      <c r="O189" s="6">
        <f>IF(N189=1,ROUND((SUMIFS($M$3:$M$1200,$A$3:$A$1200,A189)+'Settings'!$B$13)*'Settings'!$B$14/100+'Settings'!$B$15,2),0)</f>
        <v>2.19</v>
      </c>
    </row>
    <row r="190">
      <c r="A190" s="3" t="inlineStr">
        <is>
          <t xml:space="preserve">#1129</t>
        </is>
      </c>
      <c r="B190" s="3" t="inlineStr">
        <is>
          <t xml:space="preserve">2025-12-01</t>
        </is>
      </c>
      <c r="C190" s="3" t="inlineStr">
        <is>
          <t xml:space="preserve">SKU-D</t>
        </is>
      </c>
      <c r="D190" s="3" t="inlineStr">
        <is>
          <t xml:space="preserve">Daily Duo</t>
        </is>
      </c>
      <c r="E190" s="6">
        <f>IF('Settings'!$B$11="Scenario",IFERROR(INDEX('Catalogue'!$E$3:$E$100,MATCH(C190,'Catalogue'!$B$3:$B$100,0)),F190),F190)</f>
        <v>79</v>
      </c>
      <c r="F190" s="8">
        <v>79</v>
      </c>
      <c r="G190" s="3">
        <v>1</v>
      </c>
      <c r="H190" s="6">
        <f>IF('Settings'!$B$11="Scenario",ROUND(E190*G190*IFERROR(SUMIF('Pricing &amp; promotions'!$A$6:$A$8,L190,'Pricing &amp; promotions'!$B$6:$B$8)/100,0),2),J190)</f>
        <v>11.85</v>
      </c>
      <c r="I190" s="6">
        <f>ROUND((E190*G190-H190)/IF(OR(K190=TRUE,K190="TRUE",K190="YES",K190=1),1+'Settings'!$B$6/100,1),2)</f>
        <v>55.5</v>
      </c>
      <c r="J190" s="8">
        <v>11.85</v>
      </c>
      <c r="K190" s="3" t="inlineStr">
        <is>
          <t xml:space="preserve">TRUE</t>
        </is>
      </c>
      <c r="L190" s="3" t="inlineStr">
        <is>
          <t xml:space="preserve">SUMMER15</t>
        </is>
      </c>
      <c r="M190" s="6">
        <f>ROUND(E190*G190-H190,2)</f>
        <v>67.15</v>
      </c>
      <c r="N190" s="5">
        <f>IF(COUNTIF($A$3:A190,A190)=1,1,0)</f>
        <v>0</v>
      </c>
      <c r="O190" s="6">
        <f>IF(N190=1,ROUND((SUMIFS($M$3:$M$1200,$A$3:$A$1200,A190)+'Settings'!$B$13)*'Settings'!$B$14/100+'Settings'!$B$15,2),0)</f>
        <v>0</v>
      </c>
    </row>
    <row r="191">
      <c r="A191" s="3" t="inlineStr">
        <is>
          <t xml:space="preserve">#1130</t>
        </is>
      </c>
      <c r="B191" s="3" t="inlineStr">
        <is>
          <t xml:space="preserve">2025-12-01</t>
        </is>
      </c>
      <c r="C191" s="3" t="inlineStr">
        <is>
          <t xml:space="preserve">SKU-A</t>
        </is>
      </c>
      <c r="D191" s="3" t="inlineStr">
        <is>
          <t xml:space="preserve">Renewal Serum</t>
        </is>
      </c>
      <c r="E191" s="6">
        <f>IF('Settings'!$B$11="Scenario",IFERROR(INDEX('Catalogue'!$E$3:$E$100,MATCH(C191,'Catalogue'!$B$3:$B$100,0)),F191),F191)</f>
        <v>69.9</v>
      </c>
      <c r="F191" s="8">
        <v>64</v>
      </c>
      <c r="G191" s="3">
        <v>2</v>
      </c>
      <c r="H191" s="6">
        <f>IF('Settings'!$B$11="Scenario",ROUND(E191*G191*IFERROR(SUMIF('Pricing &amp; promotions'!$A$6:$A$8,L191,'Pricing &amp; promotions'!$B$6:$B$8)/100,0),2),J191)</f>
        <v>13.98</v>
      </c>
      <c r="I191" s="6">
        <f>ROUND((E191*G191-H191)/IF(OR(K191=TRUE,K191="TRUE",K191="YES",K191=1),1+'Settings'!$B$6/100,1),2)</f>
        <v>103.98</v>
      </c>
      <c r="J191" s="8">
        <v>12.8</v>
      </c>
      <c r="K191" s="3" t="inlineStr">
        <is>
          <t xml:space="preserve">TRUE</t>
        </is>
      </c>
      <c r="L191" s="3" t="inlineStr">
        <is>
          <t xml:space="preserve">WELCOME10</t>
        </is>
      </c>
      <c r="M191" s="6">
        <f>ROUND(E191*G191-H191,2)</f>
        <v>125.82</v>
      </c>
      <c r="N191" s="5">
        <f>IF(COUNTIF($A$3:A191,A191)=1,1,0)</f>
        <v>1</v>
      </c>
      <c r="O191" s="6">
        <f>IF(N191=1,ROUND((SUMIFS($M$3:$M$1200,$A$3:$A$1200,A191)+'Settings'!$B$13)*'Settings'!$B$14/100+'Settings'!$B$15,2),0)</f>
        <v>2.18</v>
      </c>
    </row>
    <row r="192">
      <c r="A192" s="3" t="inlineStr">
        <is>
          <t xml:space="preserve">#1131</t>
        </is>
      </c>
      <c r="B192" s="3" t="inlineStr">
        <is>
          <t xml:space="preserve">2025-12-02</t>
        </is>
      </c>
      <c r="C192" s="3" t="inlineStr">
        <is>
          <t xml:space="preserve">SKU-E</t>
        </is>
      </c>
      <c r="D192" s="3" t="inlineStr">
        <is>
          <t xml:space="preserve">Complete Ritual</t>
        </is>
      </c>
      <c r="E192" s="6">
        <f>IF('Settings'!$B$11="Scenario",IFERROR(INDEX('Catalogue'!$E$3:$E$100,MATCH(C192,'Catalogue'!$B$3:$B$100,0)),F192),F192)</f>
        <v>89</v>
      </c>
      <c r="F192" s="8">
        <v>89</v>
      </c>
      <c r="G192" s="3">
        <v>1</v>
      </c>
      <c r="H192" s="6">
        <f>IF('Settings'!$B$11="Scenario",ROUND(E192*G192*IFERROR(SUMIF('Pricing &amp; promotions'!$A$6:$A$8,L192,'Pricing &amp; promotions'!$B$6:$B$8)/100,0),2),J192)</f>
        <v>0.0</v>
      </c>
      <c r="I192" s="6">
        <f>ROUND((E192*G192-H192)/IF(OR(K192=TRUE,K192="TRUE",K192="YES",K192=1),1+'Settings'!$B$6/100,1),2)</f>
        <v>73.55</v>
      </c>
      <c r="J192" s="8">
        <v>0.0</v>
      </c>
      <c r="K192" s="3" t="inlineStr">
        <is>
          <t xml:space="preserve">TRUE</t>
        </is>
      </c>
      <c r="L192" s="3"/>
      <c r="M192" s="6">
        <f>ROUND(E192*G192-H192,2)</f>
        <v>89.0</v>
      </c>
      <c r="N192" s="5">
        <f>IF(COUNTIF($A$3:A192,A192)=1,1,0)</f>
        <v>1</v>
      </c>
      <c r="O192" s="6">
        <f>IF(N192=1,ROUND((SUMIFS($M$3:$M$1200,$A$3:$A$1200,A192)+'Settings'!$B$13)*'Settings'!$B$14/100+'Settings'!$B$15,2),0)</f>
        <v>1.63</v>
      </c>
    </row>
    <row r="193">
      <c r="A193" s="3" t="inlineStr">
        <is>
          <t xml:space="preserve">#1132</t>
        </is>
      </c>
      <c r="B193" s="3" t="inlineStr">
        <is>
          <t xml:space="preserve">2025-12-03</t>
        </is>
      </c>
      <c r="C193" s="3" t="inlineStr">
        <is>
          <t xml:space="preserve">SKU-B</t>
        </is>
      </c>
      <c r="D193" s="3" t="inlineStr">
        <is>
          <t xml:space="preserve">Barrier Balm</t>
        </is>
      </c>
      <c r="E193" s="6">
        <f>IF('Settings'!$B$11="Scenario",IFERROR(INDEX('Catalogue'!$E$3:$E$100,MATCH(C193,'Catalogue'!$B$3:$B$100,0)),F193),F193)</f>
        <v>19</v>
      </c>
      <c r="F193" s="8">
        <v>18</v>
      </c>
      <c r="G193" s="3">
        <v>1</v>
      </c>
      <c r="H193" s="6">
        <f>IF('Settings'!$B$11="Scenario",ROUND(E193*G193*IFERROR(SUMIF('Pricing &amp; promotions'!$A$6:$A$8,L193,'Pricing &amp; promotions'!$B$6:$B$8)/100,0),2),J193)</f>
        <v>2.85</v>
      </c>
      <c r="I193" s="6">
        <f>ROUND((E193*G193-H193)/IF(OR(K193=TRUE,K193="TRUE",K193="YES",K193=1),1+'Settings'!$B$6/100,1),2)</f>
        <v>13.35</v>
      </c>
      <c r="J193" s="8">
        <v>2.7</v>
      </c>
      <c r="K193" s="3" t="inlineStr">
        <is>
          <t xml:space="preserve">TRUE</t>
        </is>
      </c>
      <c r="L193" s="3" t="inlineStr">
        <is>
          <t xml:space="preserve">SUMMER15</t>
        </is>
      </c>
      <c r="M193" s="6">
        <f>ROUND(E193*G193-H193,2)</f>
        <v>16.15</v>
      </c>
      <c r="N193" s="5">
        <f>IF(COUNTIF($A$3:A193,A193)=1,1,0)</f>
        <v>1</v>
      </c>
      <c r="O193" s="6">
        <f>IF(N193=1,ROUND((SUMIFS($M$3:$M$1200,$A$3:$A$1200,A193)+'Settings'!$B$13)*'Settings'!$B$14/100+'Settings'!$B$15,2),0)</f>
        <v>1.43</v>
      </c>
    </row>
    <row r="194">
      <c r="A194" s="3" t="inlineStr">
        <is>
          <t xml:space="preserve">#1132</t>
        </is>
      </c>
      <c r="B194" s="3" t="inlineStr">
        <is>
          <t xml:space="preserve">2025-12-03</t>
        </is>
      </c>
      <c r="C194" s="3" t="inlineStr">
        <is>
          <t xml:space="preserve">SKU-A</t>
        </is>
      </c>
      <c r="D194" s="3" t="inlineStr">
        <is>
          <t xml:space="preserve">Renewal Serum</t>
        </is>
      </c>
      <c r="E194" s="6">
        <f>IF('Settings'!$B$11="Scenario",IFERROR(INDEX('Catalogue'!$E$3:$E$100,MATCH(C194,'Catalogue'!$B$3:$B$100,0)),F194),F194)</f>
        <v>69.9</v>
      </c>
      <c r="F194" s="8">
        <v>64</v>
      </c>
      <c r="G194" s="3">
        <v>1</v>
      </c>
      <c r="H194" s="6">
        <f>IF('Settings'!$B$11="Scenario",ROUND(E194*G194*IFERROR(SUMIF('Pricing &amp; promotions'!$A$6:$A$8,L194,'Pricing &amp; promotions'!$B$6:$B$8)/100,0),2),J194)</f>
        <v>10.49</v>
      </c>
      <c r="I194" s="6">
        <f>ROUND((E194*G194-H194)/IF(OR(K194=TRUE,K194="TRUE",K194="YES",K194=1),1+'Settings'!$B$6/100,1),2)</f>
        <v>49.1</v>
      </c>
      <c r="J194" s="8">
        <v>9.6</v>
      </c>
      <c r="K194" s="3" t="inlineStr">
        <is>
          <t xml:space="preserve">TRUE</t>
        </is>
      </c>
      <c r="L194" s="3" t="inlineStr">
        <is>
          <t xml:space="preserve">SUMMER15</t>
        </is>
      </c>
      <c r="M194" s="6">
        <f>ROUND(E194*G194-H194,2)</f>
        <v>59.41</v>
      </c>
      <c r="N194" s="5">
        <f>IF(COUNTIF($A$3:A194,A194)=1,1,0)</f>
        <v>0</v>
      </c>
      <c r="O194" s="6">
        <f>IF(N194=1,ROUND((SUMIFS($M$3:$M$1200,$A$3:$A$1200,A194)+'Settings'!$B$13)*'Settings'!$B$14/100+'Settings'!$B$15,2),0)</f>
        <v>0</v>
      </c>
    </row>
    <row r="195">
      <c r="A195" s="3" t="inlineStr">
        <is>
          <t xml:space="preserve">#1133</t>
        </is>
      </c>
      <c r="B195" s="3" t="inlineStr">
        <is>
          <t xml:space="preserve">2025-12-03</t>
        </is>
      </c>
      <c r="C195" s="3" t="inlineStr">
        <is>
          <t xml:space="preserve">SKU-F</t>
        </is>
      </c>
      <c r="D195" s="3" t="inlineStr">
        <is>
          <t xml:space="preserve">Cloud Cleanser</t>
        </is>
      </c>
      <c r="E195" s="6">
        <f>IF('Settings'!$B$11="Scenario",IFERROR(INDEX('Catalogue'!$E$3:$E$100,MATCH(C195,'Catalogue'!$B$3:$B$100,0)),F195),F195)</f>
        <v>34</v>
      </c>
      <c r="F195" s="8">
        <v>34</v>
      </c>
      <c r="G195" s="3">
        <v>1</v>
      </c>
      <c r="H195" s="6">
        <f>IF('Settings'!$B$11="Scenario",ROUND(E195*G195*IFERROR(SUMIF('Pricing &amp; promotions'!$A$6:$A$8,L195,'Pricing &amp; promotions'!$B$6:$B$8)/100,0),2),J195)</f>
        <v>0.0</v>
      </c>
      <c r="I195" s="6">
        <f>ROUND((E195*G195-H195)/IF(OR(K195=TRUE,K195="TRUE",K195="YES",K195=1),1+'Settings'!$B$6/100,1),2)</f>
        <v>28.1</v>
      </c>
      <c r="J195" s="8">
        <v>0.0</v>
      </c>
      <c r="K195" s="3" t="inlineStr">
        <is>
          <t xml:space="preserve">TRUE</t>
        </is>
      </c>
      <c r="L195" s="3"/>
      <c r="M195" s="6">
        <f>ROUND(E195*G195-H195,2)</f>
        <v>34.0</v>
      </c>
      <c r="N195" s="5">
        <f>IF(COUNTIF($A$3:A195,A195)=1,1,0)</f>
        <v>1</v>
      </c>
      <c r="O195" s="6">
        <f>IF(N195=1,ROUND((SUMIFS($M$3:$M$1200,$A$3:$A$1200,A195)+'Settings'!$B$13)*'Settings'!$B$14/100+'Settings'!$B$15,2),0)</f>
        <v>0.8</v>
      </c>
    </row>
    <row r="196">
      <c r="A196" s="3" t="inlineStr">
        <is>
          <t xml:space="preserve">#1134</t>
        </is>
      </c>
      <c r="B196" s="3" t="inlineStr">
        <is>
          <t xml:space="preserve">2025-12-04</t>
        </is>
      </c>
      <c r="C196" s="3" t="inlineStr">
        <is>
          <t xml:space="preserve">SKU-G</t>
        </is>
      </c>
      <c r="D196" s="3" t="inlineStr">
        <is>
          <t xml:space="preserve">Daily Reset Set</t>
        </is>
      </c>
      <c r="E196" s="6">
        <f>IF('Settings'!$B$11="Scenario",IFERROR(INDEX('Catalogue'!$E$3:$E$100,MATCH(C196,'Catalogue'!$B$3:$B$100,0)),F196),F196)</f>
        <v>69</v>
      </c>
      <c r="F196" s="8">
        <v>69</v>
      </c>
      <c r="G196" s="3">
        <v>1</v>
      </c>
      <c r="H196" s="6">
        <f>IF('Settings'!$B$11="Scenario",ROUND(E196*G196*IFERROR(SUMIF('Pricing &amp; promotions'!$A$6:$A$8,L196,'Pricing &amp; promotions'!$B$6:$B$8)/100,0),2),J196)</f>
        <v>13.8</v>
      </c>
      <c r="I196" s="6">
        <f>ROUND((E196*G196-H196)/IF(OR(K196=TRUE,K196="TRUE",K196="YES",K196=1),1+'Settings'!$B$6/100,1),2)</f>
        <v>45.62</v>
      </c>
      <c r="J196" s="8">
        <v>13.8</v>
      </c>
      <c r="K196" s="3" t="inlineStr">
        <is>
          <t xml:space="preserve">TRUE</t>
        </is>
      </c>
      <c r="L196" s="3" t="inlineStr">
        <is>
          <t xml:space="preserve">VIP20</t>
        </is>
      </c>
      <c r="M196" s="6">
        <f>ROUND(E196*G196-H196,2)</f>
        <v>55.2</v>
      </c>
      <c r="N196" s="5">
        <f>IF(COUNTIF($A$3:A196,A196)=1,1,0)</f>
        <v>1</v>
      </c>
      <c r="O196" s="6">
        <f>IF(N196=1,ROUND((SUMIFS($M$3:$M$1200,$A$3:$A$1200,A196)+'Settings'!$B$13)*'Settings'!$B$14/100+'Settings'!$B$15,2),0)</f>
        <v>1.12</v>
      </c>
    </row>
    <row r="197">
      <c r="A197" s="3" t="inlineStr">
        <is>
          <t xml:space="preserve">#1135</t>
        </is>
      </c>
      <c r="B197" s="3" t="inlineStr">
        <is>
          <t xml:space="preserve">2025-12-04</t>
        </is>
      </c>
      <c r="C197" s="3" t="inlineStr">
        <is>
          <t xml:space="preserve">SKU-E</t>
        </is>
      </c>
      <c r="D197" s="3" t="inlineStr">
        <is>
          <t xml:space="preserve">Complete Ritual</t>
        </is>
      </c>
      <c r="E197" s="6">
        <f>IF('Settings'!$B$11="Scenario",IFERROR(INDEX('Catalogue'!$E$3:$E$100,MATCH(C197,'Catalogue'!$B$3:$B$100,0)),F197),F197)</f>
        <v>89</v>
      </c>
      <c r="F197" s="8">
        <v>89</v>
      </c>
      <c r="G197" s="3">
        <v>1</v>
      </c>
      <c r="H197" s="6">
        <f>IF('Settings'!$B$11="Scenario",ROUND(E197*G197*IFERROR(SUMIF('Pricing &amp; promotions'!$A$6:$A$8,L197,'Pricing &amp; promotions'!$B$6:$B$8)/100,0),2),J197)</f>
        <v>0.0</v>
      </c>
      <c r="I197" s="6">
        <f>ROUND((E197*G197-H197)/IF(OR(K197=TRUE,K197="TRUE",K197="YES",K197=1),1+'Settings'!$B$6/100,1),2)</f>
        <v>73.55</v>
      </c>
      <c r="J197" s="8">
        <v>0.0</v>
      </c>
      <c r="K197" s="3" t="inlineStr">
        <is>
          <t xml:space="preserve">TRUE</t>
        </is>
      </c>
      <c r="L197" s="3"/>
      <c r="M197" s="6">
        <f>ROUND(E197*G197-H197,2)</f>
        <v>89.0</v>
      </c>
      <c r="N197" s="5">
        <f>IF(COUNTIF($A$3:A197,A197)=1,1,0)</f>
        <v>1</v>
      </c>
      <c r="O197" s="6">
        <f>IF(N197=1,ROUND((SUMIFS($M$3:$M$1200,$A$3:$A$1200,A197)+'Settings'!$B$13)*'Settings'!$B$14/100+'Settings'!$B$15,2),0)</f>
        <v>2.68</v>
      </c>
    </row>
    <row r="198">
      <c r="A198" s="3" t="inlineStr">
        <is>
          <t xml:space="preserve">#1135</t>
        </is>
      </c>
      <c r="B198" s="3" t="inlineStr">
        <is>
          <t xml:space="preserve">2025-12-04</t>
        </is>
      </c>
      <c r="C198" s="3" t="inlineStr">
        <is>
          <t xml:space="preserve">SKU-A</t>
        </is>
      </c>
      <c r="D198" s="3" t="inlineStr">
        <is>
          <t xml:space="preserve">Renewal Serum</t>
        </is>
      </c>
      <c r="E198" s="6">
        <f>IF('Settings'!$B$11="Scenario",IFERROR(INDEX('Catalogue'!$E$3:$E$100,MATCH(C198,'Catalogue'!$B$3:$B$100,0)),F198),F198)</f>
        <v>69.9</v>
      </c>
      <c r="F198" s="8">
        <v>64</v>
      </c>
      <c r="G198" s="3">
        <v>1</v>
      </c>
      <c r="H198" s="6">
        <f>IF('Settings'!$B$11="Scenario",ROUND(E198*G198*IFERROR(SUMIF('Pricing &amp; promotions'!$A$6:$A$8,L198,'Pricing &amp; promotions'!$B$6:$B$8)/100,0),2),J198)</f>
        <v>0.0</v>
      </c>
      <c r="I198" s="6">
        <f>ROUND((E198*G198-H198)/IF(OR(K198=TRUE,K198="TRUE",K198="YES",K198=1),1+'Settings'!$B$6/100,1),2)</f>
        <v>57.77</v>
      </c>
      <c r="J198" s="8">
        <v>0.0</v>
      </c>
      <c r="K198" s="3" t="inlineStr">
        <is>
          <t xml:space="preserve">TRUE</t>
        </is>
      </c>
      <c r="L198" s="3"/>
      <c r="M198" s="6">
        <f>ROUND(E198*G198-H198,2)</f>
        <v>69.9</v>
      </c>
      <c r="N198" s="5">
        <f>IF(COUNTIF($A$3:A198,A198)=1,1,0)</f>
        <v>0</v>
      </c>
      <c r="O198" s="6">
        <f>IF(N198=1,ROUND((SUMIFS($M$3:$M$1200,$A$3:$A$1200,A198)+'Settings'!$B$13)*'Settings'!$B$14/100+'Settings'!$B$15,2),0)</f>
        <v>0</v>
      </c>
    </row>
    <row r="199">
      <c r="A199" s="3" t="inlineStr">
        <is>
          <t xml:space="preserve">#1136</t>
        </is>
      </c>
      <c r="B199" s="3" t="inlineStr">
        <is>
          <t xml:space="preserve">2025-12-04</t>
        </is>
      </c>
      <c r="C199" s="3" t="inlineStr">
        <is>
          <t xml:space="preserve">SKU-A</t>
        </is>
      </c>
      <c r="D199" s="3" t="inlineStr">
        <is>
          <t xml:space="preserve">Renewal Serum</t>
        </is>
      </c>
      <c r="E199" s="6">
        <f>IF('Settings'!$B$11="Scenario",IFERROR(INDEX('Catalogue'!$E$3:$E$100,MATCH(C199,'Catalogue'!$B$3:$B$100,0)),F199),F199)</f>
        <v>69.9</v>
      </c>
      <c r="F199" s="8">
        <v>64</v>
      </c>
      <c r="G199" s="3">
        <v>1</v>
      </c>
      <c r="H199" s="6">
        <f>IF('Settings'!$B$11="Scenario",ROUND(E199*G199*IFERROR(SUMIF('Pricing &amp; promotions'!$A$6:$A$8,L199,'Pricing &amp; promotions'!$B$6:$B$8)/100,0),2),J199)</f>
        <v>0.0</v>
      </c>
      <c r="I199" s="6">
        <f>ROUND((E199*G199-H199)/IF(OR(K199=TRUE,K199="TRUE",K199="YES",K199=1),1+'Settings'!$B$6/100,1),2)</f>
        <v>57.77</v>
      </c>
      <c r="J199" s="8">
        <v>0.0</v>
      </c>
      <c r="K199" s="3" t="inlineStr">
        <is>
          <t xml:space="preserve">TRUE</t>
        </is>
      </c>
      <c r="L199" s="3"/>
      <c r="M199" s="6">
        <f>ROUND(E199*G199-H199,2)</f>
        <v>69.9</v>
      </c>
      <c r="N199" s="5">
        <f>IF(COUNTIF($A$3:A199,A199)=1,1,0)</f>
        <v>1</v>
      </c>
      <c r="O199" s="6">
        <f>IF(N199=1,ROUND((SUMIFS($M$3:$M$1200,$A$3:$A$1200,A199)+'Settings'!$B$13)*'Settings'!$B$14/100+'Settings'!$B$15,2),0)</f>
        <v>1.34</v>
      </c>
    </row>
    <row r="200">
      <c r="A200" s="3" t="inlineStr">
        <is>
          <t xml:space="preserve">#1137</t>
        </is>
      </c>
      <c r="B200" s="3" t="inlineStr">
        <is>
          <t xml:space="preserve">2025-12-05</t>
        </is>
      </c>
      <c r="C200" s="3" t="inlineStr">
        <is>
          <t xml:space="preserve">SKU-D</t>
        </is>
      </c>
      <c r="D200" s="3" t="inlineStr">
        <is>
          <t xml:space="preserve">Daily Duo</t>
        </is>
      </c>
      <c r="E200" s="6">
        <f>IF('Settings'!$B$11="Scenario",IFERROR(INDEX('Catalogue'!$E$3:$E$100,MATCH(C200,'Catalogue'!$B$3:$B$100,0)),F200),F200)</f>
        <v>79</v>
      </c>
      <c r="F200" s="8">
        <v>79</v>
      </c>
      <c r="G200" s="3">
        <v>2</v>
      </c>
      <c r="H200" s="6">
        <f>IF('Settings'!$B$11="Scenario",ROUND(E200*G200*IFERROR(SUMIF('Pricing &amp; promotions'!$A$6:$A$8,L200,'Pricing &amp; promotions'!$B$6:$B$8)/100,0),2),J200)</f>
        <v>0.0</v>
      </c>
      <c r="I200" s="6">
        <f>ROUND((E200*G200-H200)/IF(OR(K200=TRUE,K200="TRUE",K200="YES",K200=1),1+'Settings'!$B$6/100,1),2)</f>
        <v>130.58</v>
      </c>
      <c r="J200" s="8">
        <v>0.0</v>
      </c>
      <c r="K200" s="3" t="inlineStr">
        <is>
          <t xml:space="preserve">TRUE</t>
        </is>
      </c>
      <c r="L200" s="3"/>
      <c r="M200" s="6">
        <f>ROUND(E200*G200-H200,2)</f>
        <v>158.0</v>
      </c>
      <c r="N200" s="5">
        <f>IF(COUNTIF($A$3:A200,A200)=1,1,0)</f>
        <v>1</v>
      </c>
      <c r="O200" s="6">
        <f>IF(N200=1,ROUND((SUMIFS($M$3:$M$1200,$A$3:$A$1200,A200)+'Settings'!$B$13)*'Settings'!$B$14/100+'Settings'!$B$15,2),0)</f>
        <v>2.66</v>
      </c>
    </row>
    <row r="201">
      <c r="A201" s="3" t="inlineStr">
        <is>
          <t xml:space="preserve">#1138</t>
        </is>
      </c>
      <c r="B201" s="3" t="inlineStr">
        <is>
          <t xml:space="preserve">2025-12-06</t>
        </is>
      </c>
      <c r="C201" s="3" t="inlineStr">
        <is>
          <t xml:space="preserve">SKU-A</t>
        </is>
      </c>
      <c r="D201" s="3" t="inlineStr">
        <is>
          <t xml:space="preserve">Renewal Serum</t>
        </is>
      </c>
      <c r="E201" s="6">
        <f>IF('Settings'!$B$11="Scenario",IFERROR(INDEX('Catalogue'!$E$3:$E$100,MATCH(C201,'Catalogue'!$B$3:$B$100,0)),F201),F201)</f>
        <v>69.9</v>
      </c>
      <c r="F201" s="8">
        <v>64</v>
      </c>
      <c r="G201" s="3">
        <v>1</v>
      </c>
      <c r="H201" s="6">
        <f>IF('Settings'!$B$11="Scenario",ROUND(E201*G201*IFERROR(SUMIF('Pricing &amp; promotions'!$A$6:$A$8,L201,'Pricing &amp; promotions'!$B$6:$B$8)/100,0),2),J201)</f>
        <v>0.0</v>
      </c>
      <c r="I201" s="6">
        <f>ROUND((E201*G201-H201)/IF(OR(K201=TRUE,K201="TRUE",K201="YES",K201=1),1+'Settings'!$B$6/100,1),2)</f>
        <v>57.77</v>
      </c>
      <c r="J201" s="8">
        <v>0.0</v>
      </c>
      <c r="K201" s="3" t="inlineStr">
        <is>
          <t xml:space="preserve">TRUE</t>
        </is>
      </c>
      <c r="L201" s="3"/>
      <c r="M201" s="6">
        <f>ROUND(E201*G201-H201,2)</f>
        <v>69.9</v>
      </c>
      <c r="N201" s="5">
        <f>IF(COUNTIF($A$3:A201,A201)=1,1,0)</f>
        <v>1</v>
      </c>
      <c r="O201" s="6">
        <f>IF(N201=1,ROUND((SUMIFS($M$3:$M$1200,$A$3:$A$1200,A201)+'Settings'!$B$13)*'Settings'!$B$14/100+'Settings'!$B$15,2),0)</f>
        <v>2.53</v>
      </c>
    </row>
    <row r="202">
      <c r="A202" s="3" t="inlineStr">
        <is>
          <t xml:space="preserve">#1138</t>
        </is>
      </c>
      <c r="B202" s="3" t="inlineStr">
        <is>
          <t xml:space="preserve">2025-12-06</t>
        </is>
      </c>
      <c r="C202" s="3" t="inlineStr">
        <is>
          <t xml:space="preserve">SKU-D</t>
        </is>
      </c>
      <c r="D202" s="3" t="inlineStr">
        <is>
          <t xml:space="preserve">Daily Duo</t>
        </is>
      </c>
      <c r="E202" s="6">
        <f>IF('Settings'!$B$11="Scenario",IFERROR(INDEX('Catalogue'!$E$3:$E$100,MATCH(C202,'Catalogue'!$B$3:$B$100,0)),F202),F202)</f>
        <v>79</v>
      </c>
      <c r="F202" s="8">
        <v>79</v>
      </c>
      <c r="G202" s="3">
        <v>1</v>
      </c>
      <c r="H202" s="6">
        <f>IF('Settings'!$B$11="Scenario",ROUND(E202*G202*IFERROR(SUMIF('Pricing &amp; promotions'!$A$6:$A$8,L202,'Pricing &amp; promotions'!$B$6:$B$8)/100,0),2),J202)</f>
        <v>0.0</v>
      </c>
      <c r="I202" s="6">
        <f>ROUND((E202*G202-H202)/IF(OR(K202=TRUE,K202="TRUE",K202="YES",K202=1),1+'Settings'!$B$6/100,1),2)</f>
        <v>65.29</v>
      </c>
      <c r="J202" s="8">
        <v>0.0</v>
      </c>
      <c r="K202" s="3" t="inlineStr">
        <is>
          <t xml:space="preserve">TRUE</t>
        </is>
      </c>
      <c r="L202" s="3"/>
      <c r="M202" s="6">
        <f>ROUND(E202*G202-H202,2)</f>
        <v>79.0</v>
      </c>
      <c r="N202" s="5">
        <f>IF(COUNTIF($A$3:A202,A202)=1,1,0)</f>
        <v>0</v>
      </c>
      <c r="O202" s="6">
        <f>IF(N202=1,ROUND((SUMIFS($M$3:$M$1200,$A$3:$A$1200,A202)+'Settings'!$B$13)*'Settings'!$B$14/100+'Settings'!$B$15,2),0)</f>
        <v>0</v>
      </c>
    </row>
    <row r="203">
      <c r="A203" s="3" t="inlineStr">
        <is>
          <t xml:space="preserve">#1139</t>
        </is>
      </c>
      <c r="B203" s="3" t="inlineStr">
        <is>
          <t xml:space="preserve">2025-12-06</t>
        </is>
      </c>
      <c r="C203" s="3" t="inlineStr">
        <is>
          <t xml:space="preserve">SKU-A</t>
        </is>
      </c>
      <c r="D203" s="3" t="inlineStr">
        <is>
          <t xml:space="preserve">Renewal Serum</t>
        </is>
      </c>
      <c r="E203" s="6">
        <f>IF('Settings'!$B$11="Scenario",IFERROR(INDEX('Catalogue'!$E$3:$E$100,MATCH(C203,'Catalogue'!$B$3:$B$100,0)),F203),F203)</f>
        <v>69.9</v>
      </c>
      <c r="F203" s="8">
        <v>64</v>
      </c>
      <c r="G203" s="3">
        <v>1</v>
      </c>
      <c r="H203" s="6">
        <f>IF('Settings'!$B$11="Scenario",ROUND(E203*G203*IFERROR(SUMIF('Pricing &amp; promotions'!$A$6:$A$8,L203,'Pricing &amp; promotions'!$B$6:$B$8)/100,0),2),J203)</f>
        <v>0.0</v>
      </c>
      <c r="I203" s="6">
        <f>ROUND((E203*G203-H203)/IF(OR(K203=TRUE,K203="TRUE",K203="YES",K203=1),1+'Settings'!$B$6/100,1),2)</f>
        <v>57.77</v>
      </c>
      <c r="J203" s="8">
        <v>0.0</v>
      </c>
      <c r="K203" s="3" t="inlineStr">
        <is>
          <t xml:space="preserve">TRUE</t>
        </is>
      </c>
      <c r="L203" s="3"/>
      <c r="M203" s="6">
        <f>ROUND(E203*G203-H203,2)</f>
        <v>69.9</v>
      </c>
      <c r="N203" s="5">
        <f>IF(COUNTIF($A$3:A203,A203)=1,1,0)</f>
        <v>1</v>
      </c>
      <c r="O203" s="6">
        <f>IF(N203=1,ROUND((SUMIFS($M$3:$M$1200,$A$3:$A$1200,A203)+'Settings'!$B$13)*'Settings'!$B$14/100+'Settings'!$B$15,2),0)</f>
        <v>1.34</v>
      </c>
    </row>
    <row r="204">
      <c r="A204" s="3" t="inlineStr">
        <is>
          <t xml:space="preserve">#1140</t>
        </is>
      </c>
      <c r="B204" s="3" t="inlineStr">
        <is>
          <t xml:space="preserve">2025-12-06</t>
        </is>
      </c>
      <c r="C204" s="3" t="inlineStr">
        <is>
          <t xml:space="preserve">SKU-E</t>
        </is>
      </c>
      <c r="D204" s="3" t="inlineStr">
        <is>
          <t xml:space="preserve">Complete Ritual</t>
        </is>
      </c>
      <c r="E204" s="6">
        <f>IF('Settings'!$B$11="Scenario",IFERROR(INDEX('Catalogue'!$E$3:$E$100,MATCH(C204,'Catalogue'!$B$3:$B$100,0)),F204),F204)</f>
        <v>89</v>
      </c>
      <c r="F204" s="8">
        <v>89</v>
      </c>
      <c r="G204" s="3">
        <v>1</v>
      </c>
      <c r="H204" s="6">
        <f>IF('Settings'!$B$11="Scenario",ROUND(E204*G204*IFERROR(SUMIF('Pricing &amp; promotions'!$A$6:$A$8,L204,'Pricing &amp; promotions'!$B$6:$B$8)/100,0),2),J204)</f>
        <v>8.9</v>
      </c>
      <c r="I204" s="6">
        <f>ROUND((E204*G204-H204)/IF(OR(K204=TRUE,K204="TRUE",K204="YES",K204=1),1+'Settings'!$B$6/100,1),2)</f>
        <v>66.2</v>
      </c>
      <c r="J204" s="8">
        <v>8.9</v>
      </c>
      <c r="K204" s="3" t="inlineStr">
        <is>
          <t xml:space="preserve">TRUE</t>
        </is>
      </c>
      <c r="L204" s="3" t="inlineStr">
        <is>
          <t xml:space="preserve">WELCOME10</t>
        </is>
      </c>
      <c r="M204" s="6">
        <f>ROUND(E204*G204-H204,2)</f>
        <v>80.1</v>
      </c>
      <c r="N204" s="5">
        <f>IF(COUNTIF($A$3:A204,A204)=1,1,0)</f>
        <v>1</v>
      </c>
      <c r="O204" s="6">
        <f>IF(N204=1,ROUND((SUMIFS($M$3:$M$1200,$A$3:$A$1200,A204)+'Settings'!$B$13)*'Settings'!$B$14/100+'Settings'!$B$15,2),0)</f>
        <v>1.5</v>
      </c>
    </row>
    <row r="205">
      <c r="A205" s="3" t="inlineStr">
        <is>
          <t xml:space="preserve">#1141</t>
        </is>
      </c>
      <c r="B205" s="3" t="inlineStr">
        <is>
          <t xml:space="preserve">2025-12-06</t>
        </is>
      </c>
      <c r="C205" s="3" t="inlineStr">
        <is>
          <t xml:space="preserve">SKU-D</t>
        </is>
      </c>
      <c r="D205" s="3" t="inlineStr">
        <is>
          <t xml:space="preserve">Daily Duo</t>
        </is>
      </c>
      <c r="E205" s="6">
        <f>IF('Settings'!$B$11="Scenario",IFERROR(INDEX('Catalogue'!$E$3:$E$100,MATCH(C205,'Catalogue'!$B$3:$B$100,0)),F205),F205)</f>
        <v>79</v>
      </c>
      <c r="F205" s="8">
        <v>79</v>
      </c>
      <c r="G205" s="3">
        <v>1</v>
      </c>
      <c r="H205" s="6">
        <f>IF('Settings'!$B$11="Scenario",ROUND(E205*G205*IFERROR(SUMIF('Pricing &amp; promotions'!$A$6:$A$8,L205,'Pricing &amp; promotions'!$B$6:$B$8)/100,0),2),J205)</f>
        <v>11.85</v>
      </c>
      <c r="I205" s="6">
        <f>ROUND((E205*G205-H205)/IF(OR(K205=TRUE,K205="TRUE",K205="YES",K205=1),1+'Settings'!$B$6/100,1),2)</f>
        <v>55.5</v>
      </c>
      <c r="J205" s="8">
        <v>11.85</v>
      </c>
      <c r="K205" s="3" t="inlineStr">
        <is>
          <t xml:space="preserve">TRUE</t>
        </is>
      </c>
      <c r="L205" s="3" t="inlineStr">
        <is>
          <t xml:space="preserve">SUMMER15</t>
        </is>
      </c>
      <c r="M205" s="6">
        <f>ROUND(E205*G205-H205,2)</f>
        <v>67.15</v>
      </c>
      <c r="N205" s="5">
        <f>IF(COUNTIF($A$3:A205,A205)=1,1,0)</f>
        <v>1</v>
      </c>
      <c r="O205" s="6">
        <f>IF(N205=1,ROUND((SUMIFS($M$3:$M$1200,$A$3:$A$1200,A205)+'Settings'!$B$13)*'Settings'!$B$14/100+'Settings'!$B$15,2),0)</f>
        <v>1.3</v>
      </c>
    </row>
    <row r="206">
      <c r="A206" s="3" t="inlineStr">
        <is>
          <t xml:space="preserve">#1142</t>
        </is>
      </c>
      <c r="B206" s="3" t="inlineStr">
        <is>
          <t xml:space="preserve">2025-12-07</t>
        </is>
      </c>
      <c r="C206" s="3" t="inlineStr">
        <is>
          <t xml:space="preserve">SKU-C</t>
        </is>
      </c>
      <c r="D206" s="3" t="inlineStr">
        <is>
          <t xml:space="preserve">Contour Stone</t>
        </is>
      </c>
      <c r="E206" s="6">
        <f>IF('Settings'!$B$11="Scenario",IFERROR(INDEX('Catalogue'!$E$3:$E$100,MATCH(C206,'Catalogue'!$B$3:$B$100,0)),F206),F206)</f>
        <v>29</v>
      </c>
      <c r="F206" s="8">
        <v>29</v>
      </c>
      <c r="G206" s="3">
        <v>1</v>
      </c>
      <c r="H206" s="6">
        <f>IF('Settings'!$B$11="Scenario",ROUND(E206*G206*IFERROR(SUMIF('Pricing &amp; promotions'!$A$6:$A$8,L206,'Pricing &amp; promotions'!$B$6:$B$8)/100,0),2),J206)</f>
        <v>0.0</v>
      </c>
      <c r="I206" s="6">
        <f>ROUND((E206*G206-H206)/IF(OR(K206=TRUE,K206="TRUE",K206="YES",K206=1),1+'Settings'!$B$6/100,1),2)</f>
        <v>23.97</v>
      </c>
      <c r="J206" s="8">
        <v>0.0</v>
      </c>
      <c r="K206" s="3" t="inlineStr">
        <is>
          <t xml:space="preserve">TRUE</t>
        </is>
      </c>
      <c r="L206" s="3"/>
      <c r="M206" s="6">
        <f>ROUND(E206*G206-H206,2)</f>
        <v>29.0</v>
      </c>
      <c r="N206" s="5">
        <f>IF(COUNTIF($A$3:A206,A206)=1,1,0)</f>
        <v>1</v>
      </c>
      <c r="O206" s="6">
        <f>IF(N206=1,ROUND((SUMIFS($M$3:$M$1200,$A$3:$A$1200,A206)+'Settings'!$B$13)*'Settings'!$B$14/100+'Settings'!$B$15,2),0)</f>
        <v>0.73</v>
      </c>
    </row>
    <row r="207">
      <c r="A207" s="3" t="inlineStr">
        <is>
          <t xml:space="preserve">#1143</t>
        </is>
      </c>
      <c r="B207" s="3" t="inlineStr">
        <is>
          <t xml:space="preserve">2025-12-07</t>
        </is>
      </c>
      <c r="C207" s="3" t="inlineStr">
        <is>
          <t xml:space="preserve">SKU-B</t>
        </is>
      </c>
      <c r="D207" s="3" t="inlineStr">
        <is>
          <t xml:space="preserve">Barrier Balm</t>
        </is>
      </c>
      <c r="E207" s="6">
        <f>IF('Settings'!$B$11="Scenario",IFERROR(INDEX('Catalogue'!$E$3:$E$100,MATCH(C207,'Catalogue'!$B$3:$B$100,0)),F207),F207)</f>
        <v>19</v>
      </c>
      <c r="F207" s="8">
        <v>18</v>
      </c>
      <c r="G207" s="3">
        <v>1</v>
      </c>
      <c r="H207" s="6">
        <f>IF('Settings'!$B$11="Scenario",ROUND(E207*G207*IFERROR(SUMIF('Pricing &amp; promotions'!$A$6:$A$8,L207,'Pricing &amp; promotions'!$B$6:$B$8)/100,0),2),J207)</f>
        <v>1.9</v>
      </c>
      <c r="I207" s="6">
        <f>ROUND((E207*G207-H207)/IF(OR(K207=TRUE,K207="TRUE",K207="YES",K207=1),1+'Settings'!$B$6/100,1),2)</f>
        <v>14.13</v>
      </c>
      <c r="J207" s="8">
        <v>1.8</v>
      </c>
      <c r="K207" s="3" t="inlineStr">
        <is>
          <t xml:space="preserve">TRUE</t>
        </is>
      </c>
      <c r="L207" s="3" t="inlineStr">
        <is>
          <t xml:space="preserve">WELCOME10</t>
        </is>
      </c>
      <c r="M207" s="6">
        <f>ROUND(E207*G207-H207,2)</f>
        <v>17.1</v>
      </c>
      <c r="N207" s="5">
        <f>IF(COUNTIF($A$3:A207,A207)=1,1,0)</f>
        <v>1</v>
      </c>
      <c r="O207" s="6">
        <f>IF(N207=1,ROUND((SUMIFS($M$3:$M$1200,$A$3:$A$1200,A207)+'Settings'!$B$13)*'Settings'!$B$14/100+'Settings'!$B$15,2),0)</f>
        <v>0.55</v>
      </c>
    </row>
    <row r="208">
      <c r="A208" s="3" t="inlineStr">
        <is>
          <t xml:space="preserve">#1144</t>
        </is>
      </c>
      <c r="B208" s="3" t="inlineStr">
        <is>
          <t xml:space="preserve">2025-12-07</t>
        </is>
      </c>
      <c r="C208" s="3" t="inlineStr">
        <is>
          <t xml:space="preserve">SKU-G</t>
        </is>
      </c>
      <c r="D208" s="3" t="inlineStr">
        <is>
          <t xml:space="preserve">Daily Reset Set</t>
        </is>
      </c>
      <c r="E208" s="6">
        <f>IF('Settings'!$B$11="Scenario",IFERROR(INDEX('Catalogue'!$E$3:$E$100,MATCH(C208,'Catalogue'!$B$3:$B$100,0)),F208),F208)</f>
        <v>69</v>
      </c>
      <c r="F208" s="8">
        <v>69</v>
      </c>
      <c r="G208" s="3">
        <v>1</v>
      </c>
      <c r="H208" s="6">
        <f>IF('Settings'!$B$11="Scenario",ROUND(E208*G208*IFERROR(SUMIF('Pricing &amp; promotions'!$A$6:$A$8,L208,'Pricing &amp; promotions'!$B$6:$B$8)/100,0),2),J208)</f>
        <v>6.9</v>
      </c>
      <c r="I208" s="6">
        <f>ROUND((E208*G208-H208)/IF(OR(K208=TRUE,K208="TRUE",K208="YES",K208=1),1+'Settings'!$B$6/100,1),2)</f>
        <v>51.32</v>
      </c>
      <c r="J208" s="8">
        <v>6.9</v>
      </c>
      <c r="K208" s="3" t="inlineStr">
        <is>
          <t xml:space="preserve">TRUE</t>
        </is>
      </c>
      <c r="L208" s="3" t="inlineStr">
        <is>
          <t xml:space="preserve">WELCOME10</t>
        </is>
      </c>
      <c r="M208" s="6">
        <f>ROUND(E208*G208-H208,2)</f>
        <v>62.1</v>
      </c>
      <c r="N208" s="5">
        <f>IF(COUNTIF($A$3:A208,A208)=1,1,0)</f>
        <v>1</v>
      </c>
      <c r="O208" s="6">
        <f>IF(N208=1,ROUND((SUMIFS($M$3:$M$1200,$A$3:$A$1200,A208)+'Settings'!$B$13)*'Settings'!$B$14/100+'Settings'!$B$15,2),0)</f>
        <v>1.23</v>
      </c>
    </row>
    <row r="209">
      <c r="A209" s="3" t="inlineStr">
        <is>
          <t xml:space="preserve">#1145</t>
        </is>
      </c>
      <c r="B209" s="3" t="inlineStr">
        <is>
          <t xml:space="preserve">2025-12-08</t>
        </is>
      </c>
      <c r="C209" s="3" t="inlineStr">
        <is>
          <t xml:space="preserve">SKU-A</t>
        </is>
      </c>
      <c r="D209" s="3" t="inlineStr">
        <is>
          <t xml:space="preserve">Renewal Serum</t>
        </is>
      </c>
      <c r="E209" s="6">
        <f>IF('Settings'!$B$11="Scenario",IFERROR(INDEX('Catalogue'!$E$3:$E$100,MATCH(C209,'Catalogue'!$B$3:$B$100,0)),F209),F209)</f>
        <v>69.9</v>
      </c>
      <c r="F209" s="8">
        <v>64</v>
      </c>
      <c r="G209" s="3">
        <v>1</v>
      </c>
      <c r="H209" s="6">
        <f>IF('Settings'!$B$11="Scenario",ROUND(E209*G209*IFERROR(SUMIF('Pricing &amp; promotions'!$A$6:$A$8,L209,'Pricing &amp; promotions'!$B$6:$B$8)/100,0),2),J209)</f>
        <v>6.99</v>
      </c>
      <c r="I209" s="6">
        <f>ROUND((E209*G209-H209)/IF(OR(K209=TRUE,K209="TRUE",K209="YES",K209=1),1+'Settings'!$B$6/100,1),2)</f>
        <v>51.99</v>
      </c>
      <c r="J209" s="8">
        <v>6.4</v>
      </c>
      <c r="K209" s="3" t="inlineStr">
        <is>
          <t xml:space="preserve">TRUE</t>
        </is>
      </c>
      <c r="L209" s="3" t="inlineStr">
        <is>
          <t xml:space="preserve">WELCOME10</t>
        </is>
      </c>
      <c r="M209" s="6">
        <f>ROUND(E209*G209-H209,2)</f>
        <v>62.91</v>
      </c>
      <c r="N209" s="5">
        <f>IF(COUNTIF($A$3:A209,A209)=1,1,0)</f>
        <v>1</v>
      </c>
      <c r="O209" s="6">
        <f>IF(N209=1,ROUND((SUMIFS($M$3:$M$1200,$A$3:$A$1200,A209)+'Settings'!$B$13)*'Settings'!$B$14/100+'Settings'!$B$15,2),0)</f>
        <v>1.24</v>
      </c>
    </row>
    <row r="210">
      <c r="A210" s="3" t="inlineStr">
        <is>
          <t xml:space="preserve">#1146</t>
        </is>
      </c>
      <c r="B210" s="3" t="inlineStr">
        <is>
          <t xml:space="preserve">2025-12-08</t>
        </is>
      </c>
      <c r="C210" s="3" t="inlineStr">
        <is>
          <t xml:space="preserve">SKU-A</t>
        </is>
      </c>
      <c r="D210" s="3" t="inlineStr">
        <is>
          <t xml:space="preserve">Renewal Serum</t>
        </is>
      </c>
      <c r="E210" s="6">
        <f>IF('Settings'!$B$11="Scenario",IFERROR(INDEX('Catalogue'!$E$3:$E$100,MATCH(C210,'Catalogue'!$B$3:$B$100,0)),F210),F210)</f>
        <v>69.9</v>
      </c>
      <c r="F210" s="8">
        <v>64</v>
      </c>
      <c r="G210" s="3">
        <v>1</v>
      </c>
      <c r="H210" s="6">
        <f>IF('Settings'!$B$11="Scenario",ROUND(E210*G210*IFERROR(SUMIF('Pricing &amp; promotions'!$A$6:$A$8,L210,'Pricing &amp; promotions'!$B$6:$B$8)/100,0),2),J210)</f>
        <v>0.0</v>
      </c>
      <c r="I210" s="6">
        <f>ROUND((E210*G210-H210)/IF(OR(K210=TRUE,K210="TRUE",K210="YES",K210=1),1+'Settings'!$B$6/100,1),2)</f>
        <v>57.77</v>
      </c>
      <c r="J210" s="8">
        <v>0.0</v>
      </c>
      <c r="K210" s="3" t="inlineStr">
        <is>
          <t xml:space="preserve">TRUE</t>
        </is>
      </c>
      <c r="L210" s="3"/>
      <c r="M210" s="6">
        <f>ROUND(E210*G210-H210,2)</f>
        <v>69.9</v>
      </c>
      <c r="N210" s="5">
        <f>IF(COUNTIF($A$3:A210,A210)=1,1,0)</f>
        <v>1</v>
      </c>
      <c r="O210" s="6">
        <f>IF(N210=1,ROUND((SUMIFS($M$3:$M$1200,$A$3:$A$1200,A210)+'Settings'!$B$13)*'Settings'!$B$14/100+'Settings'!$B$15,2),0)</f>
        <v>1.34</v>
      </c>
    </row>
    <row r="211">
      <c r="A211" s="3" t="inlineStr">
        <is>
          <t xml:space="preserve">#1147</t>
        </is>
      </c>
      <c r="B211" s="3" t="inlineStr">
        <is>
          <t xml:space="preserve">2025-12-08</t>
        </is>
      </c>
      <c r="C211" s="3" t="inlineStr">
        <is>
          <t xml:space="preserve">SKU-E</t>
        </is>
      </c>
      <c r="D211" s="3" t="inlineStr">
        <is>
          <t xml:space="preserve">Complete Ritual</t>
        </is>
      </c>
      <c r="E211" s="6">
        <f>IF('Settings'!$B$11="Scenario",IFERROR(INDEX('Catalogue'!$E$3:$E$100,MATCH(C211,'Catalogue'!$B$3:$B$100,0)),F211),F211)</f>
        <v>89</v>
      </c>
      <c r="F211" s="8">
        <v>89</v>
      </c>
      <c r="G211" s="3">
        <v>1</v>
      </c>
      <c r="H211" s="6">
        <f>IF('Settings'!$B$11="Scenario",ROUND(E211*G211*IFERROR(SUMIF('Pricing &amp; promotions'!$A$6:$A$8,L211,'Pricing &amp; promotions'!$B$6:$B$8)/100,0),2),J211)</f>
        <v>0.0</v>
      </c>
      <c r="I211" s="6">
        <f>ROUND((E211*G211-H211)/IF(OR(K211=TRUE,K211="TRUE",K211="YES",K211=1),1+'Settings'!$B$6/100,1),2)</f>
        <v>73.55</v>
      </c>
      <c r="J211" s="8">
        <v>0.0</v>
      </c>
      <c r="K211" s="3" t="inlineStr">
        <is>
          <t xml:space="preserve">TRUE</t>
        </is>
      </c>
      <c r="L211" s="3"/>
      <c r="M211" s="6">
        <f>ROUND(E211*G211-H211,2)</f>
        <v>89.0</v>
      </c>
      <c r="N211" s="5">
        <f>IF(COUNTIF($A$3:A211,A211)=1,1,0)</f>
        <v>1</v>
      </c>
      <c r="O211" s="6">
        <f>IF(N211=1,ROUND((SUMIFS($M$3:$M$1200,$A$3:$A$1200,A211)+'Settings'!$B$13)*'Settings'!$B$14/100+'Settings'!$B$15,2),0)</f>
        <v>1.63</v>
      </c>
    </row>
    <row r="212">
      <c r="A212" s="3" t="inlineStr">
        <is>
          <t xml:space="preserve">#1148</t>
        </is>
      </c>
      <c r="B212" s="3" t="inlineStr">
        <is>
          <t xml:space="preserve">2025-12-08</t>
        </is>
      </c>
      <c r="C212" s="3" t="inlineStr">
        <is>
          <t xml:space="preserve">SKU-D</t>
        </is>
      </c>
      <c r="D212" s="3" t="inlineStr">
        <is>
          <t xml:space="preserve">Daily Duo</t>
        </is>
      </c>
      <c r="E212" s="6">
        <f>IF('Settings'!$B$11="Scenario",IFERROR(INDEX('Catalogue'!$E$3:$E$100,MATCH(C212,'Catalogue'!$B$3:$B$100,0)),F212),F212)</f>
        <v>79</v>
      </c>
      <c r="F212" s="8">
        <v>79</v>
      </c>
      <c r="G212" s="3">
        <v>1</v>
      </c>
      <c r="H212" s="6">
        <f>IF('Settings'!$B$11="Scenario",ROUND(E212*G212*IFERROR(SUMIF('Pricing &amp; promotions'!$A$6:$A$8,L212,'Pricing &amp; promotions'!$B$6:$B$8)/100,0),2),J212)</f>
        <v>7.9</v>
      </c>
      <c r="I212" s="6">
        <f>ROUND((E212*G212-H212)/IF(OR(K212=TRUE,K212="TRUE",K212="YES",K212=1),1+'Settings'!$B$6/100,1),2)</f>
        <v>58.76</v>
      </c>
      <c r="J212" s="8">
        <v>7.9</v>
      </c>
      <c r="K212" s="3" t="inlineStr">
        <is>
          <t xml:space="preserve">TRUE</t>
        </is>
      </c>
      <c r="L212" s="3" t="inlineStr">
        <is>
          <t xml:space="preserve">WELCOME10</t>
        </is>
      </c>
      <c r="M212" s="6">
        <f>ROUND(E212*G212-H212,2)</f>
        <v>71.1</v>
      </c>
      <c r="N212" s="5">
        <f>IF(COUNTIF($A$3:A212,A212)=1,1,0)</f>
        <v>1</v>
      </c>
      <c r="O212" s="6">
        <f>IF(N212=1,ROUND((SUMIFS($M$3:$M$1200,$A$3:$A$1200,A212)+'Settings'!$B$13)*'Settings'!$B$14/100+'Settings'!$B$15,2),0)</f>
        <v>1.36</v>
      </c>
    </row>
    <row r="213">
      <c r="A213" s="3" t="inlineStr">
        <is>
          <t xml:space="preserve">#1149</t>
        </is>
      </c>
      <c r="B213" s="3" t="inlineStr">
        <is>
          <t xml:space="preserve">2025-12-08</t>
        </is>
      </c>
      <c r="C213" s="3" t="inlineStr">
        <is>
          <t xml:space="preserve">SKU-G</t>
        </is>
      </c>
      <c r="D213" s="3" t="inlineStr">
        <is>
          <t xml:space="preserve">Daily Reset Set</t>
        </is>
      </c>
      <c r="E213" s="6">
        <f>IF('Settings'!$B$11="Scenario",IFERROR(INDEX('Catalogue'!$E$3:$E$100,MATCH(C213,'Catalogue'!$B$3:$B$100,0)),F213),F213)</f>
        <v>69</v>
      </c>
      <c r="F213" s="8">
        <v>69</v>
      </c>
      <c r="G213" s="3">
        <v>1</v>
      </c>
      <c r="H213" s="6">
        <f>IF('Settings'!$B$11="Scenario",ROUND(E213*G213*IFERROR(SUMIF('Pricing &amp; promotions'!$A$6:$A$8,L213,'Pricing &amp; promotions'!$B$6:$B$8)/100,0),2),J213)</f>
        <v>6.9</v>
      </c>
      <c r="I213" s="6">
        <f>ROUND((E213*G213-H213)/IF(OR(K213=TRUE,K213="TRUE",K213="YES",K213=1),1+'Settings'!$B$6/100,1),2)</f>
        <v>51.32</v>
      </c>
      <c r="J213" s="8">
        <v>6.9</v>
      </c>
      <c r="K213" s="3" t="inlineStr">
        <is>
          <t xml:space="preserve">TRUE</t>
        </is>
      </c>
      <c r="L213" s="3" t="inlineStr">
        <is>
          <t xml:space="preserve">WELCOME10</t>
        </is>
      </c>
      <c r="M213" s="6">
        <f>ROUND(E213*G213-H213,2)</f>
        <v>62.1</v>
      </c>
      <c r="N213" s="5">
        <f>IF(COUNTIF($A$3:A213,A213)=1,1,0)</f>
        <v>1</v>
      </c>
      <c r="O213" s="6">
        <f>IF(N213=1,ROUND((SUMIFS($M$3:$M$1200,$A$3:$A$1200,A213)+'Settings'!$B$13)*'Settings'!$B$14/100+'Settings'!$B$15,2),0)</f>
        <v>3.37</v>
      </c>
    </row>
    <row r="214">
      <c r="A214" s="3" t="inlineStr">
        <is>
          <t xml:space="preserve">#1149</t>
        </is>
      </c>
      <c r="B214" s="3" t="inlineStr">
        <is>
          <t xml:space="preserve">2025-12-08</t>
        </is>
      </c>
      <c r="C214" s="3" t="inlineStr">
        <is>
          <t xml:space="preserve">SKU-E</t>
        </is>
      </c>
      <c r="D214" s="3" t="inlineStr">
        <is>
          <t xml:space="preserve">Complete Ritual</t>
        </is>
      </c>
      <c r="E214" s="6">
        <f>IF('Settings'!$B$11="Scenario",IFERROR(INDEX('Catalogue'!$E$3:$E$100,MATCH(C214,'Catalogue'!$B$3:$B$100,0)),F214),F214)</f>
        <v>89</v>
      </c>
      <c r="F214" s="8">
        <v>89</v>
      </c>
      <c r="G214" s="3">
        <v>1</v>
      </c>
      <c r="H214" s="6">
        <f>IF('Settings'!$B$11="Scenario",ROUND(E214*G214*IFERROR(SUMIF('Pricing &amp; promotions'!$A$6:$A$8,L214,'Pricing &amp; promotions'!$B$6:$B$8)/100,0),2),J214)</f>
        <v>8.9</v>
      </c>
      <c r="I214" s="6">
        <f>ROUND((E214*G214-H214)/IF(OR(K214=TRUE,K214="TRUE",K214="YES",K214=1),1+'Settings'!$B$6/100,1),2)</f>
        <v>66.2</v>
      </c>
      <c r="J214" s="8">
        <v>8.9</v>
      </c>
      <c r="K214" s="3" t="inlineStr">
        <is>
          <t xml:space="preserve">TRUE</t>
        </is>
      </c>
      <c r="L214" s="3" t="inlineStr">
        <is>
          <t xml:space="preserve">WELCOME10</t>
        </is>
      </c>
      <c r="M214" s="6">
        <f>ROUND(E214*G214-H214,2)</f>
        <v>80.1</v>
      </c>
      <c r="N214" s="5">
        <f>IF(COUNTIF($A$3:A214,A214)=1,1,0)</f>
        <v>0</v>
      </c>
      <c r="O214" s="6">
        <f>IF(N214=1,ROUND((SUMIFS($M$3:$M$1200,$A$3:$A$1200,A214)+'Settings'!$B$13)*'Settings'!$B$14/100+'Settings'!$B$15,2),0)</f>
        <v>0</v>
      </c>
    </row>
    <row r="215">
      <c r="A215" s="3" t="inlineStr">
        <is>
          <t xml:space="preserve">#1149</t>
        </is>
      </c>
      <c r="B215" s="3" t="inlineStr">
        <is>
          <t xml:space="preserve">2025-12-08</t>
        </is>
      </c>
      <c r="C215" s="3" t="inlineStr">
        <is>
          <t xml:space="preserve">SKU-A</t>
        </is>
      </c>
      <c r="D215" s="3" t="inlineStr">
        <is>
          <t xml:space="preserve">Renewal Serum</t>
        </is>
      </c>
      <c r="E215" s="6">
        <f>IF('Settings'!$B$11="Scenario",IFERROR(INDEX('Catalogue'!$E$3:$E$100,MATCH(C215,'Catalogue'!$B$3:$B$100,0)),F215),F215)</f>
        <v>69.9</v>
      </c>
      <c r="F215" s="8">
        <v>64</v>
      </c>
      <c r="G215" s="3">
        <v>1</v>
      </c>
      <c r="H215" s="6">
        <f>IF('Settings'!$B$11="Scenario",ROUND(E215*G215*IFERROR(SUMIF('Pricing &amp; promotions'!$A$6:$A$8,L215,'Pricing &amp; promotions'!$B$6:$B$8)/100,0),2),J215)</f>
        <v>6.99</v>
      </c>
      <c r="I215" s="6">
        <f>ROUND((E215*G215-H215)/IF(OR(K215=TRUE,K215="TRUE",K215="YES",K215=1),1+'Settings'!$B$6/100,1),2)</f>
        <v>51.99</v>
      </c>
      <c r="J215" s="8">
        <v>6.4</v>
      </c>
      <c r="K215" s="3" t="inlineStr">
        <is>
          <t xml:space="preserve">TRUE</t>
        </is>
      </c>
      <c r="L215" s="3" t="inlineStr">
        <is>
          <t xml:space="preserve">WELCOME10</t>
        </is>
      </c>
      <c r="M215" s="6">
        <f>ROUND(E215*G215-H215,2)</f>
        <v>62.91</v>
      </c>
      <c r="N215" s="5">
        <f>IF(COUNTIF($A$3:A215,A215)=1,1,0)</f>
        <v>0</v>
      </c>
      <c r="O215" s="6">
        <f>IF(N215=1,ROUND((SUMIFS($M$3:$M$1200,$A$3:$A$1200,A215)+'Settings'!$B$13)*'Settings'!$B$14/100+'Settings'!$B$15,2),0)</f>
        <v>0</v>
      </c>
    </row>
    <row r="216">
      <c r="A216" s="3" t="inlineStr">
        <is>
          <t xml:space="preserve">#1150</t>
        </is>
      </c>
      <c r="B216" s="3" t="inlineStr">
        <is>
          <t xml:space="preserve">2025-12-10</t>
        </is>
      </c>
      <c r="C216" s="3" t="inlineStr">
        <is>
          <t xml:space="preserve">SKU-A</t>
        </is>
      </c>
      <c r="D216" s="3" t="inlineStr">
        <is>
          <t xml:space="preserve">Renewal Serum</t>
        </is>
      </c>
      <c r="E216" s="6">
        <f>IF('Settings'!$B$11="Scenario",IFERROR(INDEX('Catalogue'!$E$3:$E$100,MATCH(C216,'Catalogue'!$B$3:$B$100,0)),F216),F216)</f>
        <v>69.9</v>
      </c>
      <c r="F216" s="8">
        <v>64</v>
      </c>
      <c r="G216" s="3">
        <v>1</v>
      </c>
      <c r="H216" s="6">
        <f>IF('Settings'!$B$11="Scenario",ROUND(E216*G216*IFERROR(SUMIF('Pricing &amp; promotions'!$A$6:$A$8,L216,'Pricing &amp; promotions'!$B$6:$B$8)/100,0),2),J216)</f>
        <v>0.0</v>
      </c>
      <c r="I216" s="6">
        <f>ROUND((E216*G216-H216)/IF(OR(K216=TRUE,K216="TRUE",K216="YES",K216=1),1+'Settings'!$B$6/100,1),2)</f>
        <v>57.77</v>
      </c>
      <c r="J216" s="8">
        <v>0.0</v>
      </c>
      <c r="K216" s="3" t="inlineStr">
        <is>
          <t xml:space="preserve">TRUE</t>
        </is>
      </c>
      <c r="L216" s="3"/>
      <c r="M216" s="6">
        <f>ROUND(E216*G216-H216,2)</f>
        <v>69.9</v>
      </c>
      <c r="N216" s="5">
        <f>IF(COUNTIF($A$3:A216,A216)=1,1,0)</f>
        <v>1</v>
      </c>
      <c r="O216" s="6">
        <f>IF(N216=1,ROUND((SUMIFS($M$3:$M$1200,$A$3:$A$1200,A216)+'Settings'!$B$13)*'Settings'!$B$14/100+'Settings'!$B$15,2),0)</f>
        <v>2.38</v>
      </c>
    </row>
    <row r="217">
      <c r="A217" s="3" t="inlineStr">
        <is>
          <t xml:space="preserve">#1150</t>
        </is>
      </c>
      <c r="B217" s="3" t="inlineStr">
        <is>
          <t xml:space="preserve">2025-12-10</t>
        </is>
      </c>
      <c r="C217" s="3" t="inlineStr">
        <is>
          <t xml:space="preserve">SKU-G</t>
        </is>
      </c>
      <c r="D217" s="3" t="inlineStr">
        <is>
          <t xml:space="preserve">Daily Reset Set</t>
        </is>
      </c>
      <c r="E217" s="6">
        <f>IF('Settings'!$B$11="Scenario",IFERROR(INDEX('Catalogue'!$E$3:$E$100,MATCH(C217,'Catalogue'!$B$3:$B$100,0)),F217),F217)</f>
        <v>69</v>
      </c>
      <c r="F217" s="8">
        <v>69</v>
      </c>
      <c r="G217" s="3">
        <v>1</v>
      </c>
      <c r="H217" s="6">
        <f>IF('Settings'!$B$11="Scenario",ROUND(E217*G217*IFERROR(SUMIF('Pricing &amp; promotions'!$A$6:$A$8,L217,'Pricing &amp; promotions'!$B$6:$B$8)/100,0),2),J217)</f>
        <v>0.0</v>
      </c>
      <c r="I217" s="6">
        <f>ROUND((E217*G217-H217)/IF(OR(K217=TRUE,K217="TRUE",K217="YES",K217=1),1+'Settings'!$B$6/100,1),2)</f>
        <v>57.02</v>
      </c>
      <c r="J217" s="8">
        <v>0.0</v>
      </c>
      <c r="K217" s="3" t="inlineStr">
        <is>
          <t xml:space="preserve">TRUE</t>
        </is>
      </c>
      <c r="L217" s="3"/>
      <c r="M217" s="6">
        <f>ROUND(E217*G217-H217,2)</f>
        <v>69.0</v>
      </c>
      <c r="N217" s="5">
        <f>IF(COUNTIF($A$3:A217,A217)=1,1,0)</f>
        <v>0</v>
      </c>
      <c r="O217" s="6">
        <f>IF(N217=1,ROUND((SUMIFS($M$3:$M$1200,$A$3:$A$1200,A217)+'Settings'!$B$13)*'Settings'!$B$14/100+'Settings'!$B$15,2),0)</f>
        <v>0</v>
      </c>
    </row>
    <row r="218">
      <c r="A218" s="3" t="inlineStr">
        <is>
          <t xml:space="preserve">#1151</t>
        </is>
      </c>
      <c r="B218" s="3" t="inlineStr">
        <is>
          <t xml:space="preserve">2025-12-10</t>
        </is>
      </c>
      <c r="C218" s="3" t="inlineStr">
        <is>
          <t xml:space="preserve">SKU-A</t>
        </is>
      </c>
      <c r="D218" s="3" t="inlineStr">
        <is>
          <t xml:space="preserve">Renewal Serum</t>
        </is>
      </c>
      <c r="E218" s="6">
        <f>IF('Settings'!$B$11="Scenario",IFERROR(INDEX('Catalogue'!$E$3:$E$100,MATCH(C218,'Catalogue'!$B$3:$B$100,0)),F218),F218)</f>
        <v>69.9</v>
      </c>
      <c r="F218" s="8">
        <v>64</v>
      </c>
      <c r="G218" s="3">
        <v>2</v>
      </c>
      <c r="H218" s="6">
        <f>IF('Settings'!$B$11="Scenario",ROUND(E218*G218*IFERROR(SUMIF('Pricing &amp; promotions'!$A$6:$A$8,L218,'Pricing &amp; promotions'!$B$6:$B$8)/100,0),2),J218)</f>
        <v>0.0</v>
      </c>
      <c r="I218" s="6">
        <f>ROUND((E218*G218-H218)/IF(OR(K218=TRUE,K218="TRUE",K218="YES",K218=1),1+'Settings'!$B$6/100,1),2)</f>
        <v>115.54</v>
      </c>
      <c r="J218" s="8">
        <v>0.0</v>
      </c>
      <c r="K218" s="3" t="inlineStr">
        <is>
          <t xml:space="preserve">TRUE</t>
        </is>
      </c>
      <c r="L218" s="3"/>
      <c r="M218" s="6">
        <f>ROUND(E218*G218-H218,2)</f>
        <v>139.8</v>
      </c>
      <c r="N218" s="5">
        <f>IF(COUNTIF($A$3:A218,A218)=1,1,0)</f>
        <v>1</v>
      </c>
      <c r="O218" s="6">
        <f>IF(N218=1,ROUND((SUMIFS($M$3:$M$1200,$A$3:$A$1200,A218)+'Settings'!$B$13)*'Settings'!$B$14/100+'Settings'!$B$15,2),0)</f>
        <v>2.39</v>
      </c>
    </row>
    <row r="219">
      <c r="A219" s="3" t="inlineStr">
        <is>
          <t xml:space="preserve">#1152</t>
        </is>
      </c>
      <c r="B219" s="3" t="inlineStr">
        <is>
          <t xml:space="preserve">2025-12-10</t>
        </is>
      </c>
      <c r="C219" s="3" t="inlineStr">
        <is>
          <t xml:space="preserve">SKU-G</t>
        </is>
      </c>
      <c r="D219" s="3" t="inlineStr">
        <is>
          <t xml:space="preserve">Daily Reset Set</t>
        </is>
      </c>
      <c r="E219" s="6">
        <f>IF('Settings'!$B$11="Scenario",IFERROR(INDEX('Catalogue'!$E$3:$E$100,MATCH(C219,'Catalogue'!$B$3:$B$100,0)),F219),F219)</f>
        <v>69</v>
      </c>
      <c r="F219" s="8">
        <v>69</v>
      </c>
      <c r="G219" s="3">
        <v>1</v>
      </c>
      <c r="H219" s="6">
        <f>IF('Settings'!$B$11="Scenario",ROUND(E219*G219*IFERROR(SUMIF('Pricing &amp; promotions'!$A$6:$A$8,L219,'Pricing &amp; promotions'!$B$6:$B$8)/100,0),2),J219)</f>
        <v>0.0</v>
      </c>
      <c r="I219" s="6">
        <f>ROUND((E219*G219-H219)/IF(OR(K219=TRUE,K219="TRUE",K219="YES",K219=1),1+'Settings'!$B$6/100,1),2)</f>
        <v>57.02</v>
      </c>
      <c r="J219" s="8">
        <v>0.0</v>
      </c>
      <c r="K219" s="3" t="inlineStr">
        <is>
          <t xml:space="preserve">TRUE</t>
        </is>
      </c>
      <c r="L219" s="3"/>
      <c r="M219" s="6">
        <f>ROUND(E219*G219-H219,2)</f>
        <v>69.0</v>
      </c>
      <c r="N219" s="5">
        <f>IF(COUNTIF($A$3:A219,A219)=1,1,0)</f>
        <v>1</v>
      </c>
      <c r="O219" s="6">
        <f>IF(N219=1,ROUND((SUMIFS($M$3:$M$1200,$A$3:$A$1200,A219)+'Settings'!$B$13)*'Settings'!$B$14/100+'Settings'!$B$15,2),0)</f>
        <v>1.33</v>
      </c>
    </row>
    <row r="220">
      <c r="A220" s="3" t="inlineStr">
        <is>
          <t xml:space="preserve">#1153</t>
        </is>
      </c>
      <c r="B220" s="3" t="inlineStr">
        <is>
          <t xml:space="preserve">2025-12-11</t>
        </is>
      </c>
      <c r="C220" s="3" t="inlineStr">
        <is>
          <t xml:space="preserve">SKU-A</t>
        </is>
      </c>
      <c r="D220" s="3" t="inlineStr">
        <is>
          <t xml:space="preserve">Renewal Serum</t>
        </is>
      </c>
      <c r="E220" s="6">
        <f>IF('Settings'!$B$11="Scenario",IFERROR(INDEX('Catalogue'!$E$3:$E$100,MATCH(C220,'Catalogue'!$B$3:$B$100,0)),F220),F220)</f>
        <v>69.9</v>
      </c>
      <c r="F220" s="8">
        <v>64</v>
      </c>
      <c r="G220" s="3">
        <v>1</v>
      </c>
      <c r="H220" s="6">
        <f>IF('Settings'!$B$11="Scenario",ROUND(E220*G220*IFERROR(SUMIF('Pricing &amp; promotions'!$A$6:$A$8,L220,'Pricing &amp; promotions'!$B$6:$B$8)/100,0),2),J220)</f>
        <v>10.49</v>
      </c>
      <c r="I220" s="6">
        <f>ROUND((E220*G220-H220)/IF(OR(K220=TRUE,K220="TRUE",K220="YES",K220=1),1+'Settings'!$B$6/100,1),2)</f>
        <v>49.1</v>
      </c>
      <c r="J220" s="8">
        <v>9.6</v>
      </c>
      <c r="K220" s="3" t="inlineStr">
        <is>
          <t xml:space="preserve">TRUE</t>
        </is>
      </c>
      <c r="L220" s="3" t="inlineStr">
        <is>
          <t xml:space="preserve">SUMMER15</t>
        </is>
      </c>
      <c r="M220" s="6">
        <f>ROUND(E220*G220-H220,2)</f>
        <v>59.41</v>
      </c>
      <c r="N220" s="5">
        <f>IF(COUNTIF($A$3:A220,A220)=1,1,0)</f>
        <v>1</v>
      </c>
      <c r="O220" s="6">
        <f>IF(N220=1,ROUND((SUMIFS($M$3:$M$1200,$A$3:$A$1200,A220)+'Settings'!$B$13)*'Settings'!$B$14/100+'Settings'!$B$15,2),0)</f>
        <v>1.19</v>
      </c>
    </row>
    <row r="221">
      <c r="A221" s="3" t="inlineStr">
        <is>
          <t xml:space="preserve">#1154</t>
        </is>
      </c>
      <c r="B221" s="3" t="inlineStr">
        <is>
          <t xml:space="preserve">2025-12-11</t>
        </is>
      </c>
      <c r="C221" s="3" t="inlineStr">
        <is>
          <t xml:space="preserve">SKU-C</t>
        </is>
      </c>
      <c r="D221" s="3" t="inlineStr">
        <is>
          <t xml:space="preserve">Contour Stone</t>
        </is>
      </c>
      <c r="E221" s="6">
        <f>IF('Settings'!$B$11="Scenario",IFERROR(INDEX('Catalogue'!$E$3:$E$100,MATCH(C221,'Catalogue'!$B$3:$B$100,0)),F221),F221)</f>
        <v>29</v>
      </c>
      <c r="F221" s="8">
        <v>29</v>
      </c>
      <c r="G221" s="3">
        <v>1</v>
      </c>
      <c r="H221" s="6">
        <f>IF('Settings'!$B$11="Scenario",ROUND(E221*G221*IFERROR(SUMIF('Pricing &amp; promotions'!$A$6:$A$8,L221,'Pricing &amp; promotions'!$B$6:$B$8)/100,0),2),J221)</f>
        <v>2.9</v>
      </c>
      <c r="I221" s="6">
        <f>ROUND((E221*G221-H221)/IF(OR(K221=TRUE,K221="TRUE",K221="YES",K221=1),1+'Settings'!$B$6/100,1),2)</f>
        <v>21.57</v>
      </c>
      <c r="J221" s="8">
        <v>2.9</v>
      </c>
      <c r="K221" s="3" t="inlineStr">
        <is>
          <t xml:space="preserve">TRUE</t>
        </is>
      </c>
      <c r="L221" s="3" t="inlineStr">
        <is>
          <t xml:space="preserve">WELCOME10</t>
        </is>
      </c>
      <c r="M221" s="6">
        <f>ROUND(E221*G221-H221,2)</f>
        <v>26.1</v>
      </c>
      <c r="N221" s="5">
        <f>IF(COUNTIF($A$3:A221,A221)=1,1,0)</f>
        <v>1</v>
      </c>
      <c r="O221" s="6">
        <f>IF(N221=1,ROUND((SUMIFS($M$3:$M$1200,$A$3:$A$1200,A221)+'Settings'!$B$13)*'Settings'!$B$14/100+'Settings'!$B$15,2),0)</f>
        <v>0.69</v>
      </c>
    </row>
    <row r="222">
      <c r="A222" s="3" t="inlineStr">
        <is>
          <t xml:space="preserve">#1155</t>
        </is>
      </c>
      <c r="B222" s="3" t="inlineStr">
        <is>
          <t xml:space="preserve">2025-12-11</t>
        </is>
      </c>
      <c r="C222" s="3" t="inlineStr">
        <is>
          <t xml:space="preserve">SKU-C</t>
        </is>
      </c>
      <c r="D222" s="3" t="inlineStr">
        <is>
          <t xml:space="preserve">Contour Stone</t>
        </is>
      </c>
      <c r="E222" s="6">
        <f>IF('Settings'!$B$11="Scenario",IFERROR(INDEX('Catalogue'!$E$3:$E$100,MATCH(C222,'Catalogue'!$B$3:$B$100,0)),F222),F222)</f>
        <v>29</v>
      </c>
      <c r="F222" s="8">
        <v>29</v>
      </c>
      <c r="G222" s="3">
        <v>1</v>
      </c>
      <c r="H222" s="6">
        <f>IF('Settings'!$B$11="Scenario",ROUND(E222*G222*IFERROR(SUMIF('Pricing &amp; promotions'!$A$6:$A$8,L222,'Pricing &amp; promotions'!$B$6:$B$8)/100,0),2),J222)</f>
        <v>0.0</v>
      </c>
      <c r="I222" s="6">
        <f>ROUND((E222*G222-H222)/IF(OR(K222=TRUE,K222="TRUE",K222="YES",K222=1),1+'Settings'!$B$6/100,1),2)</f>
        <v>23.97</v>
      </c>
      <c r="J222" s="8">
        <v>0.0</v>
      </c>
      <c r="K222" s="3" t="inlineStr">
        <is>
          <t xml:space="preserve">TRUE</t>
        </is>
      </c>
      <c r="L222" s="3"/>
      <c r="M222" s="6">
        <f>ROUND(E222*G222-H222,2)</f>
        <v>29.0</v>
      </c>
      <c r="N222" s="5">
        <f>IF(COUNTIF($A$3:A222,A222)=1,1,0)</f>
        <v>1</v>
      </c>
      <c r="O222" s="6">
        <f>IF(N222=1,ROUND((SUMIFS($M$3:$M$1200,$A$3:$A$1200,A222)+'Settings'!$B$13)*'Settings'!$B$14/100+'Settings'!$B$15,2),0)</f>
        <v>2.06</v>
      </c>
    </row>
    <row r="223">
      <c r="A223" s="3" t="inlineStr">
        <is>
          <t xml:space="preserve">#1155</t>
        </is>
      </c>
      <c r="B223" s="3" t="inlineStr">
        <is>
          <t xml:space="preserve">2025-12-11</t>
        </is>
      </c>
      <c r="C223" s="3" t="inlineStr">
        <is>
          <t xml:space="preserve">SKU-E</t>
        </is>
      </c>
      <c r="D223" s="3" t="inlineStr">
        <is>
          <t xml:space="preserve">Complete Ritual</t>
        </is>
      </c>
      <c r="E223" s="6">
        <f>IF('Settings'!$B$11="Scenario",IFERROR(INDEX('Catalogue'!$E$3:$E$100,MATCH(C223,'Catalogue'!$B$3:$B$100,0)),F223),F223)</f>
        <v>89</v>
      </c>
      <c r="F223" s="8">
        <v>89</v>
      </c>
      <c r="G223" s="3">
        <v>1</v>
      </c>
      <c r="H223" s="6">
        <f>IF('Settings'!$B$11="Scenario",ROUND(E223*G223*IFERROR(SUMIF('Pricing &amp; promotions'!$A$6:$A$8,L223,'Pricing &amp; promotions'!$B$6:$B$8)/100,0),2),J223)</f>
        <v>0.0</v>
      </c>
      <c r="I223" s="6">
        <f>ROUND((E223*G223-H223)/IF(OR(K223=TRUE,K223="TRUE",K223="YES",K223=1),1+'Settings'!$B$6/100,1),2)</f>
        <v>73.55</v>
      </c>
      <c r="J223" s="8">
        <v>0.0</v>
      </c>
      <c r="K223" s="3" t="inlineStr">
        <is>
          <t xml:space="preserve">TRUE</t>
        </is>
      </c>
      <c r="L223" s="3"/>
      <c r="M223" s="6">
        <f>ROUND(E223*G223-H223,2)</f>
        <v>89.0</v>
      </c>
      <c r="N223" s="5">
        <f>IF(COUNTIF($A$3:A223,A223)=1,1,0)</f>
        <v>0</v>
      </c>
      <c r="O223" s="6">
        <f>IF(N223=1,ROUND((SUMIFS($M$3:$M$1200,$A$3:$A$1200,A223)+'Settings'!$B$13)*'Settings'!$B$14/100+'Settings'!$B$15,2),0)</f>
        <v>0</v>
      </c>
    </row>
    <row r="224">
      <c r="A224" s="3" t="inlineStr">
        <is>
          <t xml:space="preserve">#1156</t>
        </is>
      </c>
      <c r="B224" s="3" t="inlineStr">
        <is>
          <t xml:space="preserve">2025-12-11</t>
        </is>
      </c>
      <c r="C224" s="3" t="inlineStr">
        <is>
          <t xml:space="preserve">SKU-B</t>
        </is>
      </c>
      <c r="D224" s="3" t="inlineStr">
        <is>
          <t xml:space="preserve">Barrier Balm</t>
        </is>
      </c>
      <c r="E224" s="6">
        <f>IF('Settings'!$B$11="Scenario",IFERROR(INDEX('Catalogue'!$E$3:$E$100,MATCH(C224,'Catalogue'!$B$3:$B$100,0)),F224),F224)</f>
        <v>19</v>
      </c>
      <c r="F224" s="8">
        <v>18</v>
      </c>
      <c r="G224" s="3">
        <v>1</v>
      </c>
      <c r="H224" s="6">
        <f>IF('Settings'!$B$11="Scenario",ROUND(E224*G224*IFERROR(SUMIF('Pricing &amp; promotions'!$A$6:$A$8,L224,'Pricing &amp; promotions'!$B$6:$B$8)/100,0),2),J224)</f>
        <v>0.0</v>
      </c>
      <c r="I224" s="6">
        <f>ROUND((E224*G224-H224)/IF(OR(K224=TRUE,K224="TRUE",K224="YES",K224=1),1+'Settings'!$B$6/100,1),2)</f>
        <v>15.7</v>
      </c>
      <c r="J224" s="8">
        <v>0.0</v>
      </c>
      <c r="K224" s="3" t="inlineStr">
        <is>
          <t xml:space="preserve">TRUE</t>
        </is>
      </c>
      <c r="L224" s="3"/>
      <c r="M224" s="6">
        <f>ROUND(E224*G224-H224,2)</f>
        <v>19.0</v>
      </c>
      <c r="N224" s="5">
        <f>IF(COUNTIF($A$3:A224,A224)=1,1,0)</f>
        <v>1</v>
      </c>
      <c r="O224" s="6">
        <f>IF(N224=1,ROUND((SUMIFS($M$3:$M$1200,$A$3:$A$1200,A224)+'Settings'!$B$13)*'Settings'!$B$14/100+'Settings'!$B$15,2),0)</f>
        <v>4.3</v>
      </c>
    </row>
    <row r="225">
      <c r="A225" s="3" t="inlineStr">
        <is>
          <t xml:space="preserve">#1156</t>
        </is>
      </c>
      <c r="B225" s="3" t="inlineStr">
        <is>
          <t xml:space="preserve">2025-12-11</t>
        </is>
      </c>
      <c r="C225" s="3" t="inlineStr">
        <is>
          <t xml:space="preserve">SKU-E</t>
        </is>
      </c>
      <c r="D225" s="3" t="inlineStr">
        <is>
          <t xml:space="preserve">Complete Ritual</t>
        </is>
      </c>
      <c r="E225" s="6">
        <f>IF('Settings'!$B$11="Scenario",IFERROR(INDEX('Catalogue'!$E$3:$E$100,MATCH(C225,'Catalogue'!$B$3:$B$100,0)),F225),F225)</f>
        <v>89</v>
      </c>
      <c r="F225" s="8">
        <v>89</v>
      </c>
      <c r="G225" s="3">
        <v>2</v>
      </c>
      <c r="H225" s="6">
        <f>IF('Settings'!$B$11="Scenario",ROUND(E225*G225*IFERROR(SUMIF('Pricing &amp; promotions'!$A$6:$A$8,L225,'Pricing &amp; promotions'!$B$6:$B$8)/100,0),2),J225)</f>
        <v>0.0</v>
      </c>
      <c r="I225" s="6">
        <f>ROUND((E225*G225-H225)/IF(OR(K225=TRUE,K225="TRUE",K225="YES",K225=1),1+'Settings'!$B$6/100,1),2)</f>
        <v>147.11</v>
      </c>
      <c r="J225" s="8">
        <v>0.0</v>
      </c>
      <c r="K225" s="3" t="inlineStr">
        <is>
          <t xml:space="preserve">TRUE</t>
        </is>
      </c>
      <c r="L225" s="3"/>
      <c r="M225" s="6">
        <f>ROUND(E225*G225-H225,2)</f>
        <v>178.0</v>
      </c>
      <c r="N225" s="5">
        <f>IF(COUNTIF($A$3:A225,A225)=1,1,0)</f>
        <v>0</v>
      </c>
      <c r="O225" s="6">
        <f>IF(N225=1,ROUND((SUMIFS($M$3:$M$1200,$A$3:$A$1200,A225)+'Settings'!$B$13)*'Settings'!$B$14/100+'Settings'!$B$15,2),0)</f>
        <v>0</v>
      </c>
    </row>
    <row r="226">
      <c r="A226" s="3" t="inlineStr">
        <is>
          <t xml:space="preserve">#1156</t>
        </is>
      </c>
      <c r="B226" s="3" t="inlineStr">
        <is>
          <t xml:space="preserve">2025-12-11</t>
        </is>
      </c>
      <c r="C226" s="3" t="inlineStr">
        <is>
          <t xml:space="preserve">SKU-A</t>
        </is>
      </c>
      <c r="D226" s="3" t="inlineStr">
        <is>
          <t xml:space="preserve">Renewal Serum</t>
        </is>
      </c>
      <c r="E226" s="6">
        <f>IF('Settings'!$B$11="Scenario",IFERROR(INDEX('Catalogue'!$E$3:$E$100,MATCH(C226,'Catalogue'!$B$3:$B$100,0)),F226),F226)</f>
        <v>69.9</v>
      </c>
      <c r="F226" s="8">
        <v>64</v>
      </c>
      <c r="G226" s="3">
        <v>1</v>
      </c>
      <c r="H226" s="6">
        <f>IF('Settings'!$B$11="Scenario",ROUND(E226*G226*IFERROR(SUMIF('Pricing &amp; promotions'!$A$6:$A$8,L226,'Pricing &amp; promotions'!$B$6:$B$8)/100,0),2),J226)</f>
        <v>0.0</v>
      </c>
      <c r="I226" s="6">
        <f>ROUND((E226*G226-H226)/IF(OR(K226=TRUE,K226="TRUE",K226="YES",K226=1),1+'Settings'!$B$6/100,1),2)</f>
        <v>57.77</v>
      </c>
      <c r="J226" s="8">
        <v>0.0</v>
      </c>
      <c r="K226" s="3" t="inlineStr">
        <is>
          <t xml:space="preserve">TRUE</t>
        </is>
      </c>
      <c r="L226" s="3"/>
      <c r="M226" s="6">
        <f>ROUND(E226*G226-H226,2)</f>
        <v>69.9</v>
      </c>
      <c r="N226" s="5">
        <f>IF(COUNTIF($A$3:A226,A226)=1,1,0)</f>
        <v>0</v>
      </c>
      <c r="O226" s="6">
        <f>IF(N226=1,ROUND((SUMIFS($M$3:$M$1200,$A$3:$A$1200,A226)+'Settings'!$B$13)*'Settings'!$B$14/100+'Settings'!$B$15,2),0)</f>
        <v>0</v>
      </c>
    </row>
    <row r="227">
      <c r="A227" s="3" t="inlineStr">
        <is>
          <t xml:space="preserve">#1157</t>
        </is>
      </c>
      <c r="B227" s="3" t="inlineStr">
        <is>
          <t xml:space="preserve">2025-12-11</t>
        </is>
      </c>
      <c r="C227" s="3" t="inlineStr">
        <is>
          <t xml:space="preserve">SKU-B</t>
        </is>
      </c>
      <c r="D227" s="3" t="inlineStr">
        <is>
          <t xml:space="preserve">Barrier Balm</t>
        </is>
      </c>
      <c r="E227" s="6">
        <f>IF('Settings'!$B$11="Scenario",IFERROR(INDEX('Catalogue'!$E$3:$E$100,MATCH(C227,'Catalogue'!$B$3:$B$100,0)),F227),F227)</f>
        <v>19</v>
      </c>
      <c r="F227" s="8">
        <v>18</v>
      </c>
      <c r="G227" s="3">
        <v>1</v>
      </c>
      <c r="H227" s="6">
        <f>IF('Settings'!$B$11="Scenario",ROUND(E227*G227*IFERROR(SUMIF('Pricing &amp; promotions'!$A$6:$A$8,L227,'Pricing &amp; promotions'!$B$6:$B$8)/100,0),2),J227)</f>
        <v>1.9</v>
      </c>
      <c r="I227" s="6">
        <f>ROUND((E227*G227-H227)/IF(OR(K227=TRUE,K227="TRUE",K227="YES",K227=1),1+'Settings'!$B$6/100,1),2)</f>
        <v>14.13</v>
      </c>
      <c r="J227" s="8">
        <v>1.8</v>
      </c>
      <c r="K227" s="3" t="inlineStr">
        <is>
          <t xml:space="preserve">TRUE</t>
        </is>
      </c>
      <c r="L227" s="3" t="inlineStr">
        <is>
          <t xml:space="preserve">WELCOME10</t>
        </is>
      </c>
      <c r="M227" s="6">
        <f>ROUND(E227*G227-H227,2)</f>
        <v>17.1</v>
      </c>
      <c r="N227" s="5">
        <f>IF(COUNTIF($A$3:A227,A227)=1,1,0)</f>
        <v>1</v>
      </c>
      <c r="O227" s="6">
        <f>IF(N227=1,ROUND((SUMIFS($M$3:$M$1200,$A$3:$A$1200,A227)+'Settings'!$B$13)*'Settings'!$B$14/100+'Settings'!$B$15,2),0)</f>
        <v>0.55</v>
      </c>
    </row>
    <row r="228">
      <c r="A228" s="3" t="inlineStr">
        <is>
          <t xml:space="preserve">#1158</t>
        </is>
      </c>
      <c r="B228" s="3" t="inlineStr">
        <is>
          <t xml:space="preserve">2025-12-12</t>
        </is>
      </c>
      <c r="C228" s="3" t="inlineStr">
        <is>
          <t xml:space="preserve">SKU-A</t>
        </is>
      </c>
      <c r="D228" s="3" t="inlineStr">
        <is>
          <t xml:space="preserve">Renewal Serum</t>
        </is>
      </c>
      <c r="E228" s="6">
        <f>IF('Settings'!$B$11="Scenario",IFERROR(INDEX('Catalogue'!$E$3:$E$100,MATCH(C228,'Catalogue'!$B$3:$B$100,0)),F228),F228)</f>
        <v>69.9</v>
      </c>
      <c r="F228" s="8">
        <v>64</v>
      </c>
      <c r="G228" s="3">
        <v>2</v>
      </c>
      <c r="H228" s="6">
        <f>IF('Settings'!$B$11="Scenario",ROUND(E228*G228*IFERROR(SUMIF('Pricing &amp; promotions'!$A$6:$A$8,L228,'Pricing &amp; promotions'!$B$6:$B$8)/100,0),2),J228)</f>
        <v>0.0</v>
      </c>
      <c r="I228" s="6">
        <f>ROUND((E228*G228-H228)/IF(OR(K228=TRUE,K228="TRUE",K228="YES",K228=1),1+'Settings'!$B$6/100,1),2)</f>
        <v>115.54</v>
      </c>
      <c r="J228" s="8">
        <v>0.0</v>
      </c>
      <c r="K228" s="3" t="inlineStr">
        <is>
          <t xml:space="preserve">TRUE</t>
        </is>
      </c>
      <c r="L228" s="3"/>
      <c r="M228" s="6">
        <f>ROUND(E228*G228-H228,2)</f>
        <v>139.8</v>
      </c>
      <c r="N228" s="5">
        <f>IF(COUNTIF($A$3:A228,A228)=1,1,0)</f>
        <v>1</v>
      </c>
      <c r="O228" s="6">
        <f>IF(N228=1,ROUND((SUMIFS($M$3:$M$1200,$A$3:$A$1200,A228)+'Settings'!$B$13)*'Settings'!$B$14/100+'Settings'!$B$15,2),0)</f>
        <v>2.39</v>
      </c>
    </row>
    <row r="229">
      <c r="A229" s="3" t="inlineStr">
        <is>
          <t xml:space="preserve">#1159</t>
        </is>
      </c>
      <c r="B229" s="3" t="inlineStr">
        <is>
          <t xml:space="preserve">2025-12-12</t>
        </is>
      </c>
      <c r="C229" s="3" t="inlineStr">
        <is>
          <t xml:space="preserve">SKU-A</t>
        </is>
      </c>
      <c r="D229" s="3" t="inlineStr">
        <is>
          <t xml:space="preserve">Renewal Serum</t>
        </is>
      </c>
      <c r="E229" s="6">
        <f>IF('Settings'!$B$11="Scenario",IFERROR(INDEX('Catalogue'!$E$3:$E$100,MATCH(C229,'Catalogue'!$B$3:$B$100,0)),F229),F229)</f>
        <v>69.9</v>
      </c>
      <c r="F229" s="8">
        <v>64</v>
      </c>
      <c r="G229" s="3">
        <v>1</v>
      </c>
      <c r="H229" s="6">
        <f>IF('Settings'!$B$11="Scenario",ROUND(E229*G229*IFERROR(SUMIF('Pricing &amp; promotions'!$A$6:$A$8,L229,'Pricing &amp; promotions'!$B$6:$B$8)/100,0),2),J229)</f>
        <v>0.0</v>
      </c>
      <c r="I229" s="6">
        <f>ROUND((E229*G229-H229)/IF(OR(K229=TRUE,K229="TRUE",K229="YES",K229=1),1+'Settings'!$B$6/100,1),2)</f>
        <v>57.77</v>
      </c>
      <c r="J229" s="8">
        <v>0.0</v>
      </c>
      <c r="K229" s="3" t="inlineStr">
        <is>
          <t xml:space="preserve">TRUE</t>
        </is>
      </c>
      <c r="L229" s="3"/>
      <c r="M229" s="6">
        <f>ROUND(E229*G229-H229,2)</f>
        <v>69.9</v>
      </c>
      <c r="N229" s="5">
        <f>IF(COUNTIF($A$3:A229,A229)=1,1,0)</f>
        <v>1</v>
      </c>
      <c r="O229" s="6">
        <f>IF(N229=1,ROUND((SUMIFS($M$3:$M$1200,$A$3:$A$1200,A229)+'Settings'!$B$13)*'Settings'!$B$14/100+'Settings'!$B$15,2),0)</f>
        <v>1.34</v>
      </c>
    </row>
    <row r="230">
      <c r="A230" s="3" t="inlineStr">
        <is>
          <t xml:space="preserve">#1160</t>
        </is>
      </c>
      <c r="B230" s="3" t="inlineStr">
        <is>
          <t xml:space="preserve">2025-12-13</t>
        </is>
      </c>
      <c r="C230" s="3" t="inlineStr">
        <is>
          <t xml:space="preserve">SKU-A</t>
        </is>
      </c>
      <c r="D230" s="3" t="inlineStr">
        <is>
          <t xml:space="preserve">Renewal Serum</t>
        </is>
      </c>
      <c r="E230" s="6">
        <f>IF('Settings'!$B$11="Scenario",IFERROR(INDEX('Catalogue'!$E$3:$E$100,MATCH(C230,'Catalogue'!$B$3:$B$100,0)),F230),F230)</f>
        <v>69.9</v>
      </c>
      <c r="F230" s="8">
        <v>64</v>
      </c>
      <c r="G230" s="3">
        <v>1</v>
      </c>
      <c r="H230" s="6">
        <f>IF('Settings'!$B$11="Scenario",ROUND(E230*G230*IFERROR(SUMIF('Pricing &amp; promotions'!$A$6:$A$8,L230,'Pricing &amp; promotions'!$B$6:$B$8)/100,0),2),J230)</f>
        <v>6.99</v>
      </c>
      <c r="I230" s="6">
        <f>ROUND((E230*G230-H230)/IF(OR(K230=TRUE,K230="TRUE",K230="YES",K230=1),1+'Settings'!$B$6/100,1),2)</f>
        <v>51.99</v>
      </c>
      <c r="J230" s="8">
        <v>6.4</v>
      </c>
      <c r="K230" s="3" t="inlineStr">
        <is>
          <t xml:space="preserve">TRUE</t>
        </is>
      </c>
      <c r="L230" s="3" t="inlineStr">
        <is>
          <t xml:space="preserve">WELCOME10</t>
        </is>
      </c>
      <c r="M230" s="6">
        <f>ROUND(E230*G230-H230,2)</f>
        <v>62.91</v>
      </c>
      <c r="N230" s="5">
        <f>IF(COUNTIF($A$3:A230,A230)=1,1,0)</f>
        <v>1</v>
      </c>
      <c r="O230" s="6">
        <f>IF(N230=1,ROUND((SUMIFS($M$3:$M$1200,$A$3:$A$1200,A230)+'Settings'!$B$13)*'Settings'!$B$14/100+'Settings'!$B$15,2),0)</f>
        <v>2.3</v>
      </c>
    </row>
    <row r="231">
      <c r="A231" s="3" t="inlineStr">
        <is>
          <t xml:space="preserve">#1160</t>
        </is>
      </c>
      <c r="B231" s="3" t="inlineStr">
        <is>
          <t xml:space="preserve">2025-12-13</t>
        </is>
      </c>
      <c r="C231" s="3" t="inlineStr">
        <is>
          <t xml:space="preserve">SKU-D</t>
        </is>
      </c>
      <c r="D231" s="3" t="inlineStr">
        <is>
          <t xml:space="preserve">Daily Duo</t>
        </is>
      </c>
      <c r="E231" s="6">
        <f>IF('Settings'!$B$11="Scenario",IFERROR(INDEX('Catalogue'!$E$3:$E$100,MATCH(C231,'Catalogue'!$B$3:$B$100,0)),F231),F231)</f>
        <v>79</v>
      </c>
      <c r="F231" s="8">
        <v>79</v>
      </c>
      <c r="G231" s="3">
        <v>1</v>
      </c>
      <c r="H231" s="6">
        <f>IF('Settings'!$B$11="Scenario",ROUND(E231*G231*IFERROR(SUMIF('Pricing &amp; promotions'!$A$6:$A$8,L231,'Pricing &amp; promotions'!$B$6:$B$8)/100,0),2),J231)</f>
        <v>7.9</v>
      </c>
      <c r="I231" s="6">
        <f>ROUND((E231*G231-H231)/IF(OR(K231=TRUE,K231="TRUE",K231="YES",K231=1),1+'Settings'!$B$6/100,1),2)</f>
        <v>58.76</v>
      </c>
      <c r="J231" s="8">
        <v>7.9</v>
      </c>
      <c r="K231" s="3" t="inlineStr">
        <is>
          <t xml:space="preserve">TRUE</t>
        </is>
      </c>
      <c r="L231" s="3" t="inlineStr">
        <is>
          <t xml:space="preserve">WELCOME10</t>
        </is>
      </c>
      <c r="M231" s="6">
        <f>ROUND(E231*G231-H231,2)</f>
        <v>71.1</v>
      </c>
      <c r="N231" s="5">
        <f>IF(COUNTIF($A$3:A231,A231)=1,1,0)</f>
        <v>0</v>
      </c>
      <c r="O231" s="6">
        <f>IF(N231=1,ROUND((SUMIFS($M$3:$M$1200,$A$3:$A$1200,A231)+'Settings'!$B$13)*'Settings'!$B$14/100+'Settings'!$B$15,2),0)</f>
        <v>0</v>
      </c>
    </row>
    <row r="232">
      <c r="A232" s="3" t="inlineStr">
        <is>
          <t xml:space="preserve">#1161</t>
        </is>
      </c>
      <c r="B232" s="3" t="inlineStr">
        <is>
          <t xml:space="preserve">2025-12-14</t>
        </is>
      </c>
      <c r="C232" s="3" t="inlineStr">
        <is>
          <t xml:space="preserve">SKU-A</t>
        </is>
      </c>
      <c r="D232" s="3" t="inlineStr">
        <is>
          <t xml:space="preserve">Renewal Serum</t>
        </is>
      </c>
      <c r="E232" s="6">
        <f>IF('Settings'!$B$11="Scenario",IFERROR(INDEX('Catalogue'!$E$3:$E$100,MATCH(C232,'Catalogue'!$B$3:$B$100,0)),F232),F232)</f>
        <v>69.9</v>
      </c>
      <c r="F232" s="8">
        <v>64</v>
      </c>
      <c r="G232" s="3">
        <v>1</v>
      </c>
      <c r="H232" s="6">
        <f>IF('Settings'!$B$11="Scenario",ROUND(E232*G232*IFERROR(SUMIF('Pricing &amp; promotions'!$A$6:$A$8,L232,'Pricing &amp; promotions'!$B$6:$B$8)/100,0),2),J232)</f>
        <v>0.0</v>
      </c>
      <c r="I232" s="6">
        <f>ROUND((E232*G232-H232)/IF(OR(K232=TRUE,K232="TRUE",K232="YES",K232=1),1+'Settings'!$B$6/100,1),2)</f>
        <v>57.77</v>
      </c>
      <c r="J232" s="8">
        <v>0.0</v>
      </c>
      <c r="K232" s="3" t="inlineStr">
        <is>
          <t xml:space="preserve">TRUE</t>
        </is>
      </c>
      <c r="L232" s="3"/>
      <c r="M232" s="6">
        <f>ROUND(E232*G232-H232,2)</f>
        <v>69.9</v>
      </c>
      <c r="N232" s="5">
        <f>IF(COUNTIF($A$3:A232,A232)=1,1,0)</f>
        <v>1</v>
      </c>
      <c r="O232" s="6">
        <f>IF(N232=1,ROUND((SUMIFS($M$3:$M$1200,$A$3:$A$1200,A232)+'Settings'!$B$13)*'Settings'!$B$14/100+'Settings'!$B$15,2),0)</f>
        <v>1.34</v>
      </c>
    </row>
    <row r="233">
      <c r="A233" s="3" t="inlineStr">
        <is>
          <t xml:space="preserve">#1162</t>
        </is>
      </c>
      <c r="B233" s="3" t="inlineStr">
        <is>
          <t xml:space="preserve">2025-12-14</t>
        </is>
      </c>
      <c r="C233" s="3" t="inlineStr">
        <is>
          <t xml:space="preserve">SKU-A</t>
        </is>
      </c>
      <c r="D233" s="3" t="inlineStr">
        <is>
          <t xml:space="preserve">Renewal Serum</t>
        </is>
      </c>
      <c r="E233" s="6">
        <f>IF('Settings'!$B$11="Scenario",IFERROR(INDEX('Catalogue'!$E$3:$E$100,MATCH(C233,'Catalogue'!$B$3:$B$100,0)),F233),F233)</f>
        <v>69.9</v>
      </c>
      <c r="F233" s="8">
        <v>64</v>
      </c>
      <c r="G233" s="3">
        <v>1</v>
      </c>
      <c r="H233" s="6">
        <f>IF('Settings'!$B$11="Scenario",ROUND(E233*G233*IFERROR(SUMIF('Pricing &amp; promotions'!$A$6:$A$8,L233,'Pricing &amp; promotions'!$B$6:$B$8)/100,0),2),J233)</f>
        <v>0.0</v>
      </c>
      <c r="I233" s="6">
        <f>ROUND((E233*G233-H233)/IF(OR(K233=TRUE,K233="TRUE",K233="YES",K233=1),1+'Settings'!$B$6/100,1),2)</f>
        <v>57.77</v>
      </c>
      <c r="J233" s="8">
        <v>0.0</v>
      </c>
      <c r="K233" s="3" t="inlineStr">
        <is>
          <t xml:space="preserve">TRUE</t>
        </is>
      </c>
      <c r="L233" s="3"/>
      <c r="M233" s="6">
        <f>ROUND(E233*G233-H233,2)</f>
        <v>69.9</v>
      </c>
      <c r="N233" s="5">
        <f>IF(COUNTIF($A$3:A233,A233)=1,1,0)</f>
        <v>1</v>
      </c>
      <c r="O233" s="6">
        <f>IF(N233=1,ROUND((SUMIFS($M$3:$M$1200,$A$3:$A$1200,A233)+'Settings'!$B$13)*'Settings'!$B$14/100+'Settings'!$B$15,2),0)</f>
        <v>1.34</v>
      </c>
    </row>
    <row r="234">
      <c r="A234" s="3" t="inlineStr">
        <is>
          <t xml:space="preserve">#1163</t>
        </is>
      </c>
      <c r="B234" s="3" t="inlineStr">
        <is>
          <t xml:space="preserve">2025-12-14</t>
        </is>
      </c>
      <c r="C234" s="3" t="inlineStr">
        <is>
          <t xml:space="preserve">SKU-D</t>
        </is>
      </c>
      <c r="D234" s="3" t="inlineStr">
        <is>
          <t xml:space="preserve">Daily Duo</t>
        </is>
      </c>
      <c r="E234" s="6">
        <f>IF('Settings'!$B$11="Scenario",IFERROR(INDEX('Catalogue'!$E$3:$E$100,MATCH(C234,'Catalogue'!$B$3:$B$100,0)),F234),F234)</f>
        <v>79</v>
      </c>
      <c r="F234" s="8">
        <v>79</v>
      </c>
      <c r="G234" s="3">
        <v>1</v>
      </c>
      <c r="H234" s="6">
        <f>IF('Settings'!$B$11="Scenario",ROUND(E234*G234*IFERROR(SUMIF('Pricing &amp; promotions'!$A$6:$A$8,L234,'Pricing &amp; promotions'!$B$6:$B$8)/100,0),2),J234)</f>
        <v>0.0</v>
      </c>
      <c r="I234" s="6">
        <f>ROUND((E234*G234-H234)/IF(OR(K234=TRUE,K234="TRUE",K234="YES",K234=1),1+'Settings'!$B$6/100,1),2)</f>
        <v>65.29</v>
      </c>
      <c r="J234" s="8">
        <v>0.0</v>
      </c>
      <c r="K234" s="3" t="inlineStr">
        <is>
          <t xml:space="preserve">TRUE</t>
        </is>
      </c>
      <c r="L234" s="3"/>
      <c r="M234" s="6">
        <f>ROUND(E234*G234-H234,2)</f>
        <v>79.0</v>
      </c>
      <c r="N234" s="5">
        <f>IF(COUNTIF($A$3:A234,A234)=1,1,0)</f>
        <v>1</v>
      </c>
      <c r="O234" s="6">
        <f>IF(N234=1,ROUND((SUMIFS($M$3:$M$1200,$A$3:$A$1200,A234)+'Settings'!$B$13)*'Settings'!$B$14/100+'Settings'!$B$15,2),0)</f>
        <v>2.81</v>
      </c>
    </row>
    <row r="235">
      <c r="A235" s="3" t="inlineStr">
        <is>
          <t xml:space="preserve">#1163</t>
        </is>
      </c>
      <c r="B235" s="3" t="inlineStr">
        <is>
          <t xml:space="preserve">2025-12-14</t>
        </is>
      </c>
      <c r="C235" s="3" t="inlineStr">
        <is>
          <t xml:space="preserve">SKU-E</t>
        </is>
      </c>
      <c r="D235" s="3" t="inlineStr">
        <is>
          <t xml:space="preserve">Complete Ritual</t>
        </is>
      </c>
      <c r="E235" s="6">
        <f>IF('Settings'!$B$11="Scenario",IFERROR(INDEX('Catalogue'!$E$3:$E$100,MATCH(C235,'Catalogue'!$B$3:$B$100,0)),F235),F235)</f>
        <v>89</v>
      </c>
      <c r="F235" s="8">
        <v>89</v>
      </c>
      <c r="G235" s="3">
        <v>1</v>
      </c>
      <c r="H235" s="6">
        <f>IF('Settings'!$B$11="Scenario",ROUND(E235*G235*IFERROR(SUMIF('Pricing &amp; promotions'!$A$6:$A$8,L235,'Pricing &amp; promotions'!$B$6:$B$8)/100,0),2),J235)</f>
        <v>0.0</v>
      </c>
      <c r="I235" s="6">
        <f>ROUND((E235*G235-H235)/IF(OR(K235=TRUE,K235="TRUE",K235="YES",K235=1),1+'Settings'!$B$6/100,1),2)</f>
        <v>73.55</v>
      </c>
      <c r="J235" s="8">
        <v>0.0</v>
      </c>
      <c r="K235" s="3" t="inlineStr">
        <is>
          <t xml:space="preserve">TRUE</t>
        </is>
      </c>
      <c r="L235" s="3"/>
      <c r="M235" s="6">
        <f>ROUND(E235*G235-H235,2)</f>
        <v>89.0</v>
      </c>
      <c r="N235" s="5">
        <f>IF(COUNTIF($A$3:A235,A235)=1,1,0)</f>
        <v>0</v>
      </c>
      <c r="O235" s="6">
        <f>IF(N235=1,ROUND((SUMIFS($M$3:$M$1200,$A$3:$A$1200,A235)+'Settings'!$B$13)*'Settings'!$B$14/100+'Settings'!$B$15,2),0)</f>
        <v>0</v>
      </c>
    </row>
    <row r="236">
      <c r="A236" s="3" t="inlineStr">
        <is>
          <t xml:space="preserve">#1164</t>
        </is>
      </c>
      <c r="B236" s="3" t="inlineStr">
        <is>
          <t xml:space="preserve">2025-12-14</t>
        </is>
      </c>
      <c r="C236" s="3" t="inlineStr">
        <is>
          <t xml:space="preserve">SKU-F</t>
        </is>
      </c>
      <c r="D236" s="3" t="inlineStr">
        <is>
          <t xml:space="preserve">Cloud Cleanser</t>
        </is>
      </c>
      <c r="E236" s="6">
        <f>IF('Settings'!$B$11="Scenario",IFERROR(INDEX('Catalogue'!$E$3:$E$100,MATCH(C236,'Catalogue'!$B$3:$B$100,0)),F236),F236)</f>
        <v>34</v>
      </c>
      <c r="F236" s="8">
        <v>34</v>
      </c>
      <c r="G236" s="3">
        <v>1</v>
      </c>
      <c r="H236" s="6">
        <f>IF('Settings'!$B$11="Scenario",ROUND(E236*G236*IFERROR(SUMIF('Pricing &amp; promotions'!$A$6:$A$8,L236,'Pricing &amp; promotions'!$B$6:$B$8)/100,0),2),J236)</f>
        <v>0.0</v>
      </c>
      <c r="I236" s="6">
        <f>ROUND((E236*G236-H236)/IF(OR(K236=TRUE,K236="TRUE",K236="YES",K236=1),1+'Settings'!$B$6/100,1),2)</f>
        <v>28.1</v>
      </c>
      <c r="J236" s="8">
        <v>0.0</v>
      </c>
      <c r="K236" s="3" t="inlineStr">
        <is>
          <t xml:space="preserve">TRUE</t>
        </is>
      </c>
      <c r="L236" s="3"/>
      <c r="M236" s="6">
        <f>ROUND(E236*G236-H236,2)</f>
        <v>34.0</v>
      </c>
      <c r="N236" s="5">
        <f>IF(COUNTIF($A$3:A236,A236)=1,1,0)</f>
        <v>1</v>
      </c>
      <c r="O236" s="6">
        <f>IF(N236=1,ROUND((SUMIFS($M$3:$M$1200,$A$3:$A$1200,A236)+'Settings'!$B$13)*'Settings'!$B$14/100+'Settings'!$B$15,2),0)</f>
        <v>0.8</v>
      </c>
    </row>
    <row r="237">
      <c r="A237" s="3" t="inlineStr">
        <is>
          <t xml:space="preserve">#1165</t>
        </is>
      </c>
      <c r="B237" s="3" t="inlineStr">
        <is>
          <t xml:space="preserve">2025-12-15</t>
        </is>
      </c>
      <c r="C237" s="3" t="inlineStr">
        <is>
          <t xml:space="preserve">SKU-C</t>
        </is>
      </c>
      <c r="D237" s="3" t="inlineStr">
        <is>
          <t xml:space="preserve">Contour Stone</t>
        </is>
      </c>
      <c r="E237" s="6">
        <f>IF('Settings'!$B$11="Scenario",IFERROR(INDEX('Catalogue'!$E$3:$E$100,MATCH(C237,'Catalogue'!$B$3:$B$100,0)),F237),F237)</f>
        <v>29</v>
      </c>
      <c r="F237" s="8">
        <v>29</v>
      </c>
      <c r="G237" s="3">
        <v>1</v>
      </c>
      <c r="H237" s="6">
        <f>IF('Settings'!$B$11="Scenario",ROUND(E237*G237*IFERROR(SUMIF('Pricing &amp; promotions'!$A$6:$A$8,L237,'Pricing &amp; promotions'!$B$6:$B$8)/100,0),2),J237)</f>
        <v>0.0</v>
      </c>
      <c r="I237" s="6">
        <f>ROUND((E237*G237-H237)/IF(OR(K237=TRUE,K237="TRUE",K237="YES",K237=1),1+'Settings'!$B$6/100,1),2)</f>
        <v>23.97</v>
      </c>
      <c r="J237" s="8">
        <v>0.0</v>
      </c>
      <c r="K237" s="3" t="inlineStr">
        <is>
          <t xml:space="preserve">TRUE</t>
        </is>
      </c>
      <c r="L237" s="3"/>
      <c r="M237" s="6">
        <f>ROUND(E237*G237-H237,2)</f>
        <v>29.0</v>
      </c>
      <c r="N237" s="5">
        <f>IF(COUNTIF($A$3:A237,A237)=1,1,0)</f>
        <v>1</v>
      </c>
      <c r="O237" s="6">
        <f>IF(N237=1,ROUND((SUMIFS($M$3:$M$1200,$A$3:$A$1200,A237)+'Settings'!$B$13)*'Settings'!$B$14/100+'Settings'!$B$15,2),0)</f>
        <v>0.73</v>
      </c>
    </row>
    <row r="238">
      <c r="A238" s="3" t="inlineStr">
        <is>
          <t xml:space="preserve">#1166</t>
        </is>
      </c>
      <c r="B238" s="3" t="inlineStr">
        <is>
          <t xml:space="preserve">2025-12-16</t>
        </is>
      </c>
      <c r="C238" s="3" t="inlineStr">
        <is>
          <t xml:space="preserve">SKU-C</t>
        </is>
      </c>
      <c r="D238" s="3" t="inlineStr">
        <is>
          <t xml:space="preserve">Contour Stone</t>
        </is>
      </c>
      <c r="E238" s="6">
        <f>IF('Settings'!$B$11="Scenario",IFERROR(INDEX('Catalogue'!$E$3:$E$100,MATCH(C238,'Catalogue'!$B$3:$B$100,0)),F238),F238)</f>
        <v>29</v>
      </c>
      <c r="F238" s="8">
        <v>29</v>
      </c>
      <c r="G238" s="3">
        <v>1</v>
      </c>
      <c r="H238" s="6">
        <f>IF('Settings'!$B$11="Scenario",ROUND(E238*G238*IFERROR(SUMIF('Pricing &amp; promotions'!$A$6:$A$8,L238,'Pricing &amp; promotions'!$B$6:$B$8)/100,0),2),J238)</f>
        <v>2.9</v>
      </c>
      <c r="I238" s="6">
        <f>ROUND((E238*G238-H238)/IF(OR(K238=TRUE,K238="TRUE",K238="YES",K238=1),1+'Settings'!$B$6/100,1),2)</f>
        <v>21.57</v>
      </c>
      <c r="J238" s="8">
        <v>2.9</v>
      </c>
      <c r="K238" s="3" t="inlineStr">
        <is>
          <t xml:space="preserve">TRUE</t>
        </is>
      </c>
      <c r="L238" s="3" t="inlineStr">
        <is>
          <t xml:space="preserve">WELCOME10</t>
        </is>
      </c>
      <c r="M238" s="6">
        <f>ROUND(E238*G238-H238,2)</f>
        <v>26.1</v>
      </c>
      <c r="N238" s="5">
        <f>IF(COUNTIF($A$3:A238,A238)=1,1,0)</f>
        <v>1</v>
      </c>
      <c r="O238" s="6">
        <f>IF(N238=1,ROUND((SUMIFS($M$3:$M$1200,$A$3:$A$1200,A238)+'Settings'!$B$13)*'Settings'!$B$14/100+'Settings'!$B$15,2),0)</f>
        <v>0.69</v>
      </c>
    </row>
    <row r="239">
      <c r="A239" s="3" t="inlineStr">
        <is>
          <t xml:space="preserve">#1167</t>
        </is>
      </c>
      <c r="B239" s="3" t="inlineStr">
        <is>
          <t xml:space="preserve">2025-12-16</t>
        </is>
      </c>
      <c r="C239" s="3" t="inlineStr">
        <is>
          <t xml:space="preserve">SKU-E</t>
        </is>
      </c>
      <c r="D239" s="3" t="inlineStr">
        <is>
          <t xml:space="preserve">Complete Ritual</t>
        </is>
      </c>
      <c r="E239" s="6">
        <f>IF('Settings'!$B$11="Scenario",IFERROR(INDEX('Catalogue'!$E$3:$E$100,MATCH(C239,'Catalogue'!$B$3:$B$100,0)),F239),F239)</f>
        <v>89</v>
      </c>
      <c r="F239" s="8">
        <v>89</v>
      </c>
      <c r="G239" s="3">
        <v>1</v>
      </c>
      <c r="H239" s="6">
        <f>IF('Settings'!$B$11="Scenario",ROUND(E239*G239*IFERROR(SUMIF('Pricing &amp; promotions'!$A$6:$A$8,L239,'Pricing &amp; promotions'!$B$6:$B$8)/100,0),2),J239)</f>
        <v>13.35</v>
      </c>
      <c r="I239" s="6">
        <f>ROUND((E239*G239-H239)/IF(OR(K239=TRUE,K239="TRUE",K239="YES",K239=1),1+'Settings'!$B$6/100,1),2)</f>
        <v>62.52</v>
      </c>
      <c r="J239" s="8">
        <v>13.35</v>
      </c>
      <c r="K239" s="3" t="inlineStr">
        <is>
          <t xml:space="preserve">TRUE</t>
        </is>
      </c>
      <c r="L239" s="3" t="inlineStr">
        <is>
          <t xml:space="preserve">SUMMER15</t>
        </is>
      </c>
      <c r="M239" s="6">
        <f>ROUND(E239*G239-H239,2)</f>
        <v>75.65</v>
      </c>
      <c r="N239" s="5">
        <f>IF(COUNTIF($A$3:A239,A239)=1,1,0)</f>
        <v>1</v>
      </c>
      <c r="O239" s="6">
        <f>IF(N239=1,ROUND((SUMIFS($M$3:$M$1200,$A$3:$A$1200,A239)+'Settings'!$B$13)*'Settings'!$B$14/100+'Settings'!$B$15,2),0)</f>
        <v>2.31</v>
      </c>
    </row>
    <row r="240">
      <c r="A240" s="3" t="inlineStr">
        <is>
          <t xml:space="preserve">#1167</t>
        </is>
      </c>
      <c r="B240" s="3" t="inlineStr">
        <is>
          <t xml:space="preserve">2025-12-16</t>
        </is>
      </c>
      <c r="C240" s="3" t="inlineStr">
        <is>
          <t xml:space="preserve">SKU-G</t>
        </is>
      </c>
      <c r="D240" s="3" t="inlineStr">
        <is>
          <t xml:space="preserve">Daily Reset Set</t>
        </is>
      </c>
      <c r="E240" s="6">
        <f>IF('Settings'!$B$11="Scenario",IFERROR(INDEX('Catalogue'!$E$3:$E$100,MATCH(C240,'Catalogue'!$B$3:$B$100,0)),F240),F240)</f>
        <v>69</v>
      </c>
      <c r="F240" s="8">
        <v>69</v>
      </c>
      <c r="G240" s="3">
        <v>1</v>
      </c>
      <c r="H240" s="6">
        <f>IF('Settings'!$B$11="Scenario",ROUND(E240*G240*IFERROR(SUMIF('Pricing &amp; promotions'!$A$6:$A$8,L240,'Pricing &amp; promotions'!$B$6:$B$8)/100,0),2),J240)</f>
        <v>10.35</v>
      </c>
      <c r="I240" s="6">
        <f>ROUND((E240*G240-H240)/IF(OR(K240=TRUE,K240="TRUE",K240="YES",K240=1),1+'Settings'!$B$6/100,1),2)</f>
        <v>48.47</v>
      </c>
      <c r="J240" s="8">
        <v>10.35</v>
      </c>
      <c r="K240" s="3" t="inlineStr">
        <is>
          <t xml:space="preserve">TRUE</t>
        </is>
      </c>
      <c r="L240" s="3" t="inlineStr">
        <is>
          <t xml:space="preserve">SUMMER15</t>
        </is>
      </c>
      <c r="M240" s="6">
        <f>ROUND(E240*G240-H240,2)</f>
        <v>58.65</v>
      </c>
      <c r="N240" s="5">
        <f>IF(COUNTIF($A$3:A240,A240)=1,1,0)</f>
        <v>0</v>
      </c>
      <c r="O240" s="6">
        <f>IF(N240=1,ROUND((SUMIFS($M$3:$M$1200,$A$3:$A$1200,A240)+'Settings'!$B$13)*'Settings'!$B$14/100+'Settings'!$B$15,2),0)</f>
        <v>0</v>
      </c>
    </row>
    <row r="241">
      <c r="A241" s="3" t="inlineStr">
        <is>
          <t xml:space="preserve">#1168</t>
        </is>
      </c>
      <c r="B241" s="3" t="inlineStr">
        <is>
          <t xml:space="preserve">2025-12-16</t>
        </is>
      </c>
      <c r="C241" s="3" t="inlineStr">
        <is>
          <t xml:space="preserve">SKU-D</t>
        </is>
      </c>
      <c r="D241" s="3" t="inlineStr">
        <is>
          <t xml:space="preserve">Daily Duo</t>
        </is>
      </c>
      <c r="E241" s="6">
        <f>IF('Settings'!$B$11="Scenario",IFERROR(INDEX('Catalogue'!$E$3:$E$100,MATCH(C241,'Catalogue'!$B$3:$B$100,0)),F241),F241)</f>
        <v>79</v>
      </c>
      <c r="F241" s="8">
        <v>79</v>
      </c>
      <c r="G241" s="3">
        <v>1</v>
      </c>
      <c r="H241" s="6">
        <f>IF('Settings'!$B$11="Scenario",ROUND(E241*G241*IFERROR(SUMIF('Pricing &amp; promotions'!$A$6:$A$8,L241,'Pricing &amp; promotions'!$B$6:$B$8)/100,0),2),J241)</f>
        <v>7.9</v>
      </c>
      <c r="I241" s="6">
        <f>ROUND((E241*G241-H241)/IF(OR(K241=TRUE,K241="TRUE",K241="YES",K241=1),1+'Settings'!$B$6/100,1),2)</f>
        <v>58.76</v>
      </c>
      <c r="J241" s="8">
        <v>7.9</v>
      </c>
      <c r="K241" s="3" t="inlineStr">
        <is>
          <t xml:space="preserve">TRUE</t>
        </is>
      </c>
      <c r="L241" s="3" t="inlineStr">
        <is>
          <t xml:space="preserve">WELCOME10</t>
        </is>
      </c>
      <c r="M241" s="6">
        <f>ROUND(E241*G241-H241,2)</f>
        <v>71.1</v>
      </c>
      <c r="N241" s="5">
        <f>IF(COUNTIF($A$3:A241,A241)=1,1,0)</f>
        <v>1</v>
      </c>
      <c r="O241" s="6">
        <f>IF(N241=1,ROUND((SUMIFS($M$3:$M$1200,$A$3:$A$1200,A241)+'Settings'!$B$13)*'Settings'!$B$14/100+'Settings'!$B$15,2),0)</f>
        <v>1.36</v>
      </c>
    </row>
    <row r="242">
      <c r="A242" s="3" t="inlineStr">
        <is>
          <t xml:space="preserve">#1169</t>
        </is>
      </c>
      <c r="B242" s="3" t="inlineStr">
        <is>
          <t xml:space="preserve">2025-12-16</t>
        </is>
      </c>
      <c r="C242" s="3" t="inlineStr">
        <is>
          <t xml:space="preserve">SKU-A</t>
        </is>
      </c>
      <c r="D242" s="3" t="inlineStr">
        <is>
          <t xml:space="preserve">Renewal Serum</t>
        </is>
      </c>
      <c r="E242" s="6">
        <f>IF('Settings'!$B$11="Scenario",IFERROR(INDEX('Catalogue'!$E$3:$E$100,MATCH(C242,'Catalogue'!$B$3:$B$100,0)),F242),F242)</f>
        <v>69.9</v>
      </c>
      <c r="F242" s="8">
        <v>64</v>
      </c>
      <c r="G242" s="3">
        <v>1</v>
      </c>
      <c r="H242" s="6">
        <f>IF('Settings'!$B$11="Scenario",ROUND(E242*G242*IFERROR(SUMIF('Pricing &amp; promotions'!$A$6:$A$8,L242,'Pricing &amp; promotions'!$B$6:$B$8)/100,0),2),J242)</f>
        <v>6.99</v>
      </c>
      <c r="I242" s="6">
        <f>ROUND((E242*G242-H242)/IF(OR(K242=TRUE,K242="TRUE",K242="YES",K242=1),1+'Settings'!$B$6/100,1),2)</f>
        <v>51.99</v>
      </c>
      <c r="J242" s="8">
        <v>6.4</v>
      </c>
      <c r="K242" s="3" t="inlineStr">
        <is>
          <t xml:space="preserve">TRUE</t>
        </is>
      </c>
      <c r="L242" s="3" t="inlineStr">
        <is>
          <t xml:space="preserve">WELCOME10</t>
        </is>
      </c>
      <c r="M242" s="6">
        <f>ROUND(E242*G242-H242,2)</f>
        <v>62.91</v>
      </c>
      <c r="N242" s="5">
        <f>IF(COUNTIF($A$3:A242,A242)=1,1,0)</f>
        <v>1</v>
      </c>
      <c r="O242" s="6">
        <f>IF(N242=1,ROUND((SUMIFS($M$3:$M$1200,$A$3:$A$1200,A242)+'Settings'!$B$13)*'Settings'!$B$14/100+'Settings'!$B$15,2),0)</f>
        <v>1.24</v>
      </c>
    </row>
    <row r="243">
      <c r="A243" s="3" t="inlineStr">
        <is>
          <t xml:space="preserve">#1170</t>
        </is>
      </c>
      <c r="B243" s="3" t="inlineStr">
        <is>
          <t xml:space="preserve">2025-12-17</t>
        </is>
      </c>
      <c r="C243" s="3" t="inlineStr">
        <is>
          <t xml:space="preserve">SKU-B</t>
        </is>
      </c>
      <c r="D243" s="3" t="inlineStr">
        <is>
          <t xml:space="preserve">Barrier Balm</t>
        </is>
      </c>
      <c r="E243" s="6">
        <f>IF('Settings'!$B$11="Scenario",IFERROR(INDEX('Catalogue'!$E$3:$E$100,MATCH(C243,'Catalogue'!$B$3:$B$100,0)),F243),F243)</f>
        <v>19</v>
      </c>
      <c r="F243" s="8">
        <v>18</v>
      </c>
      <c r="G243" s="3">
        <v>1</v>
      </c>
      <c r="H243" s="6">
        <f>IF('Settings'!$B$11="Scenario",ROUND(E243*G243*IFERROR(SUMIF('Pricing &amp; promotions'!$A$6:$A$8,L243,'Pricing &amp; promotions'!$B$6:$B$8)/100,0),2),J243)</f>
        <v>0.0</v>
      </c>
      <c r="I243" s="6">
        <f>ROUND((E243*G243-H243)/IF(OR(K243=TRUE,K243="TRUE",K243="YES",K243=1),1+'Settings'!$B$6/100,1),2)</f>
        <v>15.7</v>
      </c>
      <c r="J243" s="8">
        <v>0.0</v>
      </c>
      <c r="K243" s="3" t="inlineStr">
        <is>
          <t xml:space="preserve">TRUE</t>
        </is>
      </c>
      <c r="L243" s="3"/>
      <c r="M243" s="6">
        <f>ROUND(E243*G243-H243,2)</f>
        <v>19.0</v>
      </c>
      <c r="N243" s="5">
        <f>IF(COUNTIF($A$3:A243,A243)=1,1,0)</f>
        <v>1</v>
      </c>
      <c r="O243" s="6">
        <f>IF(N243=1,ROUND((SUMIFS($M$3:$M$1200,$A$3:$A$1200,A243)+'Settings'!$B$13)*'Settings'!$B$14/100+'Settings'!$B$15,2),0)</f>
        <v>1.76</v>
      </c>
    </row>
    <row r="244">
      <c r="A244" s="3" t="inlineStr">
        <is>
          <t xml:space="preserve">#1170</t>
        </is>
      </c>
      <c r="B244" s="3" t="inlineStr">
        <is>
          <t xml:space="preserve">2025-12-17</t>
        </is>
      </c>
      <c r="C244" s="3" t="inlineStr">
        <is>
          <t xml:space="preserve">SKU-D</t>
        </is>
      </c>
      <c r="D244" s="3" t="inlineStr">
        <is>
          <t xml:space="preserve">Daily Duo</t>
        </is>
      </c>
      <c r="E244" s="6">
        <f>IF('Settings'!$B$11="Scenario",IFERROR(INDEX('Catalogue'!$E$3:$E$100,MATCH(C244,'Catalogue'!$B$3:$B$100,0)),F244),F244)</f>
        <v>79</v>
      </c>
      <c r="F244" s="8">
        <v>79</v>
      </c>
      <c r="G244" s="3">
        <v>1</v>
      </c>
      <c r="H244" s="6">
        <f>IF('Settings'!$B$11="Scenario",ROUND(E244*G244*IFERROR(SUMIF('Pricing &amp; promotions'!$A$6:$A$8,L244,'Pricing &amp; promotions'!$B$6:$B$8)/100,0),2),J244)</f>
        <v>0.0</v>
      </c>
      <c r="I244" s="6">
        <f>ROUND((E244*G244-H244)/IF(OR(K244=TRUE,K244="TRUE",K244="YES",K244=1),1+'Settings'!$B$6/100,1),2)</f>
        <v>65.29</v>
      </c>
      <c r="J244" s="8">
        <v>0.0</v>
      </c>
      <c r="K244" s="3" t="inlineStr">
        <is>
          <t xml:space="preserve">TRUE</t>
        </is>
      </c>
      <c r="L244" s="3"/>
      <c r="M244" s="6">
        <f>ROUND(E244*G244-H244,2)</f>
        <v>79.0</v>
      </c>
      <c r="N244" s="5">
        <f>IF(COUNTIF($A$3:A244,A244)=1,1,0)</f>
        <v>0</v>
      </c>
      <c r="O244" s="6">
        <f>IF(N244=1,ROUND((SUMIFS($M$3:$M$1200,$A$3:$A$1200,A244)+'Settings'!$B$13)*'Settings'!$B$14/100+'Settings'!$B$15,2),0)</f>
        <v>0</v>
      </c>
    </row>
    <row r="245">
      <c r="A245" s="3" t="inlineStr">
        <is>
          <t xml:space="preserve">#1171</t>
        </is>
      </c>
      <c r="B245" s="3" t="inlineStr">
        <is>
          <t xml:space="preserve">2025-12-17</t>
        </is>
      </c>
      <c r="C245" s="3" t="inlineStr">
        <is>
          <t xml:space="preserve">SKU-C</t>
        </is>
      </c>
      <c r="D245" s="3" t="inlineStr">
        <is>
          <t xml:space="preserve">Contour Stone</t>
        </is>
      </c>
      <c r="E245" s="6">
        <f>IF('Settings'!$B$11="Scenario",IFERROR(INDEX('Catalogue'!$E$3:$E$100,MATCH(C245,'Catalogue'!$B$3:$B$100,0)),F245),F245)</f>
        <v>29</v>
      </c>
      <c r="F245" s="8">
        <v>29</v>
      </c>
      <c r="G245" s="3">
        <v>1</v>
      </c>
      <c r="H245" s="6">
        <f>IF('Settings'!$B$11="Scenario",ROUND(E245*G245*IFERROR(SUMIF('Pricing &amp; promotions'!$A$6:$A$8,L245,'Pricing &amp; promotions'!$B$6:$B$8)/100,0),2),J245)</f>
        <v>4.35</v>
      </c>
      <c r="I245" s="6">
        <f>ROUND((E245*G245-H245)/IF(OR(K245=TRUE,K245="TRUE",K245="YES",K245=1),1+'Settings'!$B$6/100,1),2)</f>
        <v>20.37</v>
      </c>
      <c r="J245" s="8">
        <v>4.35</v>
      </c>
      <c r="K245" s="3" t="inlineStr">
        <is>
          <t xml:space="preserve">TRUE</t>
        </is>
      </c>
      <c r="L245" s="3" t="inlineStr">
        <is>
          <t xml:space="preserve">SUMMER15</t>
        </is>
      </c>
      <c r="M245" s="6">
        <f>ROUND(E245*G245-H245,2)</f>
        <v>24.65</v>
      </c>
      <c r="N245" s="5">
        <f>IF(COUNTIF($A$3:A245,A245)=1,1,0)</f>
        <v>1</v>
      </c>
      <c r="O245" s="6">
        <f>IF(N245=1,ROUND((SUMIFS($M$3:$M$1200,$A$3:$A$1200,A245)+'Settings'!$B$13)*'Settings'!$B$14/100+'Settings'!$B$15,2),0)</f>
        <v>0.66</v>
      </c>
    </row>
    <row r="246">
      <c r="A246" s="3" t="inlineStr">
        <is>
          <t xml:space="preserve">#1172</t>
        </is>
      </c>
      <c r="B246" s="3" t="inlineStr">
        <is>
          <t xml:space="preserve">2025-12-17</t>
        </is>
      </c>
      <c r="C246" s="3" t="inlineStr">
        <is>
          <t xml:space="preserve">SKU-F</t>
        </is>
      </c>
      <c r="D246" s="3" t="inlineStr">
        <is>
          <t xml:space="preserve">Cloud Cleanser</t>
        </is>
      </c>
      <c r="E246" s="6">
        <f>IF('Settings'!$B$11="Scenario",IFERROR(INDEX('Catalogue'!$E$3:$E$100,MATCH(C246,'Catalogue'!$B$3:$B$100,0)),F246),F246)</f>
        <v>34</v>
      </c>
      <c r="F246" s="8">
        <v>34</v>
      </c>
      <c r="G246" s="3">
        <v>1</v>
      </c>
      <c r="H246" s="6">
        <f>IF('Settings'!$B$11="Scenario",ROUND(E246*G246*IFERROR(SUMIF('Pricing &amp; promotions'!$A$6:$A$8,L246,'Pricing &amp; promotions'!$B$6:$B$8)/100,0),2),J246)</f>
        <v>3.4</v>
      </c>
      <c r="I246" s="6">
        <f>ROUND((E246*G246-H246)/IF(OR(K246=TRUE,K246="TRUE",K246="YES",K246=1),1+'Settings'!$B$6/100,1),2)</f>
        <v>25.29</v>
      </c>
      <c r="J246" s="8">
        <v>3.4</v>
      </c>
      <c r="K246" s="3" t="inlineStr">
        <is>
          <t xml:space="preserve">TRUE</t>
        </is>
      </c>
      <c r="L246" s="3" t="inlineStr">
        <is>
          <t xml:space="preserve">WELCOME10</t>
        </is>
      </c>
      <c r="M246" s="6">
        <f>ROUND(E246*G246-H246,2)</f>
        <v>30.6</v>
      </c>
      <c r="N246" s="5">
        <f>IF(COUNTIF($A$3:A246,A246)=1,1,0)</f>
        <v>1</v>
      </c>
      <c r="O246" s="6">
        <f>IF(N246=1,ROUND((SUMIFS($M$3:$M$1200,$A$3:$A$1200,A246)+'Settings'!$B$13)*'Settings'!$B$14/100+'Settings'!$B$15,2),0)</f>
        <v>0.75</v>
      </c>
    </row>
    <row r="247">
      <c r="A247" s="3" t="inlineStr">
        <is>
          <t xml:space="preserve">#1173</t>
        </is>
      </c>
      <c r="B247" s="3" t="inlineStr">
        <is>
          <t xml:space="preserve">2025-12-17</t>
        </is>
      </c>
      <c r="C247" s="3" t="inlineStr">
        <is>
          <t xml:space="preserve">SKU-A</t>
        </is>
      </c>
      <c r="D247" s="3" t="inlineStr">
        <is>
          <t xml:space="preserve">Renewal Serum</t>
        </is>
      </c>
      <c r="E247" s="6">
        <f>IF('Settings'!$B$11="Scenario",IFERROR(INDEX('Catalogue'!$E$3:$E$100,MATCH(C247,'Catalogue'!$B$3:$B$100,0)),F247),F247)</f>
        <v>69.9</v>
      </c>
      <c r="F247" s="8">
        <v>64</v>
      </c>
      <c r="G247" s="3">
        <v>1</v>
      </c>
      <c r="H247" s="6">
        <f>IF('Settings'!$B$11="Scenario",ROUND(E247*G247*IFERROR(SUMIF('Pricing &amp; promotions'!$A$6:$A$8,L247,'Pricing &amp; promotions'!$B$6:$B$8)/100,0),2),J247)</f>
        <v>0.0</v>
      </c>
      <c r="I247" s="6">
        <f>ROUND((E247*G247-H247)/IF(OR(K247=TRUE,K247="TRUE",K247="YES",K247=1),1+'Settings'!$B$6/100,1),2)</f>
        <v>57.77</v>
      </c>
      <c r="J247" s="8">
        <v>0.0</v>
      </c>
      <c r="K247" s="3" t="inlineStr">
        <is>
          <t xml:space="preserve">TRUE</t>
        </is>
      </c>
      <c r="L247" s="3"/>
      <c r="M247" s="6">
        <f>ROUND(E247*G247-H247,2)</f>
        <v>69.9</v>
      </c>
      <c r="N247" s="5">
        <f>IF(COUNTIF($A$3:A247,A247)=1,1,0)</f>
        <v>1</v>
      </c>
      <c r="O247" s="6">
        <f>IF(N247=1,ROUND((SUMIFS($M$3:$M$1200,$A$3:$A$1200,A247)+'Settings'!$B$13)*'Settings'!$B$14/100+'Settings'!$B$15,2),0)</f>
        <v>1.34</v>
      </c>
    </row>
    <row r="248">
      <c r="A248" s="3" t="inlineStr">
        <is>
          <t xml:space="preserve">#1174</t>
        </is>
      </c>
      <c r="B248" s="3" t="inlineStr">
        <is>
          <t xml:space="preserve">2025-12-17</t>
        </is>
      </c>
      <c r="C248" s="3" t="inlineStr">
        <is>
          <t xml:space="preserve">SKU-D</t>
        </is>
      </c>
      <c r="D248" s="3" t="inlineStr">
        <is>
          <t xml:space="preserve">Daily Duo</t>
        </is>
      </c>
      <c r="E248" s="6">
        <f>IF('Settings'!$B$11="Scenario",IFERROR(INDEX('Catalogue'!$E$3:$E$100,MATCH(C248,'Catalogue'!$B$3:$B$100,0)),F248),F248)</f>
        <v>79</v>
      </c>
      <c r="F248" s="8">
        <v>79</v>
      </c>
      <c r="G248" s="3">
        <v>1</v>
      </c>
      <c r="H248" s="6">
        <f>IF('Settings'!$B$11="Scenario",ROUND(E248*G248*IFERROR(SUMIF('Pricing &amp; promotions'!$A$6:$A$8,L248,'Pricing &amp; promotions'!$B$6:$B$8)/100,0),2),J248)</f>
        <v>0.0</v>
      </c>
      <c r="I248" s="6">
        <f>ROUND((E248*G248-H248)/IF(OR(K248=TRUE,K248="TRUE",K248="YES",K248=1),1+'Settings'!$B$6/100,1),2)</f>
        <v>65.29</v>
      </c>
      <c r="J248" s="8">
        <v>0.0</v>
      </c>
      <c r="K248" s="3" t="inlineStr">
        <is>
          <t xml:space="preserve">TRUE</t>
        </is>
      </c>
      <c r="L248" s="3"/>
      <c r="M248" s="6">
        <f>ROUND(E248*G248-H248,2)</f>
        <v>79.0</v>
      </c>
      <c r="N248" s="5">
        <f>IF(COUNTIF($A$3:A248,A248)=1,1,0)</f>
        <v>1</v>
      </c>
      <c r="O248" s="6">
        <f>IF(N248=1,ROUND((SUMIFS($M$3:$M$1200,$A$3:$A$1200,A248)+'Settings'!$B$13)*'Settings'!$B$14/100+'Settings'!$B$15,2),0)</f>
        <v>1.48</v>
      </c>
    </row>
    <row r="249">
      <c r="A249" s="3" t="inlineStr">
        <is>
          <t xml:space="preserve">#1175</t>
        </is>
      </c>
      <c r="B249" s="3" t="inlineStr">
        <is>
          <t xml:space="preserve">2025-12-17</t>
        </is>
      </c>
      <c r="C249" s="3" t="inlineStr">
        <is>
          <t xml:space="preserve">SKU-B</t>
        </is>
      </c>
      <c r="D249" s="3" t="inlineStr">
        <is>
          <t xml:space="preserve">Barrier Balm</t>
        </is>
      </c>
      <c r="E249" s="6">
        <f>IF('Settings'!$B$11="Scenario",IFERROR(INDEX('Catalogue'!$E$3:$E$100,MATCH(C249,'Catalogue'!$B$3:$B$100,0)),F249),F249)</f>
        <v>19</v>
      </c>
      <c r="F249" s="8">
        <v>18</v>
      </c>
      <c r="G249" s="3">
        <v>2</v>
      </c>
      <c r="H249" s="6">
        <f>IF('Settings'!$B$11="Scenario",ROUND(E249*G249*IFERROR(SUMIF('Pricing &amp; promotions'!$A$6:$A$8,L249,'Pricing &amp; promotions'!$B$6:$B$8)/100,0),2),J249)</f>
        <v>3.8</v>
      </c>
      <c r="I249" s="6">
        <f>ROUND((E249*G249-H249)/IF(OR(K249=TRUE,K249="TRUE",K249="YES",K249=1),1+'Settings'!$B$6/100,1),2)</f>
        <v>28.26</v>
      </c>
      <c r="J249" s="8">
        <v>3.6</v>
      </c>
      <c r="K249" s="3" t="inlineStr">
        <is>
          <t xml:space="preserve">TRUE</t>
        </is>
      </c>
      <c r="L249" s="3" t="inlineStr">
        <is>
          <t xml:space="preserve">WELCOME10</t>
        </is>
      </c>
      <c r="M249" s="6">
        <f>ROUND(E249*G249-H249,2)</f>
        <v>34.2</v>
      </c>
      <c r="N249" s="5">
        <f>IF(COUNTIF($A$3:A249,A249)=1,1,0)</f>
        <v>1</v>
      </c>
      <c r="O249" s="6">
        <f>IF(N249=1,ROUND((SUMIFS($M$3:$M$1200,$A$3:$A$1200,A249)+'Settings'!$B$13)*'Settings'!$B$14/100+'Settings'!$B$15,2),0)</f>
        <v>0.81</v>
      </c>
    </row>
    <row r="250">
      <c r="A250" s="3" t="inlineStr">
        <is>
          <t xml:space="preserve">#1176</t>
        </is>
      </c>
      <c r="B250" s="3" t="inlineStr">
        <is>
          <t xml:space="preserve">2025-12-17</t>
        </is>
      </c>
      <c r="C250" s="3" t="inlineStr">
        <is>
          <t xml:space="preserve">SKU-A</t>
        </is>
      </c>
      <c r="D250" s="3" t="inlineStr">
        <is>
          <t xml:space="preserve">Renewal Serum</t>
        </is>
      </c>
      <c r="E250" s="6">
        <f>IF('Settings'!$B$11="Scenario",IFERROR(INDEX('Catalogue'!$E$3:$E$100,MATCH(C250,'Catalogue'!$B$3:$B$100,0)),F250),F250)</f>
        <v>69.9</v>
      </c>
      <c r="F250" s="8">
        <v>64</v>
      </c>
      <c r="G250" s="3">
        <v>1</v>
      </c>
      <c r="H250" s="6">
        <f>IF('Settings'!$B$11="Scenario",ROUND(E250*G250*IFERROR(SUMIF('Pricing &amp; promotions'!$A$6:$A$8,L250,'Pricing &amp; promotions'!$B$6:$B$8)/100,0),2),J250)</f>
        <v>0.0</v>
      </c>
      <c r="I250" s="6">
        <f>ROUND((E250*G250-H250)/IF(OR(K250=TRUE,K250="TRUE",K250="YES",K250=1),1+'Settings'!$B$6/100,1),2)</f>
        <v>57.77</v>
      </c>
      <c r="J250" s="8">
        <v>0.0</v>
      </c>
      <c r="K250" s="3" t="inlineStr">
        <is>
          <t xml:space="preserve">TRUE</t>
        </is>
      </c>
      <c r="L250" s="3"/>
      <c r="M250" s="6">
        <f>ROUND(E250*G250-H250,2)</f>
        <v>69.9</v>
      </c>
      <c r="N250" s="5">
        <f>IF(COUNTIF($A$3:A250,A250)=1,1,0)</f>
        <v>1</v>
      </c>
      <c r="O250" s="6">
        <f>IF(N250=1,ROUND((SUMIFS($M$3:$M$1200,$A$3:$A$1200,A250)+'Settings'!$B$13)*'Settings'!$B$14/100+'Settings'!$B$15,2),0)</f>
        <v>1.78</v>
      </c>
    </row>
    <row r="251">
      <c r="A251" s="3" t="inlineStr">
        <is>
          <t xml:space="preserve">#1176</t>
        </is>
      </c>
      <c r="B251" s="3" t="inlineStr">
        <is>
          <t xml:space="preserve">2025-12-17</t>
        </is>
      </c>
      <c r="C251" s="3" t="inlineStr">
        <is>
          <t xml:space="preserve">SKU-C</t>
        </is>
      </c>
      <c r="D251" s="3" t="inlineStr">
        <is>
          <t xml:space="preserve">Contour Stone</t>
        </is>
      </c>
      <c r="E251" s="6">
        <f>IF('Settings'!$B$11="Scenario",IFERROR(INDEX('Catalogue'!$E$3:$E$100,MATCH(C251,'Catalogue'!$B$3:$B$100,0)),F251),F251)</f>
        <v>29</v>
      </c>
      <c r="F251" s="8">
        <v>29</v>
      </c>
      <c r="G251" s="3">
        <v>1</v>
      </c>
      <c r="H251" s="6">
        <f>IF('Settings'!$B$11="Scenario",ROUND(E251*G251*IFERROR(SUMIF('Pricing &amp; promotions'!$A$6:$A$8,L251,'Pricing &amp; promotions'!$B$6:$B$8)/100,0),2),J251)</f>
        <v>0.0</v>
      </c>
      <c r="I251" s="6">
        <f>ROUND((E251*G251-H251)/IF(OR(K251=TRUE,K251="TRUE",K251="YES",K251=1),1+'Settings'!$B$6/100,1),2)</f>
        <v>23.97</v>
      </c>
      <c r="J251" s="8">
        <v>0.0</v>
      </c>
      <c r="K251" s="3" t="inlineStr">
        <is>
          <t xml:space="preserve">TRUE</t>
        </is>
      </c>
      <c r="L251" s="3"/>
      <c r="M251" s="6">
        <f>ROUND(E251*G251-H251,2)</f>
        <v>29.0</v>
      </c>
      <c r="N251" s="5">
        <f>IF(COUNTIF($A$3:A251,A251)=1,1,0)</f>
        <v>0</v>
      </c>
      <c r="O251" s="6">
        <f>IF(N251=1,ROUND((SUMIFS($M$3:$M$1200,$A$3:$A$1200,A251)+'Settings'!$B$13)*'Settings'!$B$14/100+'Settings'!$B$15,2),0)</f>
        <v>0</v>
      </c>
    </row>
    <row r="252">
      <c r="A252" s="3" t="inlineStr">
        <is>
          <t xml:space="preserve">#1177</t>
        </is>
      </c>
      <c r="B252" s="3" t="inlineStr">
        <is>
          <t xml:space="preserve">2025-12-18</t>
        </is>
      </c>
      <c r="C252" s="3" t="inlineStr">
        <is>
          <t xml:space="preserve">SKU-D</t>
        </is>
      </c>
      <c r="D252" s="3" t="inlineStr">
        <is>
          <t xml:space="preserve">Daily Duo</t>
        </is>
      </c>
      <c r="E252" s="6">
        <f>IF('Settings'!$B$11="Scenario",IFERROR(INDEX('Catalogue'!$E$3:$E$100,MATCH(C252,'Catalogue'!$B$3:$B$100,0)),F252),F252)</f>
        <v>79</v>
      </c>
      <c r="F252" s="8">
        <v>79</v>
      </c>
      <c r="G252" s="3">
        <v>2</v>
      </c>
      <c r="H252" s="6">
        <f>IF('Settings'!$B$11="Scenario",ROUND(E252*G252*IFERROR(SUMIF('Pricing &amp; promotions'!$A$6:$A$8,L252,'Pricing &amp; promotions'!$B$6:$B$8)/100,0),2),J252)</f>
        <v>31.6</v>
      </c>
      <c r="I252" s="6">
        <f>ROUND((E252*G252-H252)/IF(OR(K252=TRUE,K252="TRUE",K252="YES",K252=1),1+'Settings'!$B$6/100,1),2)</f>
        <v>104.46</v>
      </c>
      <c r="J252" s="8">
        <v>31.6</v>
      </c>
      <c r="K252" s="3" t="inlineStr">
        <is>
          <t xml:space="preserve">TRUE</t>
        </is>
      </c>
      <c r="L252" s="3" t="inlineStr">
        <is>
          <t xml:space="preserve">VIP20</t>
        </is>
      </c>
      <c r="M252" s="6">
        <f>ROUND(E252*G252-H252,2)</f>
        <v>126.4</v>
      </c>
      <c r="N252" s="5">
        <f>IF(COUNTIF($A$3:A252,A252)=1,1,0)</f>
        <v>1</v>
      </c>
      <c r="O252" s="6">
        <f>IF(N252=1,ROUND((SUMIFS($M$3:$M$1200,$A$3:$A$1200,A252)+'Settings'!$B$13)*'Settings'!$B$14/100+'Settings'!$B$15,2),0)</f>
        <v>2.19</v>
      </c>
    </row>
    <row r="253">
      <c r="A253" s="3" t="inlineStr">
        <is>
          <t xml:space="preserve">#1178</t>
        </is>
      </c>
      <c r="B253" s="3" t="inlineStr">
        <is>
          <t xml:space="preserve">2025-12-18</t>
        </is>
      </c>
      <c r="C253" s="3" t="inlineStr">
        <is>
          <t xml:space="preserve">SKU-E</t>
        </is>
      </c>
      <c r="D253" s="3" t="inlineStr">
        <is>
          <t xml:space="preserve">Complete Ritual</t>
        </is>
      </c>
      <c r="E253" s="6">
        <f>IF('Settings'!$B$11="Scenario",IFERROR(INDEX('Catalogue'!$E$3:$E$100,MATCH(C253,'Catalogue'!$B$3:$B$100,0)),F253),F253)</f>
        <v>89</v>
      </c>
      <c r="F253" s="8">
        <v>89</v>
      </c>
      <c r="G253" s="3">
        <v>1</v>
      </c>
      <c r="H253" s="6">
        <f>IF('Settings'!$B$11="Scenario",ROUND(E253*G253*IFERROR(SUMIF('Pricing &amp; promotions'!$A$6:$A$8,L253,'Pricing &amp; promotions'!$B$6:$B$8)/100,0),2),J253)</f>
        <v>17.8</v>
      </c>
      <c r="I253" s="6">
        <f>ROUND((E253*G253-H253)/IF(OR(K253=TRUE,K253="TRUE",K253="YES",K253=1),1+'Settings'!$B$6/100,1),2)</f>
        <v>58.84</v>
      </c>
      <c r="J253" s="8">
        <v>17.8</v>
      </c>
      <c r="K253" s="3" t="inlineStr">
        <is>
          <t xml:space="preserve">TRUE</t>
        </is>
      </c>
      <c r="L253" s="3" t="inlineStr">
        <is>
          <t xml:space="preserve">VIP20</t>
        </is>
      </c>
      <c r="M253" s="6">
        <f>ROUND(E253*G253-H253,2)</f>
        <v>71.2</v>
      </c>
      <c r="N253" s="5">
        <f>IF(COUNTIF($A$3:A253,A253)=1,1,0)</f>
        <v>1</v>
      </c>
      <c r="O253" s="6">
        <f>IF(N253=1,ROUND((SUMIFS($M$3:$M$1200,$A$3:$A$1200,A253)+'Settings'!$B$13)*'Settings'!$B$14/100+'Settings'!$B$15,2),0)</f>
        <v>1.36</v>
      </c>
    </row>
    <row r="254">
      <c r="A254" s="3" t="inlineStr">
        <is>
          <t xml:space="preserve">#1179</t>
        </is>
      </c>
      <c r="B254" s="3" t="inlineStr">
        <is>
          <t xml:space="preserve">2025-12-18</t>
        </is>
      </c>
      <c r="C254" s="3" t="inlineStr">
        <is>
          <t xml:space="preserve">SKU-G</t>
        </is>
      </c>
      <c r="D254" s="3" t="inlineStr">
        <is>
          <t xml:space="preserve">Daily Reset Set</t>
        </is>
      </c>
      <c r="E254" s="6">
        <f>IF('Settings'!$B$11="Scenario",IFERROR(INDEX('Catalogue'!$E$3:$E$100,MATCH(C254,'Catalogue'!$B$3:$B$100,0)),F254),F254)</f>
        <v>69</v>
      </c>
      <c r="F254" s="8">
        <v>69</v>
      </c>
      <c r="G254" s="3">
        <v>2</v>
      </c>
      <c r="H254" s="6">
        <f>IF('Settings'!$B$11="Scenario",ROUND(E254*G254*IFERROR(SUMIF('Pricing &amp; promotions'!$A$6:$A$8,L254,'Pricing &amp; promotions'!$B$6:$B$8)/100,0),2),J254)</f>
        <v>27.6</v>
      </c>
      <c r="I254" s="6">
        <f>ROUND((E254*G254-H254)/IF(OR(K254=TRUE,K254="TRUE",K254="YES",K254=1),1+'Settings'!$B$6/100,1),2)</f>
        <v>91.24</v>
      </c>
      <c r="J254" s="8">
        <v>27.6</v>
      </c>
      <c r="K254" s="3" t="inlineStr">
        <is>
          <t xml:space="preserve">TRUE</t>
        </is>
      </c>
      <c r="L254" s="3" t="inlineStr">
        <is>
          <t xml:space="preserve">VIP20</t>
        </is>
      </c>
      <c r="M254" s="6">
        <f>ROUND(E254*G254-H254,2)</f>
        <v>110.4</v>
      </c>
      <c r="N254" s="5">
        <f>IF(COUNTIF($A$3:A254,A254)=1,1,0)</f>
        <v>1</v>
      </c>
      <c r="O254" s="6">
        <f>IF(N254=1,ROUND((SUMIFS($M$3:$M$1200,$A$3:$A$1200,A254)+'Settings'!$B$13)*'Settings'!$B$14/100+'Settings'!$B$15,2),0)</f>
        <v>1.95</v>
      </c>
    </row>
    <row r="255">
      <c r="A255" s="3" t="inlineStr">
        <is>
          <t xml:space="preserve">#1180</t>
        </is>
      </c>
      <c r="B255" s="3" t="inlineStr">
        <is>
          <t xml:space="preserve">2025-12-18</t>
        </is>
      </c>
      <c r="C255" s="3" t="inlineStr">
        <is>
          <t xml:space="preserve">SKU-G</t>
        </is>
      </c>
      <c r="D255" s="3" t="inlineStr">
        <is>
          <t xml:space="preserve">Daily Reset Set</t>
        </is>
      </c>
      <c r="E255" s="6">
        <f>IF('Settings'!$B$11="Scenario",IFERROR(INDEX('Catalogue'!$E$3:$E$100,MATCH(C255,'Catalogue'!$B$3:$B$100,0)),F255),F255)</f>
        <v>69</v>
      </c>
      <c r="F255" s="8">
        <v>69</v>
      </c>
      <c r="G255" s="3">
        <v>1</v>
      </c>
      <c r="H255" s="6">
        <f>IF('Settings'!$B$11="Scenario",ROUND(E255*G255*IFERROR(SUMIF('Pricing &amp; promotions'!$A$6:$A$8,L255,'Pricing &amp; promotions'!$B$6:$B$8)/100,0),2),J255)</f>
        <v>0.0</v>
      </c>
      <c r="I255" s="6">
        <f>ROUND((E255*G255-H255)/IF(OR(K255=TRUE,K255="TRUE",K255="YES",K255=1),1+'Settings'!$B$6/100,1),2)</f>
        <v>57.02</v>
      </c>
      <c r="J255" s="8">
        <v>0.0</v>
      </c>
      <c r="K255" s="3" t="inlineStr">
        <is>
          <t xml:space="preserve">TRUE</t>
        </is>
      </c>
      <c r="L255" s="3"/>
      <c r="M255" s="6">
        <f>ROUND(E255*G255-H255,2)</f>
        <v>69.0</v>
      </c>
      <c r="N255" s="5">
        <f>IF(COUNTIF($A$3:A255,A255)=1,1,0)</f>
        <v>1</v>
      </c>
      <c r="O255" s="6">
        <f>IF(N255=1,ROUND((SUMIFS($M$3:$M$1200,$A$3:$A$1200,A255)+'Settings'!$B$13)*'Settings'!$B$14/100+'Settings'!$B$15,2),0)</f>
        <v>1.76</v>
      </c>
    </row>
    <row r="256">
      <c r="A256" s="3" t="inlineStr">
        <is>
          <t xml:space="preserve">#1180</t>
        </is>
      </c>
      <c r="B256" s="3" t="inlineStr">
        <is>
          <t xml:space="preserve">2025-12-18</t>
        </is>
      </c>
      <c r="C256" s="3" t="inlineStr">
        <is>
          <t xml:space="preserve">SKU-C</t>
        </is>
      </c>
      <c r="D256" s="3" t="inlineStr">
        <is>
          <t xml:space="preserve">Contour Stone</t>
        </is>
      </c>
      <c r="E256" s="6">
        <f>IF('Settings'!$B$11="Scenario",IFERROR(INDEX('Catalogue'!$E$3:$E$100,MATCH(C256,'Catalogue'!$B$3:$B$100,0)),F256),F256)</f>
        <v>29</v>
      </c>
      <c r="F256" s="8">
        <v>29</v>
      </c>
      <c r="G256" s="3">
        <v>1</v>
      </c>
      <c r="H256" s="6">
        <f>IF('Settings'!$B$11="Scenario",ROUND(E256*G256*IFERROR(SUMIF('Pricing &amp; promotions'!$A$6:$A$8,L256,'Pricing &amp; promotions'!$B$6:$B$8)/100,0),2),J256)</f>
        <v>0.0</v>
      </c>
      <c r="I256" s="6">
        <f>ROUND((E256*G256-H256)/IF(OR(K256=TRUE,K256="TRUE",K256="YES",K256=1),1+'Settings'!$B$6/100,1),2)</f>
        <v>23.97</v>
      </c>
      <c r="J256" s="8">
        <v>0.0</v>
      </c>
      <c r="K256" s="3" t="inlineStr">
        <is>
          <t xml:space="preserve">TRUE</t>
        </is>
      </c>
      <c r="L256" s="3"/>
      <c r="M256" s="6">
        <f>ROUND(E256*G256-H256,2)</f>
        <v>29.0</v>
      </c>
      <c r="N256" s="5">
        <f>IF(COUNTIF($A$3:A256,A256)=1,1,0)</f>
        <v>0</v>
      </c>
      <c r="O256" s="6">
        <f>IF(N256=1,ROUND((SUMIFS($M$3:$M$1200,$A$3:$A$1200,A256)+'Settings'!$B$13)*'Settings'!$B$14/100+'Settings'!$B$15,2),0)</f>
        <v>0</v>
      </c>
    </row>
    <row r="257">
      <c r="A257" s="3" t="inlineStr">
        <is>
          <t xml:space="preserve">#1181</t>
        </is>
      </c>
      <c r="B257" s="3" t="inlineStr">
        <is>
          <t xml:space="preserve">2025-12-19</t>
        </is>
      </c>
      <c r="C257" s="3" t="inlineStr">
        <is>
          <t xml:space="preserve">SKU-A</t>
        </is>
      </c>
      <c r="D257" s="3" t="inlineStr">
        <is>
          <t xml:space="preserve">Renewal Serum</t>
        </is>
      </c>
      <c r="E257" s="6">
        <f>IF('Settings'!$B$11="Scenario",IFERROR(INDEX('Catalogue'!$E$3:$E$100,MATCH(C257,'Catalogue'!$B$3:$B$100,0)),F257),F257)</f>
        <v>69.9</v>
      </c>
      <c r="F257" s="8">
        <v>64</v>
      </c>
      <c r="G257" s="3">
        <v>1</v>
      </c>
      <c r="H257" s="6">
        <f>IF('Settings'!$B$11="Scenario",ROUND(E257*G257*IFERROR(SUMIF('Pricing &amp; promotions'!$A$6:$A$8,L257,'Pricing &amp; promotions'!$B$6:$B$8)/100,0),2),J257)</f>
        <v>10.49</v>
      </c>
      <c r="I257" s="6">
        <f>ROUND((E257*G257-H257)/IF(OR(K257=TRUE,K257="TRUE",K257="YES",K257=1),1+'Settings'!$B$6/100,1),2)</f>
        <v>49.1</v>
      </c>
      <c r="J257" s="8">
        <v>9.6</v>
      </c>
      <c r="K257" s="3" t="inlineStr">
        <is>
          <t xml:space="preserve">TRUE</t>
        </is>
      </c>
      <c r="L257" s="3" t="inlineStr">
        <is>
          <t xml:space="preserve">SUMMER15</t>
        </is>
      </c>
      <c r="M257" s="6">
        <f>ROUND(E257*G257-H257,2)</f>
        <v>59.41</v>
      </c>
      <c r="N257" s="5">
        <f>IF(COUNTIF($A$3:A257,A257)=1,1,0)</f>
        <v>1</v>
      </c>
      <c r="O257" s="6">
        <f>IF(N257=1,ROUND((SUMIFS($M$3:$M$1200,$A$3:$A$1200,A257)+'Settings'!$B$13)*'Settings'!$B$14/100+'Settings'!$B$15,2),0)</f>
        <v>1.19</v>
      </c>
    </row>
    <row r="258">
      <c r="A258" s="3" t="inlineStr">
        <is>
          <t xml:space="preserve">#1182</t>
        </is>
      </c>
      <c r="B258" s="3" t="inlineStr">
        <is>
          <t xml:space="preserve">2025-12-19</t>
        </is>
      </c>
      <c r="C258" s="3" t="inlineStr">
        <is>
          <t xml:space="preserve">SKU-E</t>
        </is>
      </c>
      <c r="D258" s="3" t="inlineStr">
        <is>
          <t xml:space="preserve">Complete Ritual</t>
        </is>
      </c>
      <c r="E258" s="6">
        <f>IF('Settings'!$B$11="Scenario",IFERROR(INDEX('Catalogue'!$E$3:$E$100,MATCH(C258,'Catalogue'!$B$3:$B$100,0)),F258),F258)</f>
        <v>89</v>
      </c>
      <c r="F258" s="8">
        <v>89</v>
      </c>
      <c r="G258" s="3">
        <v>1</v>
      </c>
      <c r="H258" s="6">
        <f>IF('Settings'!$B$11="Scenario",ROUND(E258*G258*IFERROR(SUMIF('Pricing &amp; promotions'!$A$6:$A$8,L258,'Pricing &amp; promotions'!$B$6:$B$8)/100,0),2),J258)</f>
        <v>0.0</v>
      </c>
      <c r="I258" s="6">
        <f>ROUND((E258*G258-H258)/IF(OR(K258=TRUE,K258="TRUE",K258="YES",K258=1),1+'Settings'!$B$6/100,1),2)</f>
        <v>73.55</v>
      </c>
      <c r="J258" s="8">
        <v>0.0</v>
      </c>
      <c r="K258" s="3" t="inlineStr">
        <is>
          <t xml:space="preserve">TRUE</t>
        </is>
      </c>
      <c r="L258" s="3"/>
      <c r="M258" s="6">
        <f>ROUND(E258*G258-H258,2)</f>
        <v>89.0</v>
      </c>
      <c r="N258" s="5">
        <f>IF(COUNTIF($A$3:A258,A258)=1,1,0)</f>
        <v>1</v>
      </c>
      <c r="O258" s="6">
        <f>IF(N258=1,ROUND((SUMIFS($M$3:$M$1200,$A$3:$A$1200,A258)+'Settings'!$B$13)*'Settings'!$B$14/100+'Settings'!$B$15,2),0)</f>
        <v>1.63</v>
      </c>
    </row>
    <row r="259">
      <c r="A259" s="3" t="inlineStr">
        <is>
          <t xml:space="preserve">#1183</t>
        </is>
      </c>
      <c r="B259" s="3" t="inlineStr">
        <is>
          <t xml:space="preserve">2025-12-20</t>
        </is>
      </c>
      <c r="C259" s="3" t="inlineStr">
        <is>
          <t xml:space="preserve">SKU-A</t>
        </is>
      </c>
      <c r="D259" s="3" t="inlineStr">
        <is>
          <t xml:space="preserve">Renewal Serum</t>
        </is>
      </c>
      <c r="E259" s="6">
        <f>IF('Settings'!$B$11="Scenario",IFERROR(INDEX('Catalogue'!$E$3:$E$100,MATCH(C259,'Catalogue'!$B$3:$B$100,0)),F259),F259)</f>
        <v>69.9</v>
      </c>
      <c r="F259" s="8">
        <v>64</v>
      </c>
      <c r="G259" s="3">
        <v>1</v>
      </c>
      <c r="H259" s="6">
        <f>IF('Settings'!$B$11="Scenario",ROUND(E259*G259*IFERROR(SUMIF('Pricing &amp; promotions'!$A$6:$A$8,L259,'Pricing &amp; promotions'!$B$6:$B$8)/100,0),2),J259)</f>
        <v>0.0</v>
      </c>
      <c r="I259" s="6">
        <f>ROUND((E259*G259-H259)/IF(OR(K259=TRUE,K259="TRUE",K259="YES",K259=1),1+'Settings'!$B$6/100,1),2)</f>
        <v>57.77</v>
      </c>
      <c r="J259" s="8">
        <v>0.0</v>
      </c>
      <c r="K259" s="3" t="inlineStr">
        <is>
          <t xml:space="preserve">TRUE</t>
        </is>
      </c>
      <c r="L259" s="3"/>
      <c r="M259" s="6">
        <f>ROUND(E259*G259-H259,2)</f>
        <v>69.9</v>
      </c>
      <c r="N259" s="5">
        <f>IF(COUNTIF($A$3:A259,A259)=1,1,0)</f>
        <v>1</v>
      </c>
      <c r="O259" s="6">
        <f>IF(N259=1,ROUND((SUMIFS($M$3:$M$1200,$A$3:$A$1200,A259)+'Settings'!$B$13)*'Settings'!$B$14/100+'Settings'!$B$15,2),0)</f>
        <v>1.34</v>
      </c>
    </row>
    <row r="260">
      <c r="A260" s="3" t="inlineStr">
        <is>
          <t xml:space="preserve">#1184</t>
        </is>
      </c>
      <c r="B260" s="3" t="inlineStr">
        <is>
          <t xml:space="preserve">2025-12-20</t>
        </is>
      </c>
      <c r="C260" s="3" t="inlineStr">
        <is>
          <t xml:space="preserve">SKU-E</t>
        </is>
      </c>
      <c r="D260" s="3" t="inlineStr">
        <is>
          <t xml:space="preserve">Complete Ritual</t>
        </is>
      </c>
      <c r="E260" s="6">
        <f>IF('Settings'!$B$11="Scenario",IFERROR(INDEX('Catalogue'!$E$3:$E$100,MATCH(C260,'Catalogue'!$B$3:$B$100,0)),F260),F260)</f>
        <v>89</v>
      </c>
      <c r="F260" s="8">
        <v>89</v>
      </c>
      <c r="G260" s="3">
        <v>1</v>
      </c>
      <c r="H260" s="6">
        <f>IF('Settings'!$B$11="Scenario",ROUND(E260*G260*IFERROR(SUMIF('Pricing &amp; promotions'!$A$6:$A$8,L260,'Pricing &amp; promotions'!$B$6:$B$8)/100,0),2),J260)</f>
        <v>17.8</v>
      </c>
      <c r="I260" s="6">
        <f>ROUND((E260*G260-H260)/IF(OR(K260=TRUE,K260="TRUE",K260="YES",K260=1),1+'Settings'!$B$6/100,1),2)</f>
        <v>58.84</v>
      </c>
      <c r="J260" s="8">
        <v>17.8</v>
      </c>
      <c r="K260" s="3" t="inlineStr">
        <is>
          <t xml:space="preserve">TRUE</t>
        </is>
      </c>
      <c r="L260" s="3" t="inlineStr">
        <is>
          <t xml:space="preserve">VIP20</t>
        </is>
      </c>
      <c r="M260" s="6">
        <f>ROUND(E260*G260-H260,2)</f>
        <v>71.2</v>
      </c>
      <c r="N260" s="5">
        <f>IF(COUNTIF($A$3:A260,A260)=1,1,0)</f>
        <v>1</v>
      </c>
      <c r="O260" s="6">
        <f>IF(N260=1,ROUND((SUMIFS($M$3:$M$1200,$A$3:$A$1200,A260)+'Settings'!$B$13)*'Settings'!$B$14/100+'Settings'!$B$15,2),0)</f>
        <v>1.36</v>
      </c>
    </row>
    <row r="261">
      <c r="A261" s="3" t="inlineStr">
        <is>
          <t xml:space="preserve">#1185</t>
        </is>
      </c>
      <c r="B261" s="3" t="inlineStr">
        <is>
          <t xml:space="preserve">2025-12-20</t>
        </is>
      </c>
      <c r="C261" s="3" t="inlineStr">
        <is>
          <t xml:space="preserve">SKU-E</t>
        </is>
      </c>
      <c r="D261" s="3" t="inlineStr">
        <is>
          <t xml:space="preserve">Complete Ritual</t>
        </is>
      </c>
      <c r="E261" s="6">
        <f>IF('Settings'!$B$11="Scenario",IFERROR(INDEX('Catalogue'!$E$3:$E$100,MATCH(C261,'Catalogue'!$B$3:$B$100,0)),F261),F261)</f>
        <v>89</v>
      </c>
      <c r="F261" s="8">
        <v>89</v>
      </c>
      <c r="G261" s="3">
        <v>1</v>
      </c>
      <c r="H261" s="6">
        <f>IF('Settings'!$B$11="Scenario",ROUND(E261*G261*IFERROR(SUMIF('Pricing &amp; promotions'!$A$6:$A$8,L261,'Pricing &amp; promotions'!$B$6:$B$8)/100,0),2),J261)</f>
        <v>13.35</v>
      </c>
      <c r="I261" s="6">
        <f>ROUND((E261*G261-H261)/IF(OR(K261=TRUE,K261="TRUE",K261="YES",K261=1),1+'Settings'!$B$6/100,1),2)</f>
        <v>62.52</v>
      </c>
      <c r="J261" s="8">
        <v>13.35</v>
      </c>
      <c r="K261" s="3" t="inlineStr">
        <is>
          <t xml:space="preserve">TRUE</t>
        </is>
      </c>
      <c r="L261" s="3" t="inlineStr">
        <is>
          <t xml:space="preserve">SUMMER15</t>
        </is>
      </c>
      <c r="M261" s="6">
        <f>ROUND(E261*G261-H261,2)</f>
        <v>75.65</v>
      </c>
      <c r="N261" s="5">
        <f>IF(COUNTIF($A$3:A261,A261)=1,1,0)</f>
        <v>1</v>
      </c>
      <c r="O261" s="6">
        <f>IF(N261=1,ROUND((SUMIFS($M$3:$M$1200,$A$3:$A$1200,A261)+'Settings'!$B$13)*'Settings'!$B$14/100+'Settings'!$B$15,2),0)</f>
        <v>1.43</v>
      </c>
    </row>
    <row r="262">
      <c r="A262" s="3" t="inlineStr">
        <is>
          <t xml:space="preserve">#1186</t>
        </is>
      </c>
      <c r="B262" s="3" t="inlineStr">
        <is>
          <t xml:space="preserve">2025-12-20</t>
        </is>
      </c>
      <c r="C262" s="3" t="inlineStr">
        <is>
          <t xml:space="preserve">SKU-B</t>
        </is>
      </c>
      <c r="D262" s="3" t="inlineStr">
        <is>
          <t xml:space="preserve">Barrier Balm</t>
        </is>
      </c>
      <c r="E262" s="6">
        <f>IF('Settings'!$B$11="Scenario",IFERROR(INDEX('Catalogue'!$E$3:$E$100,MATCH(C262,'Catalogue'!$B$3:$B$100,0)),F262),F262)</f>
        <v>19</v>
      </c>
      <c r="F262" s="8">
        <v>18</v>
      </c>
      <c r="G262" s="3">
        <v>1</v>
      </c>
      <c r="H262" s="6">
        <f>IF('Settings'!$B$11="Scenario",ROUND(E262*G262*IFERROR(SUMIF('Pricing &amp; promotions'!$A$6:$A$8,L262,'Pricing &amp; promotions'!$B$6:$B$8)/100,0),2),J262)</f>
        <v>1.9</v>
      </c>
      <c r="I262" s="6">
        <f>ROUND((E262*G262-H262)/IF(OR(K262=TRUE,K262="TRUE",K262="YES",K262=1),1+'Settings'!$B$6/100,1),2)</f>
        <v>14.13</v>
      </c>
      <c r="J262" s="8">
        <v>1.8</v>
      </c>
      <c r="K262" s="3" t="inlineStr">
        <is>
          <t xml:space="preserve">TRUE</t>
        </is>
      </c>
      <c r="L262" s="3" t="inlineStr">
        <is>
          <t xml:space="preserve">WELCOME10</t>
        </is>
      </c>
      <c r="M262" s="6">
        <f>ROUND(E262*G262-H262,2)</f>
        <v>17.1</v>
      </c>
      <c r="N262" s="5">
        <f>IF(COUNTIF($A$3:A262,A262)=1,1,0)</f>
        <v>1</v>
      </c>
      <c r="O262" s="6">
        <f>IF(N262=1,ROUND((SUMIFS($M$3:$M$1200,$A$3:$A$1200,A262)+'Settings'!$B$13)*'Settings'!$B$14/100+'Settings'!$B$15,2),0)</f>
        <v>0.55</v>
      </c>
    </row>
    <row r="263">
      <c r="A263" s="3" t="inlineStr">
        <is>
          <t xml:space="preserve">#1187</t>
        </is>
      </c>
      <c r="B263" s="3" t="inlineStr">
        <is>
          <t xml:space="preserve">2025-12-20</t>
        </is>
      </c>
      <c r="C263" s="3" t="inlineStr">
        <is>
          <t xml:space="preserve">SKU-A</t>
        </is>
      </c>
      <c r="D263" s="3" t="inlineStr">
        <is>
          <t xml:space="preserve">Renewal Serum</t>
        </is>
      </c>
      <c r="E263" s="6">
        <f>IF('Settings'!$B$11="Scenario",IFERROR(INDEX('Catalogue'!$E$3:$E$100,MATCH(C263,'Catalogue'!$B$3:$B$100,0)),F263),F263)</f>
        <v>69.9</v>
      </c>
      <c r="F263" s="8">
        <v>64</v>
      </c>
      <c r="G263" s="3">
        <v>1</v>
      </c>
      <c r="H263" s="6">
        <f>IF('Settings'!$B$11="Scenario",ROUND(E263*G263*IFERROR(SUMIF('Pricing &amp; promotions'!$A$6:$A$8,L263,'Pricing &amp; promotions'!$B$6:$B$8)/100,0),2),J263)</f>
        <v>0.0</v>
      </c>
      <c r="I263" s="6">
        <f>ROUND((E263*G263-H263)/IF(OR(K263=TRUE,K263="TRUE",K263="YES",K263=1),1+'Settings'!$B$6/100,1),2)</f>
        <v>57.77</v>
      </c>
      <c r="J263" s="8">
        <v>0.0</v>
      </c>
      <c r="K263" s="3" t="inlineStr">
        <is>
          <t xml:space="preserve">TRUE</t>
        </is>
      </c>
      <c r="L263" s="3"/>
      <c r="M263" s="6">
        <f>ROUND(E263*G263-H263,2)</f>
        <v>69.9</v>
      </c>
      <c r="N263" s="5">
        <f>IF(COUNTIF($A$3:A263,A263)=1,1,0)</f>
        <v>1</v>
      </c>
      <c r="O263" s="6">
        <f>IF(N263=1,ROUND((SUMIFS($M$3:$M$1200,$A$3:$A$1200,A263)+'Settings'!$B$13)*'Settings'!$B$14/100+'Settings'!$B$15,2),0)</f>
        <v>1.34</v>
      </c>
    </row>
    <row r="264">
      <c r="A264" s="3" t="inlineStr">
        <is>
          <t xml:space="preserve">#1188</t>
        </is>
      </c>
      <c r="B264" s="3" t="inlineStr">
        <is>
          <t xml:space="preserve">2025-12-21</t>
        </is>
      </c>
      <c r="C264" s="3" t="inlineStr">
        <is>
          <t xml:space="preserve">SKU-D</t>
        </is>
      </c>
      <c r="D264" s="3" t="inlineStr">
        <is>
          <t xml:space="preserve">Daily Duo</t>
        </is>
      </c>
      <c r="E264" s="6">
        <f>IF('Settings'!$B$11="Scenario",IFERROR(INDEX('Catalogue'!$E$3:$E$100,MATCH(C264,'Catalogue'!$B$3:$B$100,0)),F264),F264)</f>
        <v>79</v>
      </c>
      <c r="F264" s="8">
        <v>79</v>
      </c>
      <c r="G264" s="3">
        <v>1</v>
      </c>
      <c r="H264" s="6">
        <f>IF('Settings'!$B$11="Scenario",ROUND(E264*G264*IFERROR(SUMIF('Pricing &amp; promotions'!$A$6:$A$8,L264,'Pricing &amp; promotions'!$B$6:$B$8)/100,0),2),J264)</f>
        <v>0.0</v>
      </c>
      <c r="I264" s="6">
        <f>ROUND((E264*G264-H264)/IF(OR(K264=TRUE,K264="TRUE",K264="YES",K264=1),1+'Settings'!$B$6/100,1),2)</f>
        <v>65.29</v>
      </c>
      <c r="J264" s="8">
        <v>0.0</v>
      </c>
      <c r="K264" s="3" t="inlineStr">
        <is>
          <t xml:space="preserve">TRUE</t>
        </is>
      </c>
      <c r="L264" s="3"/>
      <c r="M264" s="6">
        <f>ROUND(E264*G264-H264,2)</f>
        <v>79.0</v>
      </c>
      <c r="N264" s="5">
        <f>IF(COUNTIF($A$3:A264,A264)=1,1,0)</f>
        <v>1</v>
      </c>
      <c r="O264" s="6">
        <f>IF(N264=1,ROUND((SUMIFS($M$3:$M$1200,$A$3:$A$1200,A264)+'Settings'!$B$13)*'Settings'!$B$14/100+'Settings'!$B$15,2),0)</f>
        <v>1.48</v>
      </c>
    </row>
    <row r="265">
      <c r="A265" s="3" t="inlineStr">
        <is>
          <t xml:space="preserve">#1189</t>
        </is>
      </c>
      <c r="B265" s="3" t="inlineStr">
        <is>
          <t xml:space="preserve">2025-12-21</t>
        </is>
      </c>
      <c r="C265" s="3" t="inlineStr">
        <is>
          <t xml:space="preserve">SKU-A</t>
        </is>
      </c>
      <c r="D265" s="3" t="inlineStr">
        <is>
          <t xml:space="preserve">Renewal Serum</t>
        </is>
      </c>
      <c r="E265" s="6">
        <f>IF('Settings'!$B$11="Scenario",IFERROR(INDEX('Catalogue'!$E$3:$E$100,MATCH(C265,'Catalogue'!$B$3:$B$100,0)),F265),F265)</f>
        <v>69.9</v>
      </c>
      <c r="F265" s="8">
        <v>64</v>
      </c>
      <c r="G265" s="3">
        <v>1</v>
      </c>
      <c r="H265" s="6">
        <f>IF('Settings'!$B$11="Scenario",ROUND(E265*G265*IFERROR(SUMIF('Pricing &amp; promotions'!$A$6:$A$8,L265,'Pricing &amp; promotions'!$B$6:$B$8)/100,0),2),J265)</f>
        <v>0.0</v>
      </c>
      <c r="I265" s="6">
        <f>ROUND((E265*G265-H265)/IF(OR(K265=TRUE,K265="TRUE",K265="YES",K265=1),1+'Settings'!$B$6/100,1),2)</f>
        <v>57.77</v>
      </c>
      <c r="J265" s="8">
        <v>0.0</v>
      </c>
      <c r="K265" s="3" t="inlineStr">
        <is>
          <t xml:space="preserve">TRUE</t>
        </is>
      </c>
      <c r="L265" s="3"/>
      <c r="M265" s="6">
        <f>ROUND(E265*G265-H265,2)</f>
        <v>69.9</v>
      </c>
      <c r="N265" s="5">
        <f>IF(COUNTIF($A$3:A265,A265)=1,1,0)</f>
        <v>1</v>
      </c>
      <c r="O265" s="6">
        <f>IF(N265=1,ROUND((SUMIFS($M$3:$M$1200,$A$3:$A$1200,A265)+'Settings'!$B$13)*'Settings'!$B$14/100+'Settings'!$B$15,2),0)</f>
        <v>2.68</v>
      </c>
    </row>
    <row r="266">
      <c r="A266" s="3" t="inlineStr">
        <is>
          <t xml:space="preserve">#1189</t>
        </is>
      </c>
      <c r="B266" s="3" t="inlineStr">
        <is>
          <t xml:space="preserve">2025-12-21</t>
        </is>
      </c>
      <c r="C266" s="3" t="inlineStr">
        <is>
          <t xml:space="preserve">SKU-E</t>
        </is>
      </c>
      <c r="D266" s="3" t="inlineStr">
        <is>
          <t xml:space="preserve">Complete Ritual</t>
        </is>
      </c>
      <c r="E266" s="6">
        <f>IF('Settings'!$B$11="Scenario",IFERROR(INDEX('Catalogue'!$E$3:$E$100,MATCH(C266,'Catalogue'!$B$3:$B$100,0)),F266),F266)</f>
        <v>89</v>
      </c>
      <c r="F266" s="8">
        <v>89</v>
      </c>
      <c r="G266" s="3">
        <v>1</v>
      </c>
      <c r="H266" s="6">
        <f>IF('Settings'!$B$11="Scenario",ROUND(E266*G266*IFERROR(SUMIF('Pricing &amp; promotions'!$A$6:$A$8,L266,'Pricing &amp; promotions'!$B$6:$B$8)/100,0),2),J266)</f>
        <v>0.0</v>
      </c>
      <c r="I266" s="6">
        <f>ROUND((E266*G266-H266)/IF(OR(K266=TRUE,K266="TRUE",K266="YES",K266=1),1+'Settings'!$B$6/100,1),2)</f>
        <v>73.55</v>
      </c>
      <c r="J266" s="8">
        <v>0.0</v>
      </c>
      <c r="K266" s="3" t="inlineStr">
        <is>
          <t xml:space="preserve">TRUE</t>
        </is>
      </c>
      <c r="L266" s="3"/>
      <c r="M266" s="6">
        <f>ROUND(E266*G266-H266,2)</f>
        <v>89.0</v>
      </c>
      <c r="N266" s="5">
        <f>IF(COUNTIF($A$3:A266,A266)=1,1,0)</f>
        <v>0</v>
      </c>
      <c r="O266" s="6">
        <f>IF(N266=1,ROUND((SUMIFS($M$3:$M$1200,$A$3:$A$1200,A266)+'Settings'!$B$13)*'Settings'!$B$14/100+'Settings'!$B$15,2),0)</f>
        <v>0</v>
      </c>
    </row>
    <row r="267">
      <c r="A267" s="3" t="inlineStr">
        <is>
          <t xml:space="preserve">#1190</t>
        </is>
      </c>
      <c r="B267" s="3" t="inlineStr">
        <is>
          <t xml:space="preserve">2025-12-21</t>
        </is>
      </c>
      <c r="C267" s="3" t="inlineStr">
        <is>
          <t xml:space="preserve">SKU-D</t>
        </is>
      </c>
      <c r="D267" s="3" t="inlineStr">
        <is>
          <t xml:space="preserve">Daily Duo</t>
        </is>
      </c>
      <c r="E267" s="6">
        <f>IF('Settings'!$B$11="Scenario",IFERROR(INDEX('Catalogue'!$E$3:$E$100,MATCH(C267,'Catalogue'!$B$3:$B$100,0)),F267),F267)</f>
        <v>79</v>
      </c>
      <c r="F267" s="8">
        <v>79</v>
      </c>
      <c r="G267" s="3">
        <v>1</v>
      </c>
      <c r="H267" s="6">
        <f>IF('Settings'!$B$11="Scenario",ROUND(E267*G267*IFERROR(SUMIF('Pricing &amp; promotions'!$A$6:$A$8,L267,'Pricing &amp; promotions'!$B$6:$B$8)/100,0),2),J267)</f>
        <v>0.0</v>
      </c>
      <c r="I267" s="6">
        <f>ROUND((E267*G267-H267)/IF(OR(K267=TRUE,K267="TRUE",K267="YES",K267=1),1+'Settings'!$B$6/100,1),2)</f>
        <v>65.29</v>
      </c>
      <c r="J267" s="8">
        <v>0.0</v>
      </c>
      <c r="K267" s="3" t="inlineStr">
        <is>
          <t xml:space="preserve">TRUE</t>
        </is>
      </c>
      <c r="L267" s="3"/>
      <c r="M267" s="6">
        <f>ROUND(E267*G267-H267,2)</f>
        <v>79.0</v>
      </c>
      <c r="N267" s="5">
        <f>IF(COUNTIF($A$3:A267,A267)=1,1,0)</f>
        <v>1</v>
      </c>
      <c r="O267" s="6">
        <f>IF(N267=1,ROUND((SUMIFS($M$3:$M$1200,$A$3:$A$1200,A267)+'Settings'!$B$13)*'Settings'!$B$14/100+'Settings'!$B$15,2),0)</f>
        <v>2.05</v>
      </c>
    </row>
    <row r="268">
      <c r="A268" s="3" t="inlineStr">
        <is>
          <t xml:space="preserve">#1190</t>
        </is>
      </c>
      <c r="B268" s="3" t="inlineStr">
        <is>
          <t xml:space="preserve">2025-12-21</t>
        </is>
      </c>
      <c r="C268" s="3" t="inlineStr">
        <is>
          <t xml:space="preserve">SKU-B</t>
        </is>
      </c>
      <c r="D268" s="3" t="inlineStr">
        <is>
          <t xml:space="preserve">Barrier Balm</t>
        </is>
      </c>
      <c r="E268" s="6">
        <f>IF('Settings'!$B$11="Scenario",IFERROR(INDEX('Catalogue'!$E$3:$E$100,MATCH(C268,'Catalogue'!$B$3:$B$100,0)),F268),F268)</f>
        <v>19</v>
      </c>
      <c r="F268" s="8">
        <v>18</v>
      </c>
      <c r="G268" s="3">
        <v>2</v>
      </c>
      <c r="H268" s="6">
        <f>IF('Settings'!$B$11="Scenario",ROUND(E268*G268*IFERROR(SUMIF('Pricing &amp; promotions'!$A$6:$A$8,L268,'Pricing &amp; promotions'!$B$6:$B$8)/100,0),2),J268)</f>
        <v>0.0</v>
      </c>
      <c r="I268" s="6">
        <f>ROUND((E268*G268-H268)/IF(OR(K268=TRUE,K268="TRUE",K268="YES",K268=1),1+'Settings'!$B$6/100,1),2)</f>
        <v>31.4</v>
      </c>
      <c r="J268" s="8">
        <v>0.0</v>
      </c>
      <c r="K268" s="3" t="inlineStr">
        <is>
          <t xml:space="preserve">TRUE</t>
        </is>
      </c>
      <c r="L268" s="3"/>
      <c r="M268" s="6">
        <f>ROUND(E268*G268-H268,2)</f>
        <v>38.0</v>
      </c>
      <c r="N268" s="5">
        <f>IF(COUNTIF($A$3:A268,A268)=1,1,0)</f>
        <v>0</v>
      </c>
      <c r="O268" s="6">
        <f>IF(N268=1,ROUND((SUMIFS($M$3:$M$1200,$A$3:$A$1200,A268)+'Settings'!$B$13)*'Settings'!$B$14/100+'Settings'!$B$15,2),0)</f>
        <v>0</v>
      </c>
    </row>
    <row r="269">
      <c r="A269" s="3" t="inlineStr">
        <is>
          <t xml:space="preserve">#1191</t>
        </is>
      </c>
      <c r="B269" s="3" t="inlineStr">
        <is>
          <t xml:space="preserve">2025-12-21</t>
        </is>
      </c>
      <c r="C269" s="3" t="inlineStr">
        <is>
          <t xml:space="preserve">SKU-G</t>
        </is>
      </c>
      <c r="D269" s="3" t="inlineStr">
        <is>
          <t xml:space="preserve">Daily Reset Set</t>
        </is>
      </c>
      <c r="E269" s="6">
        <f>IF('Settings'!$B$11="Scenario",IFERROR(INDEX('Catalogue'!$E$3:$E$100,MATCH(C269,'Catalogue'!$B$3:$B$100,0)),F269),F269)</f>
        <v>69</v>
      </c>
      <c r="F269" s="8">
        <v>69</v>
      </c>
      <c r="G269" s="3">
        <v>1</v>
      </c>
      <c r="H269" s="6">
        <f>IF('Settings'!$B$11="Scenario",ROUND(E269*G269*IFERROR(SUMIF('Pricing &amp; promotions'!$A$6:$A$8,L269,'Pricing &amp; promotions'!$B$6:$B$8)/100,0),2),J269)</f>
        <v>10.35</v>
      </c>
      <c r="I269" s="6">
        <f>ROUND((E269*G269-H269)/IF(OR(K269=TRUE,K269="TRUE",K269="YES",K269=1),1+'Settings'!$B$6/100,1),2)</f>
        <v>48.47</v>
      </c>
      <c r="J269" s="8">
        <v>10.35</v>
      </c>
      <c r="K269" s="3" t="inlineStr">
        <is>
          <t xml:space="preserve">TRUE</t>
        </is>
      </c>
      <c r="L269" s="3" t="inlineStr">
        <is>
          <t xml:space="preserve">SUMMER15</t>
        </is>
      </c>
      <c r="M269" s="6">
        <f>ROUND(E269*G269-H269,2)</f>
        <v>58.65</v>
      </c>
      <c r="N269" s="5">
        <f>IF(COUNTIF($A$3:A269,A269)=1,1,0)</f>
        <v>1</v>
      </c>
      <c r="O269" s="6">
        <f>IF(N269=1,ROUND((SUMIFS($M$3:$M$1200,$A$3:$A$1200,A269)+'Settings'!$B$13)*'Settings'!$B$14/100+'Settings'!$B$15,2),0)</f>
        <v>1.17</v>
      </c>
    </row>
    <row r="270">
      <c r="A270" s="3" t="inlineStr">
        <is>
          <t xml:space="preserve">#1192</t>
        </is>
      </c>
      <c r="B270" s="3" t="inlineStr">
        <is>
          <t xml:space="preserve">2025-12-21</t>
        </is>
      </c>
      <c r="C270" s="3" t="inlineStr">
        <is>
          <t xml:space="preserve">SKU-G</t>
        </is>
      </c>
      <c r="D270" s="3" t="inlineStr">
        <is>
          <t xml:space="preserve">Daily Reset Set</t>
        </is>
      </c>
      <c r="E270" s="6">
        <f>IF('Settings'!$B$11="Scenario",IFERROR(INDEX('Catalogue'!$E$3:$E$100,MATCH(C270,'Catalogue'!$B$3:$B$100,0)),F270),F270)</f>
        <v>69</v>
      </c>
      <c r="F270" s="8">
        <v>69</v>
      </c>
      <c r="G270" s="3">
        <v>1</v>
      </c>
      <c r="H270" s="6">
        <f>IF('Settings'!$B$11="Scenario",ROUND(E270*G270*IFERROR(SUMIF('Pricing &amp; promotions'!$A$6:$A$8,L270,'Pricing &amp; promotions'!$B$6:$B$8)/100,0),2),J270)</f>
        <v>0.0</v>
      </c>
      <c r="I270" s="6">
        <f>ROUND((E270*G270-H270)/IF(OR(K270=TRUE,K270="TRUE",K270="YES",K270=1),1+'Settings'!$B$6/100,1),2)</f>
        <v>57.02</v>
      </c>
      <c r="J270" s="8">
        <v>0.0</v>
      </c>
      <c r="K270" s="3" t="inlineStr">
        <is>
          <t xml:space="preserve">TRUE</t>
        </is>
      </c>
      <c r="L270" s="3"/>
      <c r="M270" s="6">
        <f>ROUND(E270*G270-H270,2)</f>
        <v>69.0</v>
      </c>
      <c r="N270" s="5">
        <f>IF(COUNTIF($A$3:A270,A270)=1,1,0)</f>
        <v>1</v>
      </c>
      <c r="O270" s="6">
        <f>IF(N270=1,ROUND((SUMIFS($M$3:$M$1200,$A$3:$A$1200,A270)+'Settings'!$B$13)*'Settings'!$B$14/100+'Settings'!$B$15,2),0)</f>
        <v>1.33</v>
      </c>
    </row>
    <row r="271">
      <c r="A271" s="3" t="inlineStr">
        <is>
          <t xml:space="preserve">#1193</t>
        </is>
      </c>
      <c r="B271" s="3" t="inlineStr">
        <is>
          <t xml:space="preserve">2025-12-21</t>
        </is>
      </c>
      <c r="C271" s="3" t="inlineStr">
        <is>
          <t xml:space="preserve">SKU-D</t>
        </is>
      </c>
      <c r="D271" s="3" t="inlineStr">
        <is>
          <t xml:space="preserve">Daily Duo</t>
        </is>
      </c>
      <c r="E271" s="6">
        <f>IF('Settings'!$B$11="Scenario",IFERROR(INDEX('Catalogue'!$E$3:$E$100,MATCH(C271,'Catalogue'!$B$3:$B$100,0)),F271),F271)</f>
        <v>79</v>
      </c>
      <c r="F271" s="8">
        <v>79</v>
      </c>
      <c r="G271" s="3">
        <v>1</v>
      </c>
      <c r="H271" s="6">
        <f>IF('Settings'!$B$11="Scenario",ROUND(E271*G271*IFERROR(SUMIF('Pricing &amp; promotions'!$A$6:$A$8,L271,'Pricing &amp; promotions'!$B$6:$B$8)/100,0),2),J271)</f>
        <v>11.85</v>
      </c>
      <c r="I271" s="6">
        <f>ROUND((E271*G271-H271)/IF(OR(K271=TRUE,K271="TRUE",K271="YES",K271=1),1+'Settings'!$B$6/100,1),2)</f>
        <v>55.5</v>
      </c>
      <c r="J271" s="8">
        <v>11.85</v>
      </c>
      <c r="K271" s="3" t="inlineStr">
        <is>
          <t xml:space="preserve">TRUE</t>
        </is>
      </c>
      <c r="L271" s="3" t="inlineStr">
        <is>
          <t xml:space="preserve">SUMMER15</t>
        </is>
      </c>
      <c r="M271" s="6">
        <f>ROUND(E271*G271-H271,2)</f>
        <v>67.15</v>
      </c>
      <c r="N271" s="5">
        <f>IF(COUNTIF($A$3:A271,A271)=1,1,0)</f>
        <v>1</v>
      </c>
      <c r="O271" s="6">
        <f>IF(N271=1,ROUND((SUMIFS($M$3:$M$1200,$A$3:$A$1200,A271)+'Settings'!$B$13)*'Settings'!$B$14/100+'Settings'!$B$15,2),0)</f>
        <v>1.3</v>
      </c>
    </row>
    <row r="272">
      <c r="A272" s="3" t="inlineStr">
        <is>
          <t xml:space="preserve">#1194</t>
        </is>
      </c>
      <c r="B272" s="3" t="inlineStr">
        <is>
          <t xml:space="preserve">2025-12-23</t>
        </is>
      </c>
      <c r="C272" s="3" t="inlineStr">
        <is>
          <t xml:space="preserve">SKU-B</t>
        </is>
      </c>
      <c r="D272" s="3" t="inlineStr">
        <is>
          <t xml:space="preserve">Barrier Balm</t>
        </is>
      </c>
      <c r="E272" s="6">
        <f>IF('Settings'!$B$11="Scenario",IFERROR(INDEX('Catalogue'!$E$3:$E$100,MATCH(C272,'Catalogue'!$B$3:$B$100,0)),F272),F272)</f>
        <v>19</v>
      </c>
      <c r="F272" s="8">
        <v>18</v>
      </c>
      <c r="G272" s="3">
        <v>1</v>
      </c>
      <c r="H272" s="6">
        <f>IF('Settings'!$B$11="Scenario",ROUND(E272*G272*IFERROR(SUMIF('Pricing &amp; promotions'!$A$6:$A$8,L272,'Pricing &amp; promotions'!$B$6:$B$8)/100,0),2),J272)</f>
        <v>1.9</v>
      </c>
      <c r="I272" s="6">
        <f>ROUND((E272*G272-H272)/IF(OR(K272=TRUE,K272="TRUE",K272="YES",K272=1),1+'Settings'!$B$6/100,1),2)</f>
        <v>14.13</v>
      </c>
      <c r="J272" s="8">
        <v>1.8</v>
      </c>
      <c r="K272" s="3" t="inlineStr">
        <is>
          <t xml:space="preserve">TRUE</t>
        </is>
      </c>
      <c r="L272" s="3" t="inlineStr">
        <is>
          <t xml:space="preserve">WELCOME10</t>
        </is>
      </c>
      <c r="M272" s="6">
        <f>ROUND(E272*G272-H272,2)</f>
        <v>17.1</v>
      </c>
      <c r="N272" s="5">
        <f>IF(COUNTIF($A$3:A272,A272)=1,1,0)</f>
        <v>1</v>
      </c>
      <c r="O272" s="6">
        <f>IF(N272=1,ROUND((SUMIFS($M$3:$M$1200,$A$3:$A$1200,A272)+'Settings'!$B$13)*'Settings'!$B$14/100+'Settings'!$B$15,2),0)</f>
        <v>1.49</v>
      </c>
    </row>
    <row r="273">
      <c r="A273" s="3" t="inlineStr">
        <is>
          <t xml:space="preserve">#1194</t>
        </is>
      </c>
      <c r="B273" s="3" t="inlineStr">
        <is>
          <t xml:space="preserve">2025-12-23</t>
        </is>
      </c>
      <c r="C273" s="3" t="inlineStr">
        <is>
          <t xml:space="preserve">SKU-A</t>
        </is>
      </c>
      <c r="D273" s="3" t="inlineStr">
        <is>
          <t xml:space="preserve">Renewal Serum</t>
        </is>
      </c>
      <c r="E273" s="6">
        <f>IF('Settings'!$B$11="Scenario",IFERROR(INDEX('Catalogue'!$E$3:$E$100,MATCH(C273,'Catalogue'!$B$3:$B$100,0)),F273),F273)</f>
        <v>69.9</v>
      </c>
      <c r="F273" s="8">
        <v>64</v>
      </c>
      <c r="G273" s="3">
        <v>1</v>
      </c>
      <c r="H273" s="6">
        <f>IF('Settings'!$B$11="Scenario",ROUND(E273*G273*IFERROR(SUMIF('Pricing &amp; promotions'!$A$6:$A$8,L273,'Pricing &amp; promotions'!$B$6:$B$8)/100,0),2),J273)</f>
        <v>6.99</v>
      </c>
      <c r="I273" s="6">
        <f>ROUND((E273*G273-H273)/IF(OR(K273=TRUE,K273="TRUE",K273="YES",K273=1),1+'Settings'!$B$6/100,1),2)</f>
        <v>51.99</v>
      </c>
      <c r="J273" s="8">
        <v>6.4</v>
      </c>
      <c r="K273" s="3" t="inlineStr">
        <is>
          <t xml:space="preserve">TRUE</t>
        </is>
      </c>
      <c r="L273" s="3" t="inlineStr">
        <is>
          <t xml:space="preserve">WELCOME10</t>
        </is>
      </c>
      <c r="M273" s="6">
        <f>ROUND(E273*G273-H273,2)</f>
        <v>62.91</v>
      </c>
      <c r="N273" s="5">
        <f>IF(COUNTIF($A$3:A273,A273)=1,1,0)</f>
        <v>0</v>
      </c>
      <c r="O273" s="6">
        <f>IF(N273=1,ROUND((SUMIFS($M$3:$M$1200,$A$3:$A$1200,A273)+'Settings'!$B$13)*'Settings'!$B$14/100+'Settings'!$B$15,2),0)</f>
        <v>0</v>
      </c>
    </row>
    <row r="274">
      <c r="A274" s="3" t="inlineStr">
        <is>
          <t xml:space="preserve">#1195</t>
        </is>
      </c>
      <c r="B274" s="3" t="inlineStr">
        <is>
          <t xml:space="preserve">2025-12-23</t>
        </is>
      </c>
      <c r="C274" s="3" t="inlineStr">
        <is>
          <t xml:space="preserve">SKU-A</t>
        </is>
      </c>
      <c r="D274" s="3" t="inlineStr">
        <is>
          <t xml:space="preserve">Renewal Serum</t>
        </is>
      </c>
      <c r="E274" s="6">
        <f>IF('Settings'!$B$11="Scenario",IFERROR(INDEX('Catalogue'!$E$3:$E$100,MATCH(C274,'Catalogue'!$B$3:$B$100,0)),F274),F274)</f>
        <v>69.9</v>
      </c>
      <c r="F274" s="8">
        <v>64</v>
      </c>
      <c r="G274" s="3">
        <v>1</v>
      </c>
      <c r="H274" s="6">
        <f>IF('Settings'!$B$11="Scenario",ROUND(E274*G274*IFERROR(SUMIF('Pricing &amp; promotions'!$A$6:$A$8,L274,'Pricing &amp; promotions'!$B$6:$B$8)/100,0),2),J274)</f>
        <v>0.0</v>
      </c>
      <c r="I274" s="6">
        <f>ROUND((E274*G274-H274)/IF(OR(K274=TRUE,K274="TRUE",K274="YES",K274=1),1+'Settings'!$B$6/100,1),2)</f>
        <v>57.77</v>
      </c>
      <c r="J274" s="8">
        <v>0.0</v>
      </c>
      <c r="K274" s="3" t="inlineStr">
        <is>
          <t xml:space="preserve">TRUE</t>
        </is>
      </c>
      <c r="L274" s="3"/>
      <c r="M274" s="6">
        <f>ROUND(E274*G274-H274,2)</f>
        <v>69.9</v>
      </c>
      <c r="N274" s="5">
        <f>IF(COUNTIF($A$3:A274,A274)=1,1,0)</f>
        <v>1</v>
      </c>
      <c r="O274" s="6">
        <f>IF(N274=1,ROUND((SUMIFS($M$3:$M$1200,$A$3:$A$1200,A274)+'Settings'!$B$13)*'Settings'!$B$14/100+'Settings'!$B$15,2),0)</f>
        <v>1.34</v>
      </c>
    </row>
    <row r="275">
      <c r="A275" s="3" t="inlineStr">
        <is>
          <t xml:space="preserve">#1196</t>
        </is>
      </c>
      <c r="B275" s="3" t="inlineStr">
        <is>
          <t xml:space="preserve">2025-12-23</t>
        </is>
      </c>
      <c r="C275" s="3" t="inlineStr">
        <is>
          <t xml:space="preserve">SKU-E</t>
        </is>
      </c>
      <c r="D275" s="3" t="inlineStr">
        <is>
          <t xml:space="preserve">Complete Ritual</t>
        </is>
      </c>
      <c r="E275" s="6">
        <f>IF('Settings'!$B$11="Scenario",IFERROR(INDEX('Catalogue'!$E$3:$E$100,MATCH(C275,'Catalogue'!$B$3:$B$100,0)),F275),F275)</f>
        <v>89</v>
      </c>
      <c r="F275" s="8">
        <v>89</v>
      </c>
      <c r="G275" s="3">
        <v>1</v>
      </c>
      <c r="H275" s="6">
        <f>IF('Settings'!$B$11="Scenario",ROUND(E275*G275*IFERROR(SUMIF('Pricing &amp; promotions'!$A$6:$A$8,L275,'Pricing &amp; promotions'!$B$6:$B$8)/100,0),2),J275)</f>
        <v>8.9</v>
      </c>
      <c r="I275" s="6">
        <f>ROUND((E275*G275-H275)/IF(OR(K275=TRUE,K275="TRUE",K275="YES",K275=1),1+'Settings'!$B$6/100,1),2)</f>
        <v>66.2</v>
      </c>
      <c r="J275" s="8">
        <v>8.9</v>
      </c>
      <c r="K275" s="3" t="inlineStr">
        <is>
          <t xml:space="preserve">TRUE</t>
        </is>
      </c>
      <c r="L275" s="3" t="inlineStr">
        <is>
          <t xml:space="preserve">WELCOME10</t>
        </is>
      </c>
      <c r="M275" s="6">
        <f>ROUND(E275*G275-H275,2)</f>
        <v>80.1</v>
      </c>
      <c r="N275" s="5">
        <f>IF(COUNTIF($A$3:A275,A275)=1,1,0)</f>
        <v>1</v>
      </c>
      <c r="O275" s="6">
        <f>IF(N275=1,ROUND((SUMIFS($M$3:$M$1200,$A$3:$A$1200,A275)+'Settings'!$B$13)*'Settings'!$B$14/100+'Settings'!$B$15,2),0)</f>
        <v>2.43</v>
      </c>
    </row>
    <row r="276">
      <c r="A276" s="3" t="inlineStr">
        <is>
          <t xml:space="preserve">#1196</t>
        </is>
      </c>
      <c r="B276" s="3" t="inlineStr">
        <is>
          <t xml:space="preserve">2025-12-23</t>
        </is>
      </c>
      <c r="C276" s="3" t="inlineStr">
        <is>
          <t xml:space="preserve">SKU-G</t>
        </is>
      </c>
      <c r="D276" s="3" t="inlineStr">
        <is>
          <t xml:space="preserve">Daily Reset Set</t>
        </is>
      </c>
      <c r="E276" s="6">
        <f>IF('Settings'!$B$11="Scenario",IFERROR(INDEX('Catalogue'!$E$3:$E$100,MATCH(C276,'Catalogue'!$B$3:$B$100,0)),F276),F276)</f>
        <v>69</v>
      </c>
      <c r="F276" s="8">
        <v>69</v>
      </c>
      <c r="G276" s="3">
        <v>1</v>
      </c>
      <c r="H276" s="6">
        <f>IF('Settings'!$B$11="Scenario",ROUND(E276*G276*IFERROR(SUMIF('Pricing &amp; promotions'!$A$6:$A$8,L276,'Pricing &amp; promotions'!$B$6:$B$8)/100,0),2),J276)</f>
        <v>6.9</v>
      </c>
      <c r="I276" s="6">
        <f>ROUND((E276*G276-H276)/IF(OR(K276=TRUE,K276="TRUE",K276="YES",K276=1),1+'Settings'!$B$6/100,1),2)</f>
        <v>51.32</v>
      </c>
      <c r="J276" s="8">
        <v>6.9</v>
      </c>
      <c r="K276" s="3" t="inlineStr">
        <is>
          <t xml:space="preserve">TRUE</t>
        </is>
      </c>
      <c r="L276" s="3" t="inlineStr">
        <is>
          <t xml:space="preserve">WELCOME10</t>
        </is>
      </c>
      <c r="M276" s="6">
        <f>ROUND(E276*G276-H276,2)</f>
        <v>62.1</v>
      </c>
      <c r="N276" s="5">
        <f>IF(COUNTIF($A$3:A276,A276)=1,1,0)</f>
        <v>0</v>
      </c>
      <c r="O276" s="6">
        <f>IF(N276=1,ROUND((SUMIFS($M$3:$M$1200,$A$3:$A$1200,A276)+'Settings'!$B$13)*'Settings'!$B$14/100+'Settings'!$B$15,2),0)</f>
        <v>0</v>
      </c>
    </row>
    <row r="277">
      <c r="A277" s="3" t="inlineStr">
        <is>
          <t xml:space="preserve">#1197</t>
        </is>
      </c>
      <c r="B277" s="3" t="inlineStr">
        <is>
          <t xml:space="preserve">2025-12-23</t>
        </is>
      </c>
      <c r="C277" s="3" t="inlineStr">
        <is>
          <t xml:space="preserve">SKU-E</t>
        </is>
      </c>
      <c r="D277" s="3" t="inlineStr">
        <is>
          <t xml:space="preserve">Complete Ritual</t>
        </is>
      </c>
      <c r="E277" s="6">
        <f>IF('Settings'!$B$11="Scenario",IFERROR(INDEX('Catalogue'!$E$3:$E$100,MATCH(C277,'Catalogue'!$B$3:$B$100,0)),F277),F277)</f>
        <v>89</v>
      </c>
      <c r="F277" s="8">
        <v>89</v>
      </c>
      <c r="G277" s="3">
        <v>1</v>
      </c>
      <c r="H277" s="6">
        <f>IF('Settings'!$B$11="Scenario",ROUND(E277*G277*IFERROR(SUMIF('Pricing &amp; promotions'!$A$6:$A$8,L277,'Pricing &amp; promotions'!$B$6:$B$8)/100,0),2),J277)</f>
        <v>0.0</v>
      </c>
      <c r="I277" s="6">
        <f>ROUND((E277*G277-H277)/IF(OR(K277=TRUE,K277="TRUE",K277="YES",K277=1),1+'Settings'!$B$6/100,1),2)</f>
        <v>73.55</v>
      </c>
      <c r="J277" s="8">
        <v>0.0</v>
      </c>
      <c r="K277" s="3" t="inlineStr">
        <is>
          <t xml:space="preserve">TRUE</t>
        </is>
      </c>
      <c r="L277" s="3"/>
      <c r="M277" s="6">
        <f>ROUND(E277*G277-H277,2)</f>
        <v>89.0</v>
      </c>
      <c r="N277" s="5">
        <f>IF(COUNTIF($A$3:A277,A277)=1,1,0)</f>
        <v>1</v>
      </c>
      <c r="O277" s="6">
        <f>IF(N277=1,ROUND((SUMIFS($M$3:$M$1200,$A$3:$A$1200,A277)+'Settings'!$B$13)*'Settings'!$B$14/100+'Settings'!$B$15,2),0)</f>
        <v>1.63</v>
      </c>
    </row>
    <row r="278">
      <c r="A278" s="3" t="inlineStr">
        <is>
          <t xml:space="preserve">#1198</t>
        </is>
      </c>
      <c r="B278" s="3" t="inlineStr">
        <is>
          <t xml:space="preserve">2025-12-23</t>
        </is>
      </c>
      <c r="C278" s="3" t="inlineStr">
        <is>
          <t xml:space="preserve">SKU-A</t>
        </is>
      </c>
      <c r="D278" s="3" t="inlineStr">
        <is>
          <t xml:space="preserve">Renewal Serum</t>
        </is>
      </c>
      <c r="E278" s="6">
        <f>IF('Settings'!$B$11="Scenario",IFERROR(INDEX('Catalogue'!$E$3:$E$100,MATCH(C278,'Catalogue'!$B$3:$B$100,0)),F278),F278)</f>
        <v>69.9</v>
      </c>
      <c r="F278" s="8">
        <v>64</v>
      </c>
      <c r="G278" s="3">
        <v>1</v>
      </c>
      <c r="H278" s="6">
        <f>IF('Settings'!$B$11="Scenario",ROUND(E278*G278*IFERROR(SUMIF('Pricing &amp; promotions'!$A$6:$A$8,L278,'Pricing &amp; promotions'!$B$6:$B$8)/100,0),2),J278)</f>
        <v>0.0</v>
      </c>
      <c r="I278" s="6">
        <f>ROUND((E278*G278-H278)/IF(OR(K278=TRUE,K278="TRUE",K278="YES",K278=1),1+'Settings'!$B$6/100,1),2)</f>
        <v>57.77</v>
      </c>
      <c r="J278" s="8">
        <v>0.0</v>
      </c>
      <c r="K278" s="3" t="inlineStr">
        <is>
          <t xml:space="preserve">TRUE</t>
        </is>
      </c>
      <c r="L278" s="3"/>
      <c r="M278" s="6">
        <f>ROUND(E278*G278-H278,2)</f>
        <v>69.9</v>
      </c>
      <c r="N278" s="5">
        <f>IF(COUNTIF($A$3:A278,A278)=1,1,0)</f>
        <v>1</v>
      </c>
      <c r="O278" s="6">
        <f>IF(N278=1,ROUND((SUMIFS($M$3:$M$1200,$A$3:$A$1200,A278)+'Settings'!$B$13)*'Settings'!$B$14/100+'Settings'!$B$15,2),0)</f>
        <v>1.34</v>
      </c>
    </row>
    <row r="279">
      <c r="A279" s="3" t="inlineStr">
        <is>
          <t xml:space="preserve">#1199</t>
        </is>
      </c>
      <c r="B279" s="3" t="inlineStr">
        <is>
          <t xml:space="preserve">2025-12-23</t>
        </is>
      </c>
      <c r="C279" s="3" t="inlineStr">
        <is>
          <t xml:space="preserve">SKU-A</t>
        </is>
      </c>
      <c r="D279" s="3" t="inlineStr">
        <is>
          <t xml:space="preserve">Renewal Serum</t>
        </is>
      </c>
      <c r="E279" s="6">
        <f>IF('Settings'!$B$11="Scenario",IFERROR(INDEX('Catalogue'!$E$3:$E$100,MATCH(C279,'Catalogue'!$B$3:$B$100,0)),F279),F279)</f>
        <v>69.9</v>
      </c>
      <c r="F279" s="8">
        <v>64</v>
      </c>
      <c r="G279" s="3">
        <v>1</v>
      </c>
      <c r="H279" s="6">
        <f>IF('Settings'!$B$11="Scenario",ROUND(E279*G279*IFERROR(SUMIF('Pricing &amp; promotions'!$A$6:$A$8,L279,'Pricing &amp; promotions'!$B$6:$B$8)/100,0),2),J279)</f>
        <v>0.0</v>
      </c>
      <c r="I279" s="6">
        <f>ROUND((E279*G279-H279)/IF(OR(K279=TRUE,K279="TRUE",K279="YES",K279=1),1+'Settings'!$B$6/100,1),2)</f>
        <v>57.77</v>
      </c>
      <c r="J279" s="8">
        <v>0.0</v>
      </c>
      <c r="K279" s="3" t="inlineStr">
        <is>
          <t xml:space="preserve">TRUE</t>
        </is>
      </c>
      <c r="L279" s="3"/>
      <c r="M279" s="6">
        <f>ROUND(E279*G279-H279,2)</f>
        <v>69.9</v>
      </c>
      <c r="N279" s="5">
        <f>IF(COUNTIF($A$3:A279,A279)=1,1,0)</f>
        <v>1</v>
      </c>
      <c r="O279" s="6">
        <f>IF(N279=1,ROUND((SUMIFS($M$3:$M$1200,$A$3:$A$1200,A279)+'Settings'!$B$13)*'Settings'!$B$14/100+'Settings'!$B$15,2),0)</f>
        <v>1.34</v>
      </c>
    </row>
    <row r="280">
      <c r="A280" s="3" t="inlineStr">
        <is>
          <t xml:space="preserve">#1200</t>
        </is>
      </c>
      <c r="B280" s="3" t="inlineStr">
        <is>
          <t xml:space="preserve">2025-12-24</t>
        </is>
      </c>
      <c r="C280" s="3" t="inlineStr">
        <is>
          <t xml:space="preserve">SKU-D</t>
        </is>
      </c>
      <c r="D280" s="3" t="inlineStr">
        <is>
          <t xml:space="preserve">Daily Duo</t>
        </is>
      </c>
      <c r="E280" s="6">
        <f>IF('Settings'!$B$11="Scenario",IFERROR(INDEX('Catalogue'!$E$3:$E$100,MATCH(C280,'Catalogue'!$B$3:$B$100,0)),F280),F280)</f>
        <v>79</v>
      </c>
      <c r="F280" s="8">
        <v>79</v>
      </c>
      <c r="G280" s="3">
        <v>1</v>
      </c>
      <c r="H280" s="6">
        <f>IF('Settings'!$B$11="Scenario",ROUND(E280*G280*IFERROR(SUMIF('Pricing &amp; promotions'!$A$6:$A$8,L280,'Pricing &amp; promotions'!$B$6:$B$8)/100,0),2),J280)</f>
        <v>0.0</v>
      </c>
      <c r="I280" s="6">
        <f>ROUND((E280*G280-H280)/IF(OR(K280=TRUE,K280="TRUE",K280="YES",K280=1),1+'Settings'!$B$6/100,1),2)</f>
        <v>65.29</v>
      </c>
      <c r="J280" s="8">
        <v>0.0</v>
      </c>
      <c r="K280" s="3" t="inlineStr">
        <is>
          <t xml:space="preserve">TRUE</t>
        </is>
      </c>
      <c r="L280" s="3"/>
      <c r="M280" s="6">
        <f>ROUND(E280*G280-H280,2)</f>
        <v>79.0</v>
      </c>
      <c r="N280" s="5">
        <f>IF(COUNTIF($A$3:A280,A280)=1,1,0)</f>
        <v>1</v>
      </c>
      <c r="O280" s="6">
        <f>IF(N280=1,ROUND((SUMIFS($M$3:$M$1200,$A$3:$A$1200,A280)+'Settings'!$B$13)*'Settings'!$B$14/100+'Settings'!$B$15,2),0)</f>
        <v>2.53</v>
      </c>
    </row>
    <row r="281">
      <c r="A281" s="3" t="inlineStr">
        <is>
          <t xml:space="preserve">#1200</t>
        </is>
      </c>
      <c r="B281" s="3" t="inlineStr">
        <is>
          <t xml:space="preserve">2025-12-24</t>
        </is>
      </c>
      <c r="C281" s="3" t="inlineStr">
        <is>
          <t xml:space="preserve">SKU-A</t>
        </is>
      </c>
      <c r="D281" s="3" t="inlineStr">
        <is>
          <t xml:space="preserve">Renewal Serum</t>
        </is>
      </c>
      <c r="E281" s="6">
        <f>IF('Settings'!$B$11="Scenario",IFERROR(INDEX('Catalogue'!$E$3:$E$100,MATCH(C281,'Catalogue'!$B$3:$B$100,0)),F281),F281)</f>
        <v>69.9</v>
      </c>
      <c r="F281" s="8">
        <v>64</v>
      </c>
      <c r="G281" s="3">
        <v>1</v>
      </c>
      <c r="H281" s="6">
        <f>IF('Settings'!$B$11="Scenario",ROUND(E281*G281*IFERROR(SUMIF('Pricing &amp; promotions'!$A$6:$A$8,L281,'Pricing &amp; promotions'!$B$6:$B$8)/100,0),2),J281)</f>
        <v>0.0</v>
      </c>
      <c r="I281" s="6">
        <f>ROUND((E281*G281-H281)/IF(OR(K281=TRUE,K281="TRUE",K281="YES",K281=1),1+'Settings'!$B$6/100,1),2)</f>
        <v>57.77</v>
      </c>
      <c r="J281" s="8">
        <v>0.0</v>
      </c>
      <c r="K281" s="3" t="inlineStr">
        <is>
          <t xml:space="preserve">TRUE</t>
        </is>
      </c>
      <c r="L281" s="3"/>
      <c r="M281" s="6">
        <f>ROUND(E281*G281-H281,2)</f>
        <v>69.9</v>
      </c>
      <c r="N281" s="5">
        <f>IF(COUNTIF($A$3:A281,A281)=1,1,0)</f>
        <v>0</v>
      </c>
      <c r="O281" s="6">
        <f>IF(N281=1,ROUND((SUMIFS($M$3:$M$1200,$A$3:$A$1200,A281)+'Settings'!$B$13)*'Settings'!$B$14/100+'Settings'!$B$15,2),0)</f>
        <v>0</v>
      </c>
    </row>
    <row r="282">
      <c r="A282" s="3" t="inlineStr">
        <is>
          <t xml:space="preserve">#1201</t>
        </is>
      </c>
      <c r="B282" s="3" t="inlineStr">
        <is>
          <t xml:space="preserve">2025-12-24</t>
        </is>
      </c>
      <c r="C282" s="3" t="inlineStr">
        <is>
          <t xml:space="preserve">SKU-A</t>
        </is>
      </c>
      <c r="D282" s="3" t="inlineStr">
        <is>
          <t xml:space="preserve">Renewal Serum</t>
        </is>
      </c>
      <c r="E282" s="6">
        <f>IF('Settings'!$B$11="Scenario",IFERROR(INDEX('Catalogue'!$E$3:$E$100,MATCH(C282,'Catalogue'!$B$3:$B$100,0)),F282),F282)</f>
        <v>69.9</v>
      </c>
      <c r="F282" s="8">
        <v>64</v>
      </c>
      <c r="G282" s="3">
        <v>2</v>
      </c>
      <c r="H282" s="6">
        <f>IF('Settings'!$B$11="Scenario",ROUND(E282*G282*IFERROR(SUMIF('Pricing &amp; promotions'!$A$6:$A$8,L282,'Pricing &amp; promotions'!$B$6:$B$8)/100,0),2),J282)</f>
        <v>13.98</v>
      </c>
      <c r="I282" s="6">
        <f>ROUND((E282*G282-H282)/IF(OR(K282=TRUE,K282="TRUE",K282="YES",K282=1),1+'Settings'!$B$6/100,1),2)</f>
        <v>103.98</v>
      </c>
      <c r="J282" s="8">
        <v>12.8</v>
      </c>
      <c r="K282" s="3" t="inlineStr">
        <is>
          <t xml:space="preserve">TRUE</t>
        </is>
      </c>
      <c r="L282" s="3" t="inlineStr">
        <is>
          <t xml:space="preserve">WELCOME10</t>
        </is>
      </c>
      <c r="M282" s="6">
        <f>ROUND(E282*G282-H282,2)</f>
        <v>125.82</v>
      </c>
      <c r="N282" s="5">
        <f>IF(COUNTIF($A$3:A282,A282)=1,1,0)</f>
        <v>1</v>
      </c>
      <c r="O282" s="6">
        <f>IF(N282=1,ROUND((SUMIFS($M$3:$M$1200,$A$3:$A$1200,A282)+'Settings'!$B$13)*'Settings'!$B$14/100+'Settings'!$B$15,2),0)</f>
        <v>4.18</v>
      </c>
    </row>
    <row r="283">
      <c r="A283" s="3" t="inlineStr">
        <is>
          <t xml:space="preserve">#1201</t>
        </is>
      </c>
      <c r="B283" s="3" t="inlineStr">
        <is>
          <t xml:space="preserve">2025-12-24</t>
        </is>
      </c>
      <c r="C283" s="3" t="inlineStr">
        <is>
          <t xml:space="preserve">SKU-D</t>
        </is>
      </c>
      <c r="D283" s="3" t="inlineStr">
        <is>
          <t xml:space="preserve">Daily Duo</t>
        </is>
      </c>
      <c r="E283" s="6">
        <f>IF('Settings'!$B$11="Scenario",IFERROR(INDEX('Catalogue'!$E$3:$E$100,MATCH(C283,'Catalogue'!$B$3:$B$100,0)),F283),F283)</f>
        <v>79</v>
      </c>
      <c r="F283" s="8">
        <v>79</v>
      </c>
      <c r="G283" s="3">
        <v>1</v>
      </c>
      <c r="H283" s="6">
        <f>IF('Settings'!$B$11="Scenario",ROUND(E283*G283*IFERROR(SUMIF('Pricing &amp; promotions'!$A$6:$A$8,L283,'Pricing &amp; promotions'!$B$6:$B$8)/100,0),2),J283)</f>
        <v>7.9</v>
      </c>
      <c r="I283" s="6">
        <f>ROUND((E283*G283-H283)/IF(OR(K283=TRUE,K283="TRUE",K283="YES",K283=1),1+'Settings'!$B$6/100,1),2)</f>
        <v>58.76</v>
      </c>
      <c r="J283" s="8">
        <v>7.9</v>
      </c>
      <c r="K283" s="3" t="inlineStr">
        <is>
          <t xml:space="preserve">TRUE</t>
        </is>
      </c>
      <c r="L283" s="3" t="inlineStr">
        <is>
          <t xml:space="preserve">WELCOME10</t>
        </is>
      </c>
      <c r="M283" s="6">
        <f>ROUND(E283*G283-H283,2)</f>
        <v>71.1</v>
      </c>
      <c r="N283" s="5">
        <f>IF(COUNTIF($A$3:A283,A283)=1,1,0)</f>
        <v>0</v>
      </c>
      <c r="O283" s="6">
        <f>IF(N283=1,ROUND((SUMIFS($M$3:$M$1200,$A$3:$A$1200,A283)+'Settings'!$B$13)*'Settings'!$B$14/100+'Settings'!$B$15,2),0)</f>
        <v>0</v>
      </c>
    </row>
    <row r="284">
      <c r="A284" s="3" t="inlineStr">
        <is>
          <t xml:space="preserve">#1201</t>
        </is>
      </c>
      <c r="B284" s="3" t="inlineStr">
        <is>
          <t xml:space="preserve">2025-12-24</t>
        </is>
      </c>
      <c r="C284" s="3" t="inlineStr">
        <is>
          <t xml:space="preserve">SKU-G</t>
        </is>
      </c>
      <c r="D284" s="3" t="inlineStr">
        <is>
          <t xml:space="preserve">Daily Reset Set</t>
        </is>
      </c>
      <c r="E284" s="6">
        <f>IF('Settings'!$B$11="Scenario",IFERROR(INDEX('Catalogue'!$E$3:$E$100,MATCH(C284,'Catalogue'!$B$3:$B$100,0)),F284),F284)</f>
        <v>69</v>
      </c>
      <c r="F284" s="8">
        <v>69</v>
      </c>
      <c r="G284" s="3">
        <v>1</v>
      </c>
      <c r="H284" s="6">
        <f>IF('Settings'!$B$11="Scenario",ROUND(E284*G284*IFERROR(SUMIF('Pricing &amp; promotions'!$A$6:$A$8,L284,'Pricing &amp; promotions'!$B$6:$B$8)/100,0),2),J284)</f>
        <v>6.9</v>
      </c>
      <c r="I284" s="6">
        <f>ROUND((E284*G284-H284)/IF(OR(K284=TRUE,K284="TRUE",K284="YES",K284=1),1+'Settings'!$B$6/100,1),2)</f>
        <v>51.32</v>
      </c>
      <c r="J284" s="8">
        <v>6.9</v>
      </c>
      <c r="K284" s="3" t="inlineStr">
        <is>
          <t xml:space="preserve">TRUE</t>
        </is>
      </c>
      <c r="L284" s="3" t="inlineStr">
        <is>
          <t xml:space="preserve">WELCOME10</t>
        </is>
      </c>
      <c r="M284" s="6">
        <f>ROUND(E284*G284-H284,2)</f>
        <v>62.1</v>
      </c>
      <c r="N284" s="5">
        <f>IF(COUNTIF($A$3:A284,A284)=1,1,0)</f>
        <v>0</v>
      </c>
      <c r="O284" s="6">
        <f>IF(N284=1,ROUND((SUMIFS($M$3:$M$1200,$A$3:$A$1200,A284)+'Settings'!$B$13)*'Settings'!$B$14/100+'Settings'!$B$15,2),0)</f>
        <v>0</v>
      </c>
    </row>
    <row r="285">
      <c r="A285" s="3" t="inlineStr">
        <is>
          <t xml:space="preserve">#1202</t>
        </is>
      </c>
      <c r="B285" s="3" t="inlineStr">
        <is>
          <t xml:space="preserve">2025-12-24</t>
        </is>
      </c>
      <c r="C285" s="3" t="inlineStr">
        <is>
          <t xml:space="preserve">SKU-D</t>
        </is>
      </c>
      <c r="D285" s="3" t="inlineStr">
        <is>
          <t xml:space="preserve">Daily Duo</t>
        </is>
      </c>
      <c r="E285" s="6">
        <f>IF('Settings'!$B$11="Scenario",IFERROR(INDEX('Catalogue'!$E$3:$E$100,MATCH(C285,'Catalogue'!$B$3:$B$100,0)),F285),F285)</f>
        <v>79</v>
      </c>
      <c r="F285" s="8">
        <v>79</v>
      </c>
      <c r="G285" s="3">
        <v>2</v>
      </c>
      <c r="H285" s="6">
        <f>IF('Settings'!$B$11="Scenario",ROUND(E285*G285*IFERROR(SUMIF('Pricing &amp; promotions'!$A$6:$A$8,L285,'Pricing &amp; promotions'!$B$6:$B$8)/100,0),2),J285)</f>
        <v>15.8</v>
      </c>
      <c r="I285" s="6">
        <f>ROUND((E285*G285-H285)/IF(OR(K285=TRUE,K285="TRUE",K285="YES",K285=1),1+'Settings'!$B$6/100,1),2)</f>
        <v>117.52</v>
      </c>
      <c r="J285" s="8">
        <v>15.8</v>
      </c>
      <c r="K285" s="3" t="inlineStr">
        <is>
          <t xml:space="preserve">TRUE</t>
        </is>
      </c>
      <c r="L285" s="3" t="inlineStr">
        <is>
          <t xml:space="preserve">WELCOME10</t>
        </is>
      </c>
      <c r="M285" s="6">
        <f>ROUND(E285*G285-H285,2)</f>
        <v>142.2</v>
      </c>
      <c r="N285" s="5">
        <f>IF(COUNTIF($A$3:A285,A285)=1,1,0)</f>
        <v>1</v>
      </c>
      <c r="O285" s="6">
        <f>IF(N285=1,ROUND((SUMIFS($M$3:$M$1200,$A$3:$A$1200,A285)+'Settings'!$B$13)*'Settings'!$B$14/100+'Settings'!$B$15,2),0)</f>
        <v>2.43</v>
      </c>
    </row>
    <row r="286">
      <c r="A286" s="3" t="inlineStr">
        <is>
          <t xml:space="preserve">#1203</t>
        </is>
      </c>
      <c r="B286" s="3" t="inlineStr">
        <is>
          <t xml:space="preserve">2025-12-24</t>
        </is>
      </c>
      <c r="C286" s="3" t="inlineStr">
        <is>
          <t xml:space="preserve">SKU-A</t>
        </is>
      </c>
      <c r="D286" s="3" t="inlineStr">
        <is>
          <t xml:space="preserve">Renewal Serum</t>
        </is>
      </c>
      <c r="E286" s="6">
        <f>IF('Settings'!$B$11="Scenario",IFERROR(INDEX('Catalogue'!$E$3:$E$100,MATCH(C286,'Catalogue'!$B$3:$B$100,0)),F286),F286)</f>
        <v>69.9</v>
      </c>
      <c r="F286" s="8">
        <v>64</v>
      </c>
      <c r="G286" s="3">
        <v>2</v>
      </c>
      <c r="H286" s="6">
        <f>IF('Settings'!$B$11="Scenario",ROUND(E286*G286*IFERROR(SUMIF('Pricing &amp; promotions'!$A$6:$A$8,L286,'Pricing &amp; promotions'!$B$6:$B$8)/100,0),2),J286)</f>
        <v>13.98</v>
      </c>
      <c r="I286" s="6">
        <f>ROUND((E286*G286-H286)/IF(OR(K286=TRUE,K286="TRUE",K286="YES",K286=1),1+'Settings'!$B$6/100,1),2)</f>
        <v>103.98</v>
      </c>
      <c r="J286" s="8">
        <v>12.8</v>
      </c>
      <c r="K286" s="3" t="inlineStr">
        <is>
          <t xml:space="preserve">TRUE</t>
        </is>
      </c>
      <c r="L286" s="3" t="inlineStr">
        <is>
          <t xml:space="preserve">WELCOME10</t>
        </is>
      </c>
      <c r="M286" s="6">
        <f>ROUND(E286*G286-H286,2)</f>
        <v>125.82</v>
      </c>
      <c r="N286" s="5">
        <f>IF(COUNTIF($A$3:A286,A286)=1,1,0)</f>
        <v>1</v>
      </c>
      <c r="O286" s="6">
        <f>IF(N286=1,ROUND((SUMIFS($M$3:$M$1200,$A$3:$A$1200,A286)+'Settings'!$B$13)*'Settings'!$B$14/100+'Settings'!$B$15,2),0)</f>
        <v>3.38</v>
      </c>
    </row>
    <row r="287">
      <c r="A287" s="3" t="inlineStr">
        <is>
          <t xml:space="preserve">#1203</t>
        </is>
      </c>
      <c r="B287" s="3" t="inlineStr">
        <is>
          <t xml:space="preserve">2025-12-24</t>
        </is>
      </c>
      <c r="C287" s="3" t="inlineStr">
        <is>
          <t xml:space="preserve">SKU-E</t>
        </is>
      </c>
      <c r="D287" s="3" t="inlineStr">
        <is>
          <t xml:space="preserve">Complete Ritual</t>
        </is>
      </c>
      <c r="E287" s="6">
        <f>IF('Settings'!$B$11="Scenario",IFERROR(INDEX('Catalogue'!$E$3:$E$100,MATCH(C287,'Catalogue'!$B$3:$B$100,0)),F287),F287)</f>
        <v>89</v>
      </c>
      <c r="F287" s="8">
        <v>89</v>
      </c>
      <c r="G287" s="3">
        <v>1</v>
      </c>
      <c r="H287" s="6">
        <f>IF('Settings'!$B$11="Scenario",ROUND(E287*G287*IFERROR(SUMIF('Pricing &amp; promotions'!$A$6:$A$8,L287,'Pricing &amp; promotions'!$B$6:$B$8)/100,0),2),J287)</f>
        <v>8.9</v>
      </c>
      <c r="I287" s="6">
        <f>ROUND((E287*G287-H287)/IF(OR(K287=TRUE,K287="TRUE",K287="YES",K287=1),1+'Settings'!$B$6/100,1),2)</f>
        <v>66.2</v>
      </c>
      <c r="J287" s="8">
        <v>8.9</v>
      </c>
      <c r="K287" s="3" t="inlineStr">
        <is>
          <t xml:space="preserve">TRUE</t>
        </is>
      </c>
      <c r="L287" s="3" t="inlineStr">
        <is>
          <t xml:space="preserve">WELCOME10</t>
        </is>
      </c>
      <c r="M287" s="6">
        <f>ROUND(E287*G287-H287,2)</f>
        <v>80.1</v>
      </c>
      <c r="N287" s="5">
        <f>IF(COUNTIF($A$3:A287,A287)=1,1,0)</f>
        <v>0</v>
      </c>
      <c r="O287" s="6">
        <f>IF(N287=1,ROUND((SUMIFS($M$3:$M$1200,$A$3:$A$1200,A287)+'Settings'!$B$13)*'Settings'!$B$14/100+'Settings'!$B$15,2),0)</f>
        <v>0</v>
      </c>
    </row>
    <row r="288">
      <c r="A288" s="3" t="inlineStr">
        <is>
          <t xml:space="preserve">#1204</t>
        </is>
      </c>
      <c r="B288" s="3" t="inlineStr">
        <is>
          <t xml:space="preserve">2025-12-25</t>
        </is>
      </c>
      <c r="C288" s="3" t="inlineStr">
        <is>
          <t xml:space="preserve">SKU-A</t>
        </is>
      </c>
      <c r="D288" s="3" t="inlineStr">
        <is>
          <t xml:space="preserve">Renewal Serum</t>
        </is>
      </c>
      <c r="E288" s="6">
        <f>IF('Settings'!$B$11="Scenario",IFERROR(INDEX('Catalogue'!$E$3:$E$100,MATCH(C288,'Catalogue'!$B$3:$B$100,0)),F288),F288)</f>
        <v>69.9</v>
      </c>
      <c r="F288" s="8">
        <v>64</v>
      </c>
      <c r="G288" s="3">
        <v>1</v>
      </c>
      <c r="H288" s="6">
        <f>IF('Settings'!$B$11="Scenario",ROUND(E288*G288*IFERROR(SUMIF('Pricing &amp; promotions'!$A$6:$A$8,L288,'Pricing &amp; promotions'!$B$6:$B$8)/100,0),2),J288)</f>
        <v>10.49</v>
      </c>
      <c r="I288" s="6">
        <f>ROUND((E288*G288-H288)/IF(OR(K288=TRUE,K288="TRUE",K288="YES",K288=1),1+'Settings'!$B$6/100,1),2)</f>
        <v>49.1</v>
      </c>
      <c r="J288" s="8">
        <v>9.6</v>
      </c>
      <c r="K288" s="3" t="inlineStr">
        <is>
          <t xml:space="preserve">TRUE</t>
        </is>
      </c>
      <c r="L288" s="3" t="inlineStr">
        <is>
          <t xml:space="preserve">SUMMER15</t>
        </is>
      </c>
      <c r="M288" s="6">
        <f>ROUND(E288*G288-H288,2)</f>
        <v>59.41</v>
      </c>
      <c r="N288" s="5">
        <f>IF(COUNTIF($A$3:A288,A288)=1,1,0)</f>
        <v>1</v>
      </c>
      <c r="O288" s="6">
        <f>IF(N288=1,ROUND((SUMIFS($M$3:$M$1200,$A$3:$A$1200,A288)+'Settings'!$B$13)*'Settings'!$B$14/100+'Settings'!$B$15,2),0)</f>
        <v>1.19</v>
      </c>
    </row>
    <row r="289">
      <c r="A289" s="3" t="inlineStr">
        <is>
          <t xml:space="preserve">#1205</t>
        </is>
      </c>
      <c r="B289" s="3" t="inlineStr">
        <is>
          <t xml:space="preserve">2025-12-26</t>
        </is>
      </c>
      <c r="C289" s="3" t="inlineStr">
        <is>
          <t xml:space="preserve">SKU-G</t>
        </is>
      </c>
      <c r="D289" s="3" t="inlineStr">
        <is>
          <t xml:space="preserve">Daily Reset Set</t>
        </is>
      </c>
      <c r="E289" s="6">
        <f>IF('Settings'!$B$11="Scenario",IFERROR(INDEX('Catalogue'!$E$3:$E$100,MATCH(C289,'Catalogue'!$B$3:$B$100,0)),F289),F289)</f>
        <v>69</v>
      </c>
      <c r="F289" s="8">
        <v>69</v>
      </c>
      <c r="G289" s="3">
        <v>1</v>
      </c>
      <c r="H289" s="6">
        <f>IF('Settings'!$B$11="Scenario",ROUND(E289*G289*IFERROR(SUMIF('Pricing &amp; promotions'!$A$6:$A$8,L289,'Pricing &amp; promotions'!$B$6:$B$8)/100,0),2),J289)</f>
        <v>0.0</v>
      </c>
      <c r="I289" s="6">
        <f>ROUND((E289*G289-H289)/IF(OR(K289=TRUE,K289="TRUE",K289="YES",K289=1),1+'Settings'!$B$6/100,1),2)</f>
        <v>57.02</v>
      </c>
      <c r="J289" s="8">
        <v>0.0</v>
      </c>
      <c r="K289" s="3" t="inlineStr">
        <is>
          <t xml:space="preserve">TRUE</t>
        </is>
      </c>
      <c r="L289" s="3"/>
      <c r="M289" s="6">
        <f>ROUND(E289*G289-H289,2)</f>
        <v>69.0</v>
      </c>
      <c r="N289" s="5">
        <f>IF(COUNTIF($A$3:A289,A289)=1,1,0)</f>
        <v>1</v>
      </c>
      <c r="O289" s="6">
        <f>IF(N289=1,ROUND((SUMIFS($M$3:$M$1200,$A$3:$A$1200,A289)+'Settings'!$B$13)*'Settings'!$B$14/100+'Settings'!$B$15,2),0)</f>
        <v>1.33</v>
      </c>
    </row>
    <row r="290">
      <c r="A290" s="3" t="inlineStr">
        <is>
          <t xml:space="preserve">#1206</t>
        </is>
      </c>
      <c r="B290" s="3" t="inlineStr">
        <is>
          <t xml:space="preserve">2025-12-26</t>
        </is>
      </c>
      <c r="C290" s="3" t="inlineStr">
        <is>
          <t xml:space="preserve">SKU-D</t>
        </is>
      </c>
      <c r="D290" s="3" t="inlineStr">
        <is>
          <t xml:space="preserve">Daily Duo</t>
        </is>
      </c>
      <c r="E290" s="6">
        <f>IF('Settings'!$B$11="Scenario",IFERROR(INDEX('Catalogue'!$E$3:$E$100,MATCH(C290,'Catalogue'!$B$3:$B$100,0)),F290),F290)</f>
        <v>79</v>
      </c>
      <c r="F290" s="8">
        <v>79</v>
      </c>
      <c r="G290" s="3">
        <v>1</v>
      </c>
      <c r="H290" s="6">
        <f>IF('Settings'!$B$11="Scenario",ROUND(E290*G290*IFERROR(SUMIF('Pricing &amp; promotions'!$A$6:$A$8,L290,'Pricing &amp; promotions'!$B$6:$B$8)/100,0),2),J290)</f>
        <v>11.85</v>
      </c>
      <c r="I290" s="6">
        <f>ROUND((E290*G290-H290)/IF(OR(K290=TRUE,K290="TRUE",K290="YES",K290=1),1+'Settings'!$B$6/100,1),2)</f>
        <v>55.5</v>
      </c>
      <c r="J290" s="8">
        <v>11.85</v>
      </c>
      <c r="K290" s="3" t="inlineStr">
        <is>
          <t xml:space="preserve">TRUE</t>
        </is>
      </c>
      <c r="L290" s="3" t="inlineStr">
        <is>
          <t xml:space="preserve">SUMMER15</t>
        </is>
      </c>
      <c r="M290" s="6">
        <f>ROUND(E290*G290-H290,2)</f>
        <v>67.15</v>
      </c>
      <c r="N290" s="5">
        <f>IF(COUNTIF($A$3:A290,A290)=1,1,0)</f>
        <v>1</v>
      </c>
      <c r="O290" s="6">
        <f>IF(N290=1,ROUND((SUMIFS($M$3:$M$1200,$A$3:$A$1200,A290)+'Settings'!$B$13)*'Settings'!$B$14/100+'Settings'!$B$15,2),0)</f>
        <v>1.54</v>
      </c>
    </row>
    <row r="291">
      <c r="A291" s="3" t="inlineStr">
        <is>
          <t xml:space="preserve">#1206</t>
        </is>
      </c>
      <c r="B291" s="3" t="inlineStr">
        <is>
          <t xml:space="preserve">2025-12-26</t>
        </is>
      </c>
      <c r="C291" s="3" t="inlineStr">
        <is>
          <t xml:space="preserve">SKU-B</t>
        </is>
      </c>
      <c r="D291" s="3" t="inlineStr">
        <is>
          <t xml:space="preserve">Barrier Balm</t>
        </is>
      </c>
      <c r="E291" s="6">
        <f>IF('Settings'!$B$11="Scenario",IFERROR(INDEX('Catalogue'!$E$3:$E$100,MATCH(C291,'Catalogue'!$B$3:$B$100,0)),F291),F291)</f>
        <v>19</v>
      </c>
      <c r="F291" s="8">
        <v>18</v>
      </c>
      <c r="G291" s="3">
        <v>1</v>
      </c>
      <c r="H291" s="6">
        <f>IF('Settings'!$B$11="Scenario",ROUND(E291*G291*IFERROR(SUMIF('Pricing &amp; promotions'!$A$6:$A$8,L291,'Pricing &amp; promotions'!$B$6:$B$8)/100,0),2),J291)</f>
        <v>2.85</v>
      </c>
      <c r="I291" s="6">
        <f>ROUND((E291*G291-H291)/IF(OR(K291=TRUE,K291="TRUE",K291="YES",K291=1),1+'Settings'!$B$6/100,1),2)</f>
        <v>13.35</v>
      </c>
      <c r="J291" s="8">
        <v>2.7</v>
      </c>
      <c r="K291" s="3" t="inlineStr">
        <is>
          <t xml:space="preserve">TRUE</t>
        </is>
      </c>
      <c r="L291" s="3" t="inlineStr">
        <is>
          <t xml:space="preserve">SUMMER15</t>
        </is>
      </c>
      <c r="M291" s="6">
        <f>ROUND(E291*G291-H291,2)</f>
        <v>16.15</v>
      </c>
      <c r="N291" s="5">
        <f>IF(COUNTIF($A$3:A291,A291)=1,1,0)</f>
        <v>0</v>
      </c>
      <c r="O291" s="6">
        <f>IF(N291=1,ROUND((SUMIFS($M$3:$M$1200,$A$3:$A$1200,A291)+'Settings'!$B$13)*'Settings'!$B$14/100+'Settings'!$B$15,2),0)</f>
        <v>0</v>
      </c>
    </row>
    <row r="292">
      <c r="A292" s="3" t="inlineStr">
        <is>
          <t xml:space="preserve">#1207</t>
        </is>
      </c>
      <c r="B292" s="3" t="inlineStr">
        <is>
          <t xml:space="preserve">2025-12-26</t>
        </is>
      </c>
      <c r="C292" s="3" t="inlineStr">
        <is>
          <t xml:space="preserve">SKU-E</t>
        </is>
      </c>
      <c r="D292" s="3" t="inlineStr">
        <is>
          <t xml:space="preserve">Complete Ritual</t>
        </is>
      </c>
      <c r="E292" s="6">
        <f>IF('Settings'!$B$11="Scenario",IFERROR(INDEX('Catalogue'!$E$3:$E$100,MATCH(C292,'Catalogue'!$B$3:$B$100,0)),F292),F292)</f>
        <v>89</v>
      </c>
      <c r="F292" s="8">
        <v>89</v>
      </c>
      <c r="G292" s="3">
        <v>1</v>
      </c>
      <c r="H292" s="6">
        <f>IF('Settings'!$B$11="Scenario",ROUND(E292*G292*IFERROR(SUMIF('Pricing &amp; promotions'!$A$6:$A$8,L292,'Pricing &amp; promotions'!$B$6:$B$8)/100,0),2),J292)</f>
        <v>8.9</v>
      </c>
      <c r="I292" s="6">
        <f>ROUND((E292*G292-H292)/IF(OR(K292=TRUE,K292="TRUE",K292="YES",K292=1),1+'Settings'!$B$6/100,1),2)</f>
        <v>66.2</v>
      </c>
      <c r="J292" s="8">
        <v>8.9</v>
      </c>
      <c r="K292" s="3" t="inlineStr">
        <is>
          <t xml:space="preserve">TRUE</t>
        </is>
      </c>
      <c r="L292" s="3" t="inlineStr">
        <is>
          <t xml:space="preserve">WELCOME10</t>
        </is>
      </c>
      <c r="M292" s="6">
        <f>ROUND(E292*G292-H292,2)</f>
        <v>80.1</v>
      </c>
      <c r="N292" s="5">
        <f>IF(COUNTIF($A$3:A292,A292)=1,1,0)</f>
        <v>1</v>
      </c>
      <c r="O292" s="6">
        <f>IF(N292=1,ROUND((SUMIFS($M$3:$M$1200,$A$3:$A$1200,A292)+'Settings'!$B$13)*'Settings'!$B$14/100+'Settings'!$B$15,2),0)</f>
        <v>1.5</v>
      </c>
    </row>
    <row r="293">
      <c r="A293" s="3" t="inlineStr">
        <is>
          <t xml:space="preserve">#1208</t>
        </is>
      </c>
      <c r="B293" s="3" t="inlineStr">
        <is>
          <t xml:space="preserve">2025-12-26</t>
        </is>
      </c>
      <c r="C293" s="3" t="inlineStr">
        <is>
          <t xml:space="preserve">SKU-A</t>
        </is>
      </c>
      <c r="D293" s="3" t="inlineStr">
        <is>
          <t xml:space="preserve">Renewal Serum</t>
        </is>
      </c>
      <c r="E293" s="6">
        <f>IF('Settings'!$B$11="Scenario",IFERROR(INDEX('Catalogue'!$E$3:$E$100,MATCH(C293,'Catalogue'!$B$3:$B$100,0)),F293),F293)</f>
        <v>69.9</v>
      </c>
      <c r="F293" s="8">
        <v>64</v>
      </c>
      <c r="G293" s="3">
        <v>2</v>
      </c>
      <c r="H293" s="6">
        <f>IF('Settings'!$B$11="Scenario",ROUND(E293*G293*IFERROR(SUMIF('Pricing &amp; promotions'!$A$6:$A$8,L293,'Pricing &amp; promotions'!$B$6:$B$8)/100,0),2),J293)</f>
        <v>0.0</v>
      </c>
      <c r="I293" s="6">
        <f>ROUND((E293*G293-H293)/IF(OR(K293=TRUE,K293="TRUE",K293="YES",K293=1),1+'Settings'!$B$6/100,1),2)</f>
        <v>115.54</v>
      </c>
      <c r="J293" s="8">
        <v>0.0</v>
      </c>
      <c r="K293" s="3" t="inlineStr">
        <is>
          <t xml:space="preserve">TRUE</t>
        </is>
      </c>
      <c r="L293" s="3"/>
      <c r="M293" s="6">
        <f>ROUND(E293*G293-H293,2)</f>
        <v>139.8</v>
      </c>
      <c r="N293" s="5">
        <f>IF(COUNTIF($A$3:A293,A293)=1,1,0)</f>
        <v>1</v>
      </c>
      <c r="O293" s="6">
        <f>IF(N293=1,ROUND((SUMIFS($M$3:$M$1200,$A$3:$A$1200,A293)+'Settings'!$B$13)*'Settings'!$B$14/100+'Settings'!$B$15,2),0)</f>
        <v>2.39</v>
      </c>
    </row>
    <row r="294">
      <c r="A294" s="3" t="inlineStr">
        <is>
          <t xml:space="preserve">#1209</t>
        </is>
      </c>
      <c r="B294" s="3" t="inlineStr">
        <is>
          <t xml:space="preserve">2025-12-26</t>
        </is>
      </c>
      <c r="C294" s="3" t="inlineStr">
        <is>
          <t xml:space="preserve">SKU-B</t>
        </is>
      </c>
      <c r="D294" s="3" t="inlineStr">
        <is>
          <t xml:space="preserve">Barrier Balm</t>
        </is>
      </c>
      <c r="E294" s="6">
        <f>IF('Settings'!$B$11="Scenario",IFERROR(INDEX('Catalogue'!$E$3:$E$100,MATCH(C294,'Catalogue'!$B$3:$B$100,0)),F294),F294)</f>
        <v>19</v>
      </c>
      <c r="F294" s="8">
        <v>18</v>
      </c>
      <c r="G294" s="3">
        <v>1</v>
      </c>
      <c r="H294" s="6">
        <f>IF('Settings'!$B$11="Scenario",ROUND(E294*G294*IFERROR(SUMIF('Pricing &amp; promotions'!$A$6:$A$8,L294,'Pricing &amp; promotions'!$B$6:$B$8)/100,0),2),J294)</f>
        <v>1.9</v>
      </c>
      <c r="I294" s="6">
        <f>ROUND((E294*G294-H294)/IF(OR(K294=TRUE,K294="TRUE",K294="YES",K294=1),1+'Settings'!$B$6/100,1),2)</f>
        <v>14.13</v>
      </c>
      <c r="J294" s="8">
        <v>1.8</v>
      </c>
      <c r="K294" s="3" t="inlineStr">
        <is>
          <t xml:space="preserve">TRUE</t>
        </is>
      </c>
      <c r="L294" s="3" t="inlineStr">
        <is>
          <t xml:space="preserve">WELCOME10</t>
        </is>
      </c>
      <c r="M294" s="6">
        <f>ROUND(E294*G294-H294,2)</f>
        <v>17.1</v>
      </c>
      <c r="N294" s="5">
        <f>IF(COUNTIF($A$3:A294,A294)=1,1,0)</f>
        <v>1</v>
      </c>
      <c r="O294" s="6">
        <f>IF(N294=1,ROUND((SUMIFS($M$3:$M$1200,$A$3:$A$1200,A294)+'Settings'!$B$13)*'Settings'!$B$14/100+'Settings'!$B$15,2),0)</f>
        <v>0.55</v>
      </c>
    </row>
    <row r="295">
      <c r="A295" s="3" t="inlineStr">
        <is>
          <t xml:space="preserve">#1210</t>
        </is>
      </c>
      <c r="B295" s="3" t="inlineStr">
        <is>
          <t xml:space="preserve">2025-12-26</t>
        </is>
      </c>
      <c r="C295" s="3" t="inlineStr">
        <is>
          <t xml:space="preserve">SKU-A</t>
        </is>
      </c>
      <c r="D295" s="3" t="inlineStr">
        <is>
          <t xml:space="preserve">Renewal Serum</t>
        </is>
      </c>
      <c r="E295" s="6">
        <f>IF('Settings'!$B$11="Scenario",IFERROR(INDEX('Catalogue'!$E$3:$E$100,MATCH(C295,'Catalogue'!$B$3:$B$100,0)),F295),F295)</f>
        <v>69.9</v>
      </c>
      <c r="F295" s="8">
        <v>64</v>
      </c>
      <c r="G295" s="3">
        <v>1</v>
      </c>
      <c r="H295" s="6">
        <f>IF('Settings'!$B$11="Scenario",ROUND(E295*G295*IFERROR(SUMIF('Pricing &amp; promotions'!$A$6:$A$8,L295,'Pricing &amp; promotions'!$B$6:$B$8)/100,0),2),J295)</f>
        <v>0.0</v>
      </c>
      <c r="I295" s="6">
        <f>ROUND((E295*G295-H295)/IF(OR(K295=TRUE,K295="TRUE",K295="YES",K295=1),1+'Settings'!$B$6/100,1),2)</f>
        <v>57.77</v>
      </c>
      <c r="J295" s="8">
        <v>0.0</v>
      </c>
      <c r="K295" s="3" t="inlineStr">
        <is>
          <t xml:space="preserve">TRUE</t>
        </is>
      </c>
      <c r="L295" s="3"/>
      <c r="M295" s="6">
        <f>ROUND(E295*G295-H295,2)</f>
        <v>69.9</v>
      </c>
      <c r="N295" s="5">
        <f>IF(COUNTIF($A$3:A295,A295)=1,1,0)</f>
        <v>1</v>
      </c>
      <c r="O295" s="6">
        <f>IF(N295=1,ROUND((SUMIFS($M$3:$M$1200,$A$3:$A$1200,A295)+'Settings'!$B$13)*'Settings'!$B$14/100+'Settings'!$B$15,2),0)</f>
        <v>2.53</v>
      </c>
    </row>
    <row r="296">
      <c r="A296" s="3" t="inlineStr">
        <is>
          <t xml:space="preserve">#1210</t>
        </is>
      </c>
      <c r="B296" s="3" t="inlineStr">
        <is>
          <t xml:space="preserve">2025-12-26</t>
        </is>
      </c>
      <c r="C296" s="3" t="inlineStr">
        <is>
          <t xml:space="preserve">SKU-D</t>
        </is>
      </c>
      <c r="D296" s="3" t="inlineStr">
        <is>
          <t xml:space="preserve">Daily Duo</t>
        </is>
      </c>
      <c r="E296" s="6">
        <f>IF('Settings'!$B$11="Scenario",IFERROR(INDEX('Catalogue'!$E$3:$E$100,MATCH(C296,'Catalogue'!$B$3:$B$100,0)),F296),F296)</f>
        <v>79</v>
      </c>
      <c r="F296" s="8">
        <v>79</v>
      </c>
      <c r="G296" s="3">
        <v>1</v>
      </c>
      <c r="H296" s="6">
        <f>IF('Settings'!$B$11="Scenario",ROUND(E296*G296*IFERROR(SUMIF('Pricing &amp; promotions'!$A$6:$A$8,L296,'Pricing &amp; promotions'!$B$6:$B$8)/100,0),2),J296)</f>
        <v>0.0</v>
      </c>
      <c r="I296" s="6">
        <f>ROUND((E296*G296-H296)/IF(OR(K296=TRUE,K296="TRUE",K296="YES",K296=1),1+'Settings'!$B$6/100,1),2)</f>
        <v>65.29</v>
      </c>
      <c r="J296" s="8">
        <v>0.0</v>
      </c>
      <c r="K296" s="3" t="inlineStr">
        <is>
          <t xml:space="preserve">TRUE</t>
        </is>
      </c>
      <c r="L296" s="3"/>
      <c r="M296" s="6">
        <f>ROUND(E296*G296-H296,2)</f>
        <v>79.0</v>
      </c>
      <c r="N296" s="5">
        <f>IF(COUNTIF($A$3:A296,A296)=1,1,0)</f>
        <v>0</v>
      </c>
      <c r="O296" s="6">
        <f>IF(N296=1,ROUND((SUMIFS($M$3:$M$1200,$A$3:$A$1200,A296)+'Settings'!$B$13)*'Settings'!$B$14/100+'Settings'!$B$15,2),0)</f>
        <v>0</v>
      </c>
    </row>
    <row r="297">
      <c r="A297" s="3" t="inlineStr">
        <is>
          <t xml:space="preserve">#1211</t>
        </is>
      </c>
      <c r="B297" s="3" t="inlineStr">
        <is>
          <t xml:space="preserve">2025-12-27</t>
        </is>
      </c>
      <c r="C297" s="3" t="inlineStr">
        <is>
          <t xml:space="preserve">SKU-G</t>
        </is>
      </c>
      <c r="D297" s="3" t="inlineStr">
        <is>
          <t xml:space="preserve">Daily Reset Set</t>
        </is>
      </c>
      <c r="E297" s="6">
        <f>IF('Settings'!$B$11="Scenario",IFERROR(INDEX('Catalogue'!$E$3:$E$100,MATCH(C297,'Catalogue'!$B$3:$B$100,0)),F297),F297)</f>
        <v>69</v>
      </c>
      <c r="F297" s="8">
        <v>69</v>
      </c>
      <c r="G297" s="3">
        <v>1</v>
      </c>
      <c r="H297" s="6">
        <f>IF('Settings'!$B$11="Scenario",ROUND(E297*G297*IFERROR(SUMIF('Pricing &amp; promotions'!$A$6:$A$8,L297,'Pricing &amp; promotions'!$B$6:$B$8)/100,0),2),J297)</f>
        <v>6.9</v>
      </c>
      <c r="I297" s="6">
        <f>ROUND((E297*G297-H297)/IF(OR(K297=TRUE,K297="TRUE",K297="YES",K297=1),1+'Settings'!$B$6/100,1),2)</f>
        <v>51.32</v>
      </c>
      <c r="J297" s="8">
        <v>6.9</v>
      </c>
      <c r="K297" s="3" t="inlineStr">
        <is>
          <t xml:space="preserve">TRUE</t>
        </is>
      </c>
      <c r="L297" s="3" t="inlineStr">
        <is>
          <t xml:space="preserve">WELCOME10</t>
        </is>
      </c>
      <c r="M297" s="6">
        <f>ROUND(E297*G297-H297,2)</f>
        <v>62.1</v>
      </c>
      <c r="N297" s="5">
        <f>IF(COUNTIF($A$3:A297,A297)=1,1,0)</f>
        <v>1</v>
      </c>
      <c r="O297" s="6">
        <f>IF(N297=1,ROUND((SUMIFS($M$3:$M$1200,$A$3:$A$1200,A297)+'Settings'!$B$13)*'Settings'!$B$14/100+'Settings'!$B$15,2),0)</f>
        <v>1.62</v>
      </c>
    </row>
    <row r="298">
      <c r="A298" s="3" t="inlineStr">
        <is>
          <t xml:space="preserve">#1211</t>
        </is>
      </c>
      <c r="B298" s="3" t="inlineStr">
        <is>
          <t xml:space="preserve">2025-12-27</t>
        </is>
      </c>
      <c r="C298" s="3" t="inlineStr">
        <is>
          <t xml:space="preserve">SKU-C</t>
        </is>
      </c>
      <c r="D298" s="3" t="inlineStr">
        <is>
          <t xml:space="preserve">Contour Stone</t>
        </is>
      </c>
      <c r="E298" s="6">
        <f>IF('Settings'!$B$11="Scenario",IFERROR(INDEX('Catalogue'!$E$3:$E$100,MATCH(C298,'Catalogue'!$B$3:$B$100,0)),F298),F298)</f>
        <v>29</v>
      </c>
      <c r="F298" s="8">
        <v>29</v>
      </c>
      <c r="G298" s="3">
        <v>1</v>
      </c>
      <c r="H298" s="6">
        <f>IF('Settings'!$B$11="Scenario",ROUND(E298*G298*IFERROR(SUMIF('Pricing &amp; promotions'!$A$6:$A$8,L298,'Pricing &amp; promotions'!$B$6:$B$8)/100,0),2),J298)</f>
        <v>2.9</v>
      </c>
      <c r="I298" s="6">
        <f>ROUND((E298*G298-H298)/IF(OR(K298=TRUE,K298="TRUE",K298="YES",K298=1),1+'Settings'!$B$6/100,1),2)</f>
        <v>21.57</v>
      </c>
      <c r="J298" s="8">
        <v>2.9</v>
      </c>
      <c r="K298" s="3" t="inlineStr">
        <is>
          <t xml:space="preserve">TRUE</t>
        </is>
      </c>
      <c r="L298" s="3" t="inlineStr">
        <is>
          <t xml:space="preserve">WELCOME10</t>
        </is>
      </c>
      <c r="M298" s="6">
        <f>ROUND(E298*G298-H298,2)</f>
        <v>26.1</v>
      </c>
      <c r="N298" s="5">
        <f>IF(COUNTIF($A$3:A298,A298)=1,1,0)</f>
        <v>0</v>
      </c>
      <c r="O298" s="6">
        <f>IF(N298=1,ROUND((SUMIFS($M$3:$M$1200,$A$3:$A$1200,A298)+'Settings'!$B$13)*'Settings'!$B$14/100+'Settings'!$B$15,2),0)</f>
        <v>0</v>
      </c>
    </row>
    <row r="299">
      <c r="A299" s="3" t="inlineStr">
        <is>
          <t xml:space="preserve">#1212</t>
        </is>
      </c>
      <c r="B299" s="3" t="inlineStr">
        <is>
          <t xml:space="preserve">2025-12-27</t>
        </is>
      </c>
      <c r="C299" s="3" t="inlineStr">
        <is>
          <t xml:space="preserve">SKU-G</t>
        </is>
      </c>
      <c r="D299" s="3" t="inlineStr">
        <is>
          <t xml:space="preserve">Daily Reset Set</t>
        </is>
      </c>
      <c r="E299" s="6">
        <f>IF('Settings'!$B$11="Scenario",IFERROR(INDEX('Catalogue'!$E$3:$E$100,MATCH(C299,'Catalogue'!$B$3:$B$100,0)),F299),F299)</f>
        <v>69</v>
      </c>
      <c r="F299" s="8">
        <v>69</v>
      </c>
      <c r="G299" s="3">
        <v>1</v>
      </c>
      <c r="H299" s="6">
        <f>IF('Settings'!$B$11="Scenario",ROUND(E299*G299*IFERROR(SUMIF('Pricing &amp; promotions'!$A$6:$A$8,L299,'Pricing &amp; promotions'!$B$6:$B$8)/100,0),2),J299)</f>
        <v>6.9</v>
      </c>
      <c r="I299" s="6">
        <f>ROUND((E299*G299-H299)/IF(OR(K299=TRUE,K299="TRUE",K299="YES",K299=1),1+'Settings'!$B$6/100,1),2)</f>
        <v>51.32</v>
      </c>
      <c r="J299" s="8">
        <v>6.9</v>
      </c>
      <c r="K299" s="3" t="inlineStr">
        <is>
          <t xml:space="preserve">TRUE</t>
        </is>
      </c>
      <c r="L299" s="3" t="inlineStr">
        <is>
          <t xml:space="preserve">WELCOME10</t>
        </is>
      </c>
      <c r="M299" s="6">
        <f>ROUND(E299*G299-H299,2)</f>
        <v>62.1</v>
      </c>
      <c r="N299" s="5">
        <f>IF(COUNTIF($A$3:A299,A299)=1,1,0)</f>
        <v>1</v>
      </c>
      <c r="O299" s="6">
        <f>IF(N299=1,ROUND((SUMIFS($M$3:$M$1200,$A$3:$A$1200,A299)+'Settings'!$B$13)*'Settings'!$B$14/100+'Settings'!$B$15,2),0)</f>
        <v>2.29</v>
      </c>
    </row>
    <row r="300">
      <c r="A300" s="3" t="inlineStr">
        <is>
          <t xml:space="preserve">#1212</t>
        </is>
      </c>
      <c r="B300" s="3" t="inlineStr">
        <is>
          <t xml:space="preserve">2025-12-27</t>
        </is>
      </c>
      <c r="C300" s="3" t="inlineStr">
        <is>
          <t xml:space="preserve">SKU-D</t>
        </is>
      </c>
      <c r="D300" s="3" t="inlineStr">
        <is>
          <t xml:space="preserve">Daily Duo</t>
        </is>
      </c>
      <c r="E300" s="6">
        <f>IF('Settings'!$B$11="Scenario",IFERROR(INDEX('Catalogue'!$E$3:$E$100,MATCH(C300,'Catalogue'!$B$3:$B$100,0)),F300),F300)</f>
        <v>79</v>
      </c>
      <c r="F300" s="8">
        <v>79</v>
      </c>
      <c r="G300" s="3">
        <v>1</v>
      </c>
      <c r="H300" s="6">
        <f>IF('Settings'!$B$11="Scenario",ROUND(E300*G300*IFERROR(SUMIF('Pricing &amp; promotions'!$A$6:$A$8,L300,'Pricing &amp; promotions'!$B$6:$B$8)/100,0),2),J300)</f>
        <v>7.9</v>
      </c>
      <c r="I300" s="6">
        <f>ROUND((E300*G300-H300)/IF(OR(K300=TRUE,K300="TRUE",K300="YES",K300=1),1+'Settings'!$B$6/100,1),2)</f>
        <v>58.76</v>
      </c>
      <c r="J300" s="8">
        <v>7.9</v>
      </c>
      <c r="K300" s="3" t="inlineStr">
        <is>
          <t xml:space="preserve">TRUE</t>
        </is>
      </c>
      <c r="L300" s="3" t="inlineStr">
        <is>
          <t xml:space="preserve">WELCOME10</t>
        </is>
      </c>
      <c r="M300" s="6">
        <f>ROUND(E300*G300-H300,2)</f>
        <v>71.1</v>
      </c>
      <c r="N300" s="5">
        <f>IF(COUNTIF($A$3:A300,A300)=1,1,0)</f>
        <v>0</v>
      </c>
      <c r="O300" s="6">
        <f>IF(N300=1,ROUND((SUMIFS($M$3:$M$1200,$A$3:$A$1200,A300)+'Settings'!$B$13)*'Settings'!$B$14/100+'Settings'!$B$15,2),0)</f>
        <v>0</v>
      </c>
    </row>
    <row r="301">
      <c r="A301" s="3" t="inlineStr">
        <is>
          <t xml:space="preserve">#1213</t>
        </is>
      </c>
      <c r="B301" s="3" t="inlineStr">
        <is>
          <t xml:space="preserve">2025-12-28</t>
        </is>
      </c>
      <c r="C301" s="3" t="inlineStr">
        <is>
          <t xml:space="preserve">SKU-E</t>
        </is>
      </c>
      <c r="D301" s="3" t="inlineStr">
        <is>
          <t xml:space="preserve">Complete Ritual</t>
        </is>
      </c>
      <c r="E301" s="6">
        <f>IF('Settings'!$B$11="Scenario",IFERROR(INDEX('Catalogue'!$E$3:$E$100,MATCH(C301,'Catalogue'!$B$3:$B$100,0)),F301),F301)</f>
        <v>89</v>
      </c>
      <c r="F301" s="8">
        <v>89</v>
      </c>
      <c r="G301" s="3">
        <v>1</v>
      </c>
      <c r="H301" s="6">
        <f>IF('Settings'!$B$11="Scenario",ROUND(E301*G301*IFERROR(SUMIF('Pricing &amp; promotions'!$A$6:$A$8,L301,'Pricing &amp; promotions'!$B$6:$B$8)/100,0),2),J301)</f>
        <v>8.9</v>
      </c>
      <c r="I301" s="6">
        <f>ROUND((E301*G301-H301)/IF(OR(K301=TRUE,K301="TRUE",K301="YES",K301=1),1+'Settings'!$B$6/100,1),2)</f>
        <v>66.2</v>
      </c>
      <c r="J301" s="8">
        <v>8.9</v>
      </c>
      <c r="K301" s="3" t="inlineStr">
        <is>
          <t xml:space="preserve">TRUE</t>
        </is>
      </c>
      <c r="L301" s="3" t="inlineStr">
        <is>
          <t xml:space="preserve">WELCOME10</t>
        </is>
      </c>
      <c r="M301" s="6">
        <f>ROUND(E301*G301-H301,2)</f>
        <v>80.1</v>
      </c>
      <c r="N301" s="5">
        <f>IF(COUNTIF($A$3:A301,A301)=1,1,0)</f>
        <v>1</v>
      </c>
      <c r="O301" s="6">
        <f>IF(N301=1,ROUND((SUMIFS($M$3:$M$1200,$A$3:$A$1200,A301)+'Settings'!$B$13)*'Settings'!$B$14/100+'Settings'!$B$15,2),0)</f>
        <v>1.5</v>
      </c>
    </row>
    <row r="302">
      <c r="A302" s="3" t="inlineStr">
        <is>
          <t xml:space="preserve">#1214</t>
        </is>
      </c>
      <c r="B302" s="3" t="inlineStr">
        <is>
          <t xml:space="preserve">2025-12-28</t>
        </is>
      </c>
      <c r="C302" s="3" t="inlineStr">
        <is>
          <t xml:space="preserve">SKU-A</t>
        </is>
      </c>
      <c r="D302" s="3" t="inlineStr">
        <is>
          <t xml:space="preserve">Renewal Serum</t>
        </is>
      </c>
      <c r="E302" s="6">
        <f>IF('Settings'!$B$11="Scenario",IFERROR(INDEX('Catalogue'!$E$3:$E$100,MATCH(C302,'Catalogue'!$B$3:$B$100,0)),F302),F302)</f>
        <v>69.9</v>
      </c>
      <c r="F302" s="8">
        <v>64</v>
      </c>
      <c r="G302" s="3">
        <v>1</v>
      </c>
      <c r="H302" s="6">
        <f>IF('Settings'!$B$11="Scenario",ROUND(E302*G302*IFERROR(SUMIF('Pricing &amp; promotions'!$A$6:$A$8,L302,'Pricing &amp; promotions'!$B$6:$B$8)/100,0),2),J302)</f>
        <v>0.0</v>
      </c>
      <c r="I302" s="6">
        <f>ROUND((E302*G302-H302)/IF(OR(K302=TRUE,K302="TRUE",K302="YES",K302=1),1+'Settings'!$B$6/100,1),2)</f>
        <v>57.77</v>
      </c>
      <c r="J302" s="8">
        <v>0.0</v>
      </c>
      <c r="K302" s="3" t="inlineStr">
        <is>
          <t xml:space="preserve">TRUE</t>
        </is>
      </c>
      <c r="L302" s="3"/>
      <c r="M302" s="6">
        <f>ROUND(E302*G302-H302,2)</f>
        <v>69.9</v>
      </c>
      <c r="N302" s="5">
        <f>IF(COUNTIF($A$3:A302,A302)=1,1,0)</f>
        <v>1</v>
      </c>
      <c r="O302" s="6">
        <f>IF(N302=1,ROUND((SUMIFS($M$3:$M$1200,$A$3:$A$1200,A302)+'Settings'!$B$13)*'Settings'!$B$14/100+'Settings'!$B$15,2),0)</f>
        <v>1.34</v>
      </c>
    </row>
    <row r="303">
      <c r="A303" s="3" t="inlineStr">
        <is>
          <t xml:space="preserve">#1215</t>
        </is>
      </c>
      <c r="B303" s="3" t="inlineStr">
        <is>
          <t xml:space="preserve">2025-12-28</t>
        </is>
      </c>
      <c r="C303" s="3" t="inlineStr">
        <is>
          <t xml:space="preserve">SKU-A</t>
        </is>
      </c>
      <c r="D303" s="3" t="inlineStr">
        <is>
          <t xml:space="preserve">Renewal Serum</t>
        </is>
      </c>
      <c r="E303" s="6">
        <f>IF('Settings'!$B$11="Scenario",IFERROR(INDEX('Catalogue'!$E$3:$E$100,MATCH(C303,'Catalogue'!$B$3:$B$100,0)),F303),F303)</f>
        <v>69.9</v>
      </c>
      <c r="F303" s="8">
        <v>64</v>
      </c>
      <c r="G303" s="3">
        <v>2</v>
      </c>
      <c r="H303" s="6">
        <f>IF('Settings'!$B$11="Scenario",ROUND(E303*G303*IFERROR(SUMIF('Pricing &amp; promotions'!$A$6:$A$8,L303,'Pricing &amp; promotions'!$B$6:$B$8)/100,0),2),J303)</f>
        <v>13.98</v>
      </c>
      <c r="I303" s="6">
        <f>ROUND((E303*G303-H303)/IF(OR(K303=TRUE,K303="TRUE",K303="YES",K303=1),1+'Settings'!$B$6/100,1),2)</f>
        <v>103.98</v>
      </c>
      <c r="J303" s="8">
        <v>12.8</v>
      </c>
      <c r="K303" s="3" t="inlineStr">
        <is>
          <t xml:space="preserve">TRUE</t>
        </is>
      </c>
      <c r="L303" s="3" t="inlineStr">
        <is>
          <t xml:space="preserve">WELCOME10</t>
        </is>
      </c>
      <c r="M303" s="6">
        <f>ROUND(E303*G303-H303,2)</f>
        <v>125.82</v>
      </c>
      <c r="N303" s="5">
        <f>IF(COUNTIF($A$3:A303,A303)=1,1,0)</f>
        <v>1</v>
      </c>
      <c r="O303" s="6">
        <f>IF(N303=1,ROUND((SUMIFS($M$3:$M$1200,$A$3:$A$1200,A303)+'Settings'!$B$13)*'Settings'!$B$14/100+'Settings'!$B$15,2),0)</f>
        <v>3.11</v>
      </c>
    </row>
    <row r="304">
      <c r="A304" s="3" t="inlineStr">
        <is>
          <t xml:space="preserve">#1215</t>
        </is>
      </c>
      <c r="B304" s="3" t="inlineStr">
        <is>
          <t xml:space="preserve">2025-12-28</t>
        </is>
      </c>
      <c r="C304" s="3" t="inlineStr">
        <is>
          <t xml:space="preserve">SKU-G</t>
        </is>
      </c>
      <c r="D304" s="3" t="inlineStr">
        <is>
          <t xml:space="preserve">Daily Reset Set</t>
        </is>
      </c>
      <c r="E304" s="6">
        <f>IF('Settings'!$B$11="Scenario",IFERROR(INDEX('Catalogue'!$E$3:$E$100,MATCH(C304,'Catalogue'!$B$3:$B$100,0)),F304),F304)</f>
        <v>69</v>
      </c>
      <c r="F304" s="8">
        <v>69</v>
      </c>
      <c r="G304" s="3">
        <v>1</v>
      </c>
      <c r="H304" s="6">
        <f>IF('Settings'!$B$11="Scenario",ROUND(E304*G304*IFERROR(SUMIF('Pricing &amp; promotions'!$A$6:$A$8,L304,'Pricing &amp; promotions'!$B$6:$B$8)/100,0),2),J304)</f>
        <v>6.9</v>
      </c>
      <c r="I304" s="6">
        <f>ROUND((E304*G304-H304)/IF(OR(K304=TRUE,K304="TRUE",K304="YES",K304=1),1+'Settings'!$B$6/100,1),2)</f>
        <v>51.32</v>
      </c>
      <c r="J304" s="8">
        <v>6.9</v>
      </c>
      <c r="K304" s="3" t="inlineStr">
        <is>
          <t xml:space="preserve">TRUE</t>
        </is>
      </c>
      <c r="L304" s="3" t="inlineStr">
        <is>
          <t xml:space="preserve">WELCOME10</t>
        </is>
      </c>
      <c r="M304" s="6">
        <f>ROUND(E304*G304-H304,2)</f>
        <v>62.1</v>
      </c>
      <c r="N304" s="5">
        <f>IF(COUNTIF($A$3:A304,A304)=1,1,0)</f>
        <v>0</v>
      </c>
      <c r="O304" s="6">
        <f>IF(N304=1,ROUND((SUMIFS($M$3:$M$1200,$A$3:$A$1200,A304)+'Settings'!$B$13)*'Settings'!$B$14/100+'Settings'!$B$15,2),0)</f>
        <v>0</v>
      </c>
    </row>
    <row r="305">
      <c r="A305" s="3" t="inlineStr">
        <is>
          <t xml:space="preserve">#1216</t>
        </is>
      </c>
      <c r="B305" s="3" t="inlineStr">
        <is>
          <t xml:space="preserve">2025-12-29</t>
        </is>
      </c>
      <c r="C305" s="3" t="inlineStr">
        <is>
          <t xml:space="preserve">SKU-A</t>
        </is>
      </c>
      <c r="D305" s="3" t="inlineStr">
        <is>
          <t xml:space="preserve">Renewal Serum</t>
        </is>
      </c>
      <c r="E305" s="6">
        <f>IF('Settings'!$B$11="Scenario",IFERROR(INDEX('Catalogue'!$E$3:$E$100,MATCH(C305,'Catalogue'!$B$3:$B$100,0)),F305),F305)</f>
        <v>69.9</v>
      </c>
      <c r="F305" s="8">
        <v>64</v>
      </c>
      <c r="G305" s="3">
        <v>1</v>
      </c>
      <c r="H305" s="6">
        <f>IF('Settings'!$B$11="Scenario",ROUND(E305*G305*IFERROR(SUMIF('Pricing &amp; promotions'!$A$6:$A$8,L305,'Pricing &amp; promotions'!$B$6:$B$8)/100,0),2),J305)</f>
        <v>10.49</v>
      </c>
      <c r="I305" s="6">
        <f>ROUND((E305*G305-H305)/IF(OR(K305=TRUE,K305="TRUE",K305="YES",K305=1),1+'Settings'!$B$6/100,1),2)</f>
        <v>49.1</v>
      </c>
      <c r="J305" s="8">
        <v>9.6</v>
      </c>
      <c r="K305" s="3" t="inlineStr">
        <is>
          <t xml:space="preserve">TRUE</t>
        </is>
      </c>
      <c r="L305" s="3" t="inlineStr">
        <is>
          <t xml:space="preserve">SUMMER15</t>
        </is>
      </c>
      <c r="M305" s="6">
        <f>ROUND(E305*G305-H305,2)</f>
        <v>59.41</v>
      </c>
      <c r="N305" s="5">
        <f>IF(COUNTIF($A$3:A305,A305)=1,1,0)</f>
        <v>1</v>
      </c>
      <c r="O305" s="6">
        <f>IF(N305=1,ROUND((SUMIFS($M$3:$M$1200,$A$3:$A$1200,A305)+'Settings'!$B$13)*'Settings'!$B$14/100+'Settings'!$B$15,2),0)</f>
        <v>1.19</v>
      </c>
    </row>
    <row r="306">
      <c r="A306" s="3" t="inlineStr">
        <is>
          <t xml:space="preserve">#1217</t>
        </is>
      </c>
      <c r="B306" s="3" t="inlineStr">
        <is>
          <t xml:space="preserve">2025-12-29</t>
        </is>
      </c>
      <c r="C306" s="3" t="inlineStr">
        <is>
          <t xml:space="preserve">SKU-A</t>
        </is>
      </c>
      <c r="D306" s="3" t="inlineStr">
        <is>
          <t xml:space="preserve">Renewal Serum</t>
        </is>
      </c>
      <c r="E306" s="6">
        <f>IF('Settings'!$B$11="Scenario",IFERROR(INDEX('Catalogue'!$E$3:$E$100,MATCH(C306,'Catalogue'!$B$3:$B$100,0)),F306),F306)</f>
        <v>69.9</v>
      </c>
      <c r="F306" s="8">
        <v>64</v>
      </c>
      <c r="G306" s="3">
        <v>1</v>
      </c>
      <c r="H306" s="6">
        <f>IF('Settings'!$B$11="Scenario",ROUND(E306*G306*IFERROR(SUMIF('Pricing &amp; promotions'!$A$6:$A$8,L306,'Pricing &amp; promotions'!$B$6:$B$8)/100,0),2),J306)</f>
        <v>10.49</v>
      </c>
      <c r="I306" s="6">
        <f>ROUND((E306*G306-H306)/IF(OR(K306=TRUE,K306="TRUE",K306="YES",K306=1),1+'Settings'!$B$6/100,1),2)</f>
        <v>49.1</v>
      </c>
      <c r="J306" s="8">
        <v>9.6</v>
      </c>
      <c r="K306" s="3" t="inlineStr">
        <is>
          <t xml:space="preserve">TRUE</t>
        </is>
      </c>
      <c r="L306" s="3" t="inlineStr">
        <is>
          <t xml:space="preserve">SUMMER15</t>
        </is>
      </c>
      <c r="M306" s="6">
        <f>ROUND(E306*G306-H306,2)</f>
        <v>59.41</v>
      </c>
      <c r="N306" s="5">
        <f>IF(COUNTIF($A$3:A306,A306)=1,1,0)</f>
        <v>1</v>
      </c>
      <c r="O306" s="6">
        <f>IF(N306=1,ROUND((SUMIFS($M$3:$M$1200,$A$3:$A$1200,A306)+'Settings'!$B$13)*'Settings'!$B$14/100+'Settings'!$B$15,2),0)</f>
        <v>4.19</v>
      </c>
    </row>
    <row r="307">
      <c r="A307" s="3" t="inlineStr">
        <is>
          <t xml:space="preserve">#1217</t>
        </is>
      </c>
      <c r="B307" s="3" t="inlineStr">
        <is>
          <t xml:space="preserve">2025-12-29</t>
        </is>
      </c>
      <c r="C307" s="3" t="inlineStr">
        <is>
          <t xml:space="preserve">SKU-E</t>
        </is>
      </c>
      <c r="D307" s="3" t="inlineStr">
        <is>
          <t xml:space="preserve">Complete Ritual</t>
        </is>
      </c>
      <c r="E307" s="6">
        <f>IF('Settings'!$B$11="Scenario",IFERROR(INDEX('Catalogue'!$E$3:$E$100,MATCH(C307,'Catalogue'!$B$3:$B$100,0)),F307),F307)</f>
        <v>89</v>
      </c>
      <c r="F307" s="8">
        <v>89</v>
      </c>
      <c r="G307" s="3">
        <v>2</v>
      </c>
      <c r="H307" s="6">
        <f>IF('Settings'!$B$11="Scenario",ROUND(E307*G307*IFERROR(SUMIF('Pricing &amp; promotions'!$A$6:$A$8,L307,'Pricing &amp; promotions'!$B$6:$B$8)/100,0),2),J307)</f>
        <v>26.7</v>
      </c>
      <c r="I307" s="6">
        <f>ROUND((E307*G307-H307)/IF(OR(K307=TRUE,K307="TRUE",K307="YES",K307=1),1+'Settings'!$B$6/100,1),2)</f>
        <v>125.04</v>
      </c>
      <c r="J307" s="8">
        <v>26.7</v>
      </c>
      <c r="K307" s="3" t="inlineStr">
        <is>
          <t xml:space="preserve">TRUE</t>
        </is>
      </c>
      <c r="L307" s="3" t="inlineStr">
        <is>
          <t xml:space="preserve">SUMMER15</t>
        </is>
      </c>
      <c r="M307" s="6">
        <f>ROUND(E307*G307-H307,2)</f>
        <v>151.3</v>
      </c>
      <c r="N307" s="5">
        <f>IF(COUNTIF($A$3:A307,A307)=1,1,0)</f>
        <v>0</v>
      </c>
      <c r="O307" s="6">
        <f>IF(N307=1,ROUND((SUMIFS($M$3:$M$1200,$A$3:$A$1200,A307)+'Settings'!$B$13)*'Settings'!$B$14/100+'Settings'!$B$15,2),0)</f>
        <v>0</v>
      </c>
    </row>
    <row r="308">
      <c r="A308" s="3" t="inlineStr">
        <is>
          <t xml:space="preserve">#1217</t>
        </is>
      </c>
      <c r="B308" s="3" t="inlineStr">
        <is>
          <t xml:space="preserve">2025-12-29</t>
        </is>
      </c>
      <c r="C308" s="3" t="inlineStr">
        <is>
          <t xml:space="preserve">SKU-C</t>
        </is>
      </c>
      <c r="D308" s="3" t="inlineStr">
        <is>
          <t xml:space="preserve">Contour Stone</t>
        </is>
      </c>
      <c r="E308" s="6">
        <f>IF('Settings'!$B$11="Scenario",IFERROR(INDEX('Catalogue'!$E$3:$E$100,MATCH(C308,'Catalogue'!$B$3:$B$100,0)),F308),F308)</f>
        <v>29</v>
      </c>
      <c r="F308" s="8">
        <v>29</v>
      </c>
      <c r="G308" s="3">
        <v>2</v>
      </c>
      <c r="H308" s="6">
        <f>IF('Settings'!$B$11="Scenario",ROUND(E308*G308*IFERROR(SUMIF('Pricing &amp; promotions'!$A$6:$A$8,L308,'Pricing &amp; promotions'!$B$6:$B$8)/100,0),2),J308)</f>
        <v>8.7</v>
      </c>
      <c r="I308" s="6">
        <f>ROUND((E308*G308-H308)/IF(OR(K308=TRUE,K308="TRUE",K308="YES",K308=1),1+'Settings'!$B$6/100,1),2)</f>
        <v>40.74</v>
      </c>
      <c r="J308" s="8">
        <v>8.7</v>
      </c>
      <c r="K308" s="3" t="inlineStr">
        <is>
          <t xml:space="preserve">TRUE</t>
        </is>
      </c>
      <c r="L308" s="3" t="inlineStr">
        <is>
          <t xml:space="preserve">SUMMER15</t>
        </is>
      </c>
      <c r="M308" s="6">
        <f>ROUND(E308*G308-H308,2)</f>
        <v>49.3</v>
      </c>
      <c r="N308" s="5">
        <f>IF(COUNTIF($A$3:A308,A308)=1,1,0)</f>
        <v>0</v>
      </c>
      <c r="O308" s="6">
        <f>IF(N308=1,ROUND((SUMIFS($M$3:$M$1200,$A$3:$A$1200,A308)+'Settings'!$B$13)*'Settings'!$B$14/100+'Settings'!$B$15,2),0)</f>
        <v>0</v>
      </c>
    </row>
    <row r="309">
      <c r="A309" s="3" t="inlineStr">
        <is>
          <t xml:space="preserve">#1218</t>
        </is>
      </c>
      <c r="B309" s="3" t="inlineStr">
        <is>
          <t xml:space="preserve">2025-12-30</t>
        </is>
      </c>
      <c r="C309" s="3" t="inlineStr">
        <is>
          <t xml:space="preserve">SKU-E</t>
        </is>
      </c>
      <c r="D309" s="3" t="inlineStr">
        <is>
          <t xml:space="preserve">Complete Ritual</t>
        </is>
      </c>
      <c r="E309" s="6">
        <f>IF('Settings'!$B$11="Scenario",IFERROR(INDEX('Catalogue'!$E$3:$E$100,MATCH(C309,'Catalogue'!$B$3:$B$100,0)),F309),F309)</f>
        <v>89</v>
      </c>
      <c r="F309" s="8">
        <v>89</v>
      </c>
      <c r="G309" s="3">
        <v>1</v>
      </c>
      <c r="H309" s="6">
        <f>IF('Settings'!$B$11="Scenario",ROUND(E309*G309*IFERROR(SUMIF('Pricing &amp; promotions'!$A$6:$A$8,L309,'Pricing &amp; promotions'!$B$6:$B$8)/100,0),2),J309)</f>
        <v>8.9</v>
      </c>
      <c r="I309" s="6">
        <f>ROUND((E309*G309-H309)/IF(OR(K309=TRUE,K309="TRUE",K309="YES",K309=1),1+'Settings'!$B$6/100,1),2)</f>
        <v>66.2</v>
      </c>
      <c r="J309" s="8">
        <v>8.9</v>
      </c>
      <c r="K309" s="3" t="inlineStr">
        <is>
          <t xml:space="preserve">TRUE</t>
        </is>
      </c>
      <c r="L309" s="3" t="inlineStr">
        <is>
          <t xml:space="preserve">WELCOME10</t>
        </is>
      </c>
      <c r="M309" s="6">
        <f>ROUND(E309*G309-H309,2)</f>
        <v>80.1</v>
      </c>
      <c r="N309" s="5">
        <f>IF(COUNTIF($A$3:A309,A309)=1,1,0)</f>
        <v>1</v>
      </c>
      <c r="O309" s="6">
        <f>IF(N309=1,ROUND((SUMIFS($M$3:$M$1200,$A$3:$A$1200,A309)+'Settings'!$B$13)*'Settings'!$B$14/100+'Settings'!$B$15,2),0)</f>
        <v>1.5</v>
      </c>
    </row>
    <row r="310">
      <c r="A310" s="3" t="inlineStr">
        <is>
          <t xml:space="preserve">#1219</t>
        </is>
      </c>
      <c r="B310" s="3" t="inlineStr">
        <is>
          <t xml:space="preserve">2025-12-30</t>
        </is>
      </c>
      <c r="C310" s="3" t="inlineStr">
        <is>
          <t xml:space="preserve">SKU-D</t>
        </is>
      </c>
      <c r="D310" s="3" t="inlineStr">
        <is>
          <t xml:space="preserve">Daily Duo</t>
        </is>
      </c>
      <c r="E310" s="6">
        <f>IF('Settings'!$B$11="Scenario",IFERROR(INDEX('Catalogue'!$E$3:$E$100,MATCH(C310,'Catalogue'!$B$3:$B$100,0)),F310),F310)</f>
        <v>79</v>
      </c>
      <c r="F310" s="8">
        <v>79</v>
      </c>
      <c r="G310" s="3">
        <v>1</v>
      </c>
      <c r="H310" s="6">
        <f>IF('Settings'!$B$11="Scenario",ROUND(E310*G310*IFERROR(SUMIF('Pricing &amp; promotions'!$A$6:$A$8,L310,'Pricing &amp; promotions'!$B$6:$B$8)/100,0),2),J310)</f>
        <v>7.9</v>
      </c>
      <c r="I310" s="6">
        <f>ROUND((E310*G310-H310)/IF(OR(K310=TRUE,K310="TRUE",K310="YES",K310=1),1+'Settings'!$B$6/100,1),2)</f>
        <v>58.76</v>
      </c>
      <c r="J310" s="8">
        <v>7.9</v>
      </c>
      <c r="K310" s="3" t="inlineStr">
        <is>
          <t xml:space="preserve">TRUE</t>
        </is>
      </c>
      <c r="L310" s="3" t="inlineStr">
        <is>
          <t xml:space="preserve">WELCOME10</t>
        </is>
      </c>
      <c r="M310" s="6">
        <f>ROUND(E310*G310-H310,2)</f>
        <v>71.1</v>
      </c>
      <c r="N310" s="5">
        <f>IF(COUNTIF($A$3:A310,A310)=1,1,0)</f>
        <v>1</v>
      </c>
      <c r="O310" s="6">
        <f>IF(N310=1,ROUND((SUMIFS($M$3:$M$1200,$A$3:$A$1200,A310)+'Settings'!$B$13)*'Settings'!$B$14/100+'Settings'!$B$15,2),0)</f>
        <v>1.36</v>
      </c>
    </row>
    <row r="311">
      <c r="A311" s="3" t="inlineStr">
        <is>
          <t xml:space="preserve">#1220</t>
        </is>
      </c>
      <c r="B311" s="3" t="inlineStr">
        <is>
          <t xml:space="preserve">2025-12-30</t>
        </is>
      </c>
      <c r="C311" s="3" t="inlineStr">
        <is>
          <t xml:space="preserve">SKU-D</t>
        </is>
      </c>
      <c r="D311" s="3" t="inlineStr">
        <is>
          <t xml:space="preserve">Daily Duo</t>
        </is>
      </c>
      <c r="E311" s="6">
        <f>IF('Settings'!$B$11="Scenario",IFERROR(INDEX('Catalogue'!$E$3:$E$100,MATCH(C311,'Catalogue'!$B$3:$B$100,0)),F311),F311)</f>
        <v>79</v>
      </c>
      <c r="F311" s="8">
        <v>79</v>
      </c>
      <c r="G311" s="3">
        <v>1</v>
      </c>
      <c r="H311" s="6">
        <f>IF('Settings'!$B$11="Scenario",ROUND(E311*G311*IFERROR(SUMIF('Pricing &amp; promotions'!$A$6:$A$8,L311,'Pricing &amp; promotions'!$B$6:$B$8)/100,0),2),J311)</f>
        <v>0.0</v>
      </c>
      <c r="I311" s="6">
        <f>ROUND((E311*G311-H311)/IF(OR(K311=TRUE,K311="TRUE",K311="YES",K311=1),1+'Settings'!$B$6/100,1),2)</f>
        <v>65.29</v>
      </c>
      <c r="J311" s="8">
        <v>0.0</v>
      </c>
      <c r="K311" s="3" t="inlineStr">
        <is>
          <t xml:space="preserve">TRUE</t>
        </is>
      </c>
      <c r="L311" s="3"/>
      <c r="M311" s="6">
        <f>ROUND(E311*G311-H311,2)</f>
        <v>79.0</v>
      </c>
      <c r="N311" s="5">
        <f>IF(COUNTIF($A$3:A311,A311)=1,1,0)</f>
        <v>1</v>
      </c>
      <c r="O311" s="6">
        <f>IF(N311=1,ROUND((SUMIFS($M$3:$M$1200,$A$3:$A$1200,A311)+'Settings'!$B$13)*'Settings'!$B$14/100+'Settings'!$B$15,2),0)</f>
        <v>1.48</v>
      </c>
    </row>
    <row r="312">
      <c r="A312" s="3" t="inlineStr">
        <is>
          <t xml:space="preserve">#1221</t>
        </is>
      </c>
      <c r="B312" s="3" t="inlineStr">
        <is>
          <t xml:space="preserve">2025-12-30</t>
        </is>
      </c>
      <c r="C312" s="3" t="inlineStr">
        <is>
          <t xml:space="preserve">SKU-A</t>
        </is>
      </c>
      <c r="D312" s="3" t="inlineStr">
        <is>
          <t xml:space="preserve">Renewal Serum</t>
        </is>
      </c>
      <c r="E312" s="6">
        <f>IF('Settings'!$B$11="Scenario",IFERROR(INDEX('Catalogue'!$E$3:$E$100,MATCH(C312,'Catalogue'!$B$3:$B$100,0)),F312),F312)</f>
        <v>69.9</v>
      </c>
      <c r="F312" s="8">
        <v>64</v>
      </c>
      <c r="G312" s="3">
        <v>1</v>
      </c>
      <c r="H312" s="6">
        <f>IF('Settings'!$B$11="Scenario",ROUND(E312*G312*IFERROR(SUMIF('Pricing &amp; promotions'!$A$6:$A$8,L312,'Pricing &amp; promotions'!$B$6:$B$8)/100,0),2),J312)</f>
        <v>6.99</v>
      </c>
      <c r="I312" s="6">
        <f>ROUND((E312*G312-H312)/IF(OR(K312=TRUE,K312="TRUE",K312="YES",K312=1),1+'Settings'!$B$6/100,1),2)</f>
        <v>51.99</v>
      </c>
      <c r="J312" s="8">
        <v>6.4</v>
      </c>
      <c r="K312" s="3" t="inlineStr">
        <is>
          <t xml:space="preserve">TRUE</t>
        </is>
      </c>
      <c r="L312" s="3" t="inlineStr">
        <is>
          <t xml:space="preserve">WELCOME10</t>
        </is>
      </c>
      <c r="M312" s="6">
        <f>ROUND(E312*G312-H312,2)</f>
        <v>62.91</v>
      </c>
      <c r="N312" s="5">
        <f>IF(COUNTIF($A$3:A312,A312)=1,1,0)</f>
        <v>1</v>
      </c>
      <c r="O312" s="6">
        <f>IF(N312=1,ROUND((SUMIFS($M$3:$M$1200,$A$3:$A$1200,A312)+'Settings'!$B$13)*'Settings'!$B$14/100+'Settings'!$B$15,2),0)</f>
        <v>1.24</v>
      </c>
    </row>
    <row r="313">
      <c r="A313" s="3" t="inlineStr">
        <is>
          <t xml:space="preserve">#1222</t>
        </is>
      </c>
      <c r="B313" s="3" t="inlineStr">
        <is>
          <t xml:space="preserve">2025-12-30</t>
        </is>
      </c>
      <c r="C313" s="3" t="inlineStr">
        <is>
          <t xml:space="preserve">SKU-E</t>
        </is>
      </c>
      <c r="D313" s="3" t="inlineStr">
        <is>
          <t xml:space="preserve">Complete Ritual</t>
        </is>
      </c>
      <c r="E313" s="6">
        <f>IF('Settings'!$B$11="Scenario",IFERROR(INDEX('Catalogue'!$E$3:$E$100,MATCH(C313,'Catalogue'!$B$3:$B$100,0)),F313),F313)</f>
        <v>89</v>
      </c>
      <c r="F313" s="8">
        <v>89</v>
      </c>
      <c r="G313" s="3">
        <v>1</v>
      </c>
      <c r="H313" s="6">
        <f>IF('Settings'!$B$11="Scenario",ROUND(E313*G313*IFERROR(SUMIF('Pricing &amp; promotions'!$A$6:$A$8,L313,'Pricing &amp; promotions'!$B$6:$B$8)/100,0),2),J313)</f>
        <v>0.0</v>
      </c>
      <c r="I313" s="6">
        <f>ROUND((E313*G313-H313)/IF(OR(K313=TRUE,K313="TRUE",K313="YES",K313=1),1+'Settings'!$B$6/100,1),2)</f>
        <v>73.55</v>
      </c>
      <c r="J313" s="8">
        <v>0.0</v>
      </c>
      <c r="K313" s="3" t="inlineStr">
        <is>
          <t xml:space="preserve">TRUE</t>
        </is>
      </c>
      <c r="L313" s="3"/>
      <c r="M313" s="6">
        <f>ROUND(E313*G313-H313,2)</f>
        <v>89.0</v>
      </c>
      <c r="N313" s="5">
        <f>IF(COUNTIF($A$3:A313,A313)=1,1,0)</f>
        <v>1</v>
      </c>
      <c r="O313" s="6">
        <f>IF(N313=1,ROUND((SUMIFS($M$3:$M$1200,$A$3:$A$1200,A313)+'Settings'!$B$13)*'Settings'!$B$14/100+'Settings'!$B$15,2),0)</f>
        <v>1.63</v>
      </c>
    </row>
    <row r="314">
      <c r="A314" s="3" t="inlineStr">
        <is>
          <t xml:space="preserve">#1223</t>
        </is>
      </c>
      <c r="B314" s="3" t="inlineStr">
        <is>
          <t xml:space="preserve">2025-12-31</t>
        </is>
      </c>
      <c r="C314" s="3" t="inlineStr">
        <is>
          <t xml:space="preserve">SKU-D</t>
        </is>
      </c>
      <c r="D314" s="3" t="inlineStr">
        <is>
          <t xml:space="preserve">Daily Duo</t>
        </is>
      </c>
      <c r="E314" s="6">
        <f>IF('Settings'!$B$11="Scenario",IFERROR(INDEX('Catalogue'!$E$3:$E$100,MATCH(C314,'Catalogue'!$B$3:$B$100,0)),F314),F314)</f>
        <v>79</v>
      </c>
      <c r="F314" s="8">
        <v>79</v>
      </c>
      <c r="G314" s="3">
        <v>1</v>
      </c>
      <c r="H314" s="6">
        <f>IF('Settings'!$B$11="Scenario",ROUND(E314*G314*IFERROR(SUMIF('Pricing &amp; promotions'!$A$6:$A$8,L314,'Pricing &amp; promotions'!$B$6:$B$8)/100,0),2),J314)</f>
        <v>7.9</v>
      </c>
      <c r="I314" s="6">
        <f>ROUND((E314*G314-H314)/IF(OR(K314=TRUE,K314="TRUE",K314="YES",K314=1),1+'Settings'!$B$6/100,1),2)</f>
        <v>58.76</v>
      </c>
      <c r="J314" s="8">
        <v>7.9</v>
      </c>
      <c r="K314" s="3" t="inlineStr">
        <is>
          <t xml:space="preserve">TRUE</t>
        </is>
      </c>
      <c r="L314" s="3" t="inlineStr">
        <is>
          <t xml:space="preserve">WELCOME10</t>
        </is>
      </c>
      <c r="M314" s="6">
        <f>ROUND(E314*G314-H314,2)</f>
        <v>71.1</v>
      </c>
      <c r="N314" s="5">
        <f>IF(COUNTIF($A$3:A314,A314)=1,1,0)</f>
        <v>1</v>
      </c>
      <c r="O314" s="6">
        <f>IF(N314=1,ROUND((SUMIFS($M$3:$M$1200,$A$3:$A$1200,A314)+'Settings'!$B$13)*'Settings'!$B$14/100+'Settings'!$B$15,2),0)</f>
        <v>1.36</v>
      </c>
    </row>
    <row r="315">
      <c r="A315" s="3" t="inlineStr">
        <is>
          <t xml:space="preserve">#1224</t>
        </is>
      </c>
      <c r="B315" s="3" t="inlineStr">
        <is>
          <t xml:space="preserve">2025-12-31</t>
        </is>
      </c>
      <c r="C315" s="3" t="inlineStr">
        <is>
          <t xml:space="preserve">SKU-E</t>
        </is>
      </c>
      <c r="D315" s="3" t="inlineStr">
        <is>
          <t xml:space="preserve">Complete Ritual</t>
        </is>
      </c>
      <c r="E315" s="6">
        <f>IF('Settings'!$B$11="Scenario",IFERROR(INDEX('Catalogue'!$E$3:$E$100,MATCH(C315,'Catalogue'!$B$3:$B$100,0)),F315),F315)</f>
        <v>89</v>
      </c>
      <c r="F315" s="8">
        <v>89</v>
      </c>
      <c r="G315" s="3">
        <v>1</v>
      </c>
      <c r="H315" s="6">
        <f>IF('Settings'!$B$11="Scenario",ROUND(E315*G315*IFERROR(SUMIF('Pricing &amp; promotions'!$A$6:$A$8,L315,'Pricing &amp; promotions'!$B$6:$B$8)/100,0),2),J315)</f>
        <v>0.0</v>
      </c>
      <c r="I315" s="6">
        <f>ROUND((E315*G315-H315)/IF(OR(K315=TRUE,K315="TRUE",K315="YES",K315=1),1+'Settings'!$B$6/100,1),2)</f>
        <v>73.55</v>
      </c>
      <c r="J315" s="8">
        <v>0.0</v>
      </c>
      <c r="K315" s="3" t="inlineStr">
        <is>
          <t xml:space="preserve">TRUE</t>
        </is>
      </c>
      <c r="L315" s="3"/>
      <c r="M315" s="6">
        <f>ROUND(E315*G315-H315,2)</f>
        <v>89.0</v>
      </c>
      <c r="N315" s="5">
        <f>IF(COUNTIF($A$3:A315,A315)=1,1,0)</f>
        <v>1</v>
      </c>
      <c r="O315" s="6">
        <f>IF(N315=1,ROUND((SUMIFS($M$3:$M$1200,$A$3:$A$1200,A315)+'Settings'!$B$13)*'Settings'!$B$14/100+'Settings'!$B$15,2),0)</f>
        <v>1.63</v>
      </c>
    </row>
    <row r="316">
      <c r="A316" s="3" t="inlineStr">
        <is>
          <t xml:space="preserve">#1225</t>
        </is>
      </c>
      <c r="B316" s="3" t="inlineStr">
        <is>
          <t xml:space="preserve">2025-12-31</t>
        </is>
      </c>
      <c r="C316" s="3" t="inlineStr">
        <is>
          <t xml:space="preserve">SKU-A</t>
        </is>
      </c>
      <c r="D316" s="3" t="inlineStr">
        <is>
          <t xml:space="preserve">Renewal Serum</t>
        </is>
      </c>
      <c r="E316" s="6">
        <f>IF('Settings'!$B$11="Scenario",IFERROR(INDEX('Catalogue'!$E$3:$E$100,MATCH(C316,'Catalogue'!$B$3:$B$100,0)),F316),F316)</f>
        <v>69.9</v>
      </c>
      <c r="F316" s="8">
        <v>64</v>
      </c>
      <c r="G316" s="3">
        <v>1</v>
      </c>
      <c r="H316" s="6">
        <f>IF('Settings'!$B$11="Scenario",ROUND(E316*G316*IFERROR(SUMIF('Pricing &amp; promotions'!$A$6:$A$8,L316,'Pricing &amp; promotions'!$B$6:$B$8)/100,0),2),J316)</f>
        <v>13.98</v>
      </c>
      <c r="I316" s="6">
        <f>ROUND((E316*G316-H316)/IF(OR(K316=TRUE,K316="TRUE",K316="YES",K316=1),1+'Settings'!$B$6/100,1),2)</f>
        <v>46.21</v>
      </c>
      <c r="J316" s="8">
        <v>12.8</v>
      </c>
      <c r="K316" s="3" t="inlineStr">
        <is>
          <t xml:space="preserve">TRUE</t>
        </is>
      </c>
      <c r="L316" s="3" t="inlineStr">
        <is>
          <t xml:space="preserve">VIP20</t>
        </is>
      </c>
      <c r="M316" s="6">
        <f>ROUND(E316*G316-H316,2)</f>
        <v>55.92</v>
      </c>
      <c r="N316" s="5">
        <f>IF(COUNTIF($A$3:A316,A316)=1,1,0)</f>
        <v>1</v>
      </c>
      <c r="O316" s="6">
        <f>IF(N316=1,ROUND((SUMIFS($M$3:$M$1200,$A$3:$A$1200,A316)+'Settings'!$B$13)*'Settings'!$B$14/100+'Settings'!$B$15,2),0)</f>
        <v>1.13</v>
      </c>
    </row>
    <row r="317">
      <c r="A317" s="3" t="inlineStr">
        <is>
          <t xml:space="preserve">#1226</t>
        </is>
      </c>
      <c r="B317" s="3" t="inlineStr">
        <is>
          <t xml:space="preserve">2026-01-01</t>
        </is>
      </c>
      <c r="C317" s="3" t="inlineStr">
        <is>
          <t xml:space="preserve">SKU-E</t>
        </is>
      </c>
      <c r="D317" s="3" t="inlineStr">
        <is>
          <t xml:space="preserve">Complete Ritual</t>
        </is>
      </c>
      <c r="E317" s="6">
        <f>IF('Settings'!$B$11="Scenario",IFERROR(INDEX('Catalogue'!$E$3:$E$100,MATCH(C317,'Catalogue'!$B$3:$B$100,0)),F317),F317)</f>
        <v>89</v>
      </c>
      <c r="F317" s="8">
        <v>89</v>
      </c>
      <c r="G317" s="3">
        <v>1</v>
      </c>
      <c r="H317" s="6">
        <f>IF('Settings'!$B$11="Scenario",ROUND(E317*G317*IFERROR(SUMIF('Pricing &amp; promotions'!$A$6:$A$8,L317,'Pricing &amp; promotions'!$B$6:$B$8)/100,0),2),J317)</f>
        <v>8.9</v>
      </c>
      <c r="I317" s="6">
        <f>ROUND((E317*G317-H317)/IF(OR(K317=TRUE,K317="TRUE",K317="YES",K317=1),1+'Settings'!$B$6/100,1),2)</f>
        <v>66.2</v>
      </c>
      <c r="J317" s="8">
        <v>8.9</v>
      </c>
      <c r="K317" s="3" t="inlineStr">
        <is>
          <t xml:space="preserve">TRUE</t>
        </is>
      </c>
      <c r="L317" s="3" t="inlineStr">
        <is>
          <t xml:space="preserve">WELCOME10</t>
        </is>
      </c>
      <c r="M317" s="6">
        <f>ROUND(E317*G317-H317,2)</f>
        <v>80.1</v>
      </c>
      <c r="N317" s="5">
        <f>IF(COUNTIF($A$3:A317,A317)=1,1,0)</f>
        <v>1</v>
      </c>
      <c r="O317" s="6">
        <f>IF(N317=1,ROUND((SUMIFS($M$3:$M$1200,$A$3:$A$1200,A317)+'Settings'!$B$13)*'Settings'!$B$14/100+'Settings'!$B$15,2),0)</f>
        <v>1.5</v>
      </c>
    </row>
    <row r="318">
      <c r="A318" s="3" t="inlineStr">
        <is>
          <t xml:space="preserve">#1227</t>
        </is>
      </c>
      <c r="B318" s="3" t="inlineStr">
        <is>
          <t xml:space="preserve">2026-01-02</t>
        </is>
      </c>
      <c r="C318" s="3" t="inlineStr">
        <is>
          <t xml:space="preserve">SKU-C</t>
        </is>
      </c>
      <c r="D318" s="3" t="inlineStr">
        <is>
          <t xml:space="preserve">Contour Stone</t>
        </is>
      </c>
      <c r="E318" s="6">
        <f>IF('Settings'!$B$11="Scenario",IFERROR(INDEX('Catalogue'!$E$3:$E$100,MATCH(C318,'Catalogue'!$B$3:$B$100,0)),F318),F318)</f>
        <v>29</v>
      </c>
      <c r="F318" s="8">
        <v>29</v>
      </c>
      <c r="G318" s="3">
        <v>1</v>
      </c>
      <c r="H318" s="6">
        <f>IF('Settings'!$B$11="Scenario",ROUND(E318*G318*IFERROR(SUMIF('Pricing &amp; promotions'!$A$6:$A$8,L318,'Pricing &amp; promotions'!$B$6:$B$8)/100,0),2),J318)</f>
        <v>0.0</v>
      </c>
      <c r="I318" s="6">
        <f>ROUND((E318*G318-H318)/IF(OR(K318=TRUE,K318="TRUE",K318="YES",K318=1),1+'Settings'!$B$6/100,1),2)</f>
        <v>23.97</v>
      </c>
      <c r="J318" s="8">
        <v>0.0</v>
      </c>
      <c r="K318" s="3" t="inlineStr">
        <is>
          <t xml:space="preserve">TRUE</t>
        </is>
      </c>
      <c r="L318" s="3"/>
      <c r="M318" s="6">
        <f>ROUND(E318*G318-H318,2)</f>
        <v>29.0</v>
      </c>
      <c r="N318" s="5">
        <f>IF(COUNTIF($A$3:A318,A318)=1,1,0)</f>
        <v>1</v>
      </c>
      <c r="O318" s="6">
        <f>IF(N318=1,ROUND((SUMIFS($M$3:$M$1200,$A$3:$A$1200,A318)+'Settings'!$B$13)*'Settings'!$B$14/100+'Settings'!$B$15,2),0)</f>
        <v>0.73</v>
      </c>
    </row>
    <row r="319">
      <c r="A319" s="3" t="inlineStr">
        <is>
          <t xml:space="preserve">#1228</t>
        </is>
      </c>
      <c r="B319" s="3" t="inlineStr">
        <is>
          <t xml:space="preserve">2026-01-02</t>
        </is>
      </c>
      <c r="C319" s="3" t="inlineStr">
        <is>
          <t xml:space="preserve">SKU-D</t>
        </is>
      </c>
      <c r="D319" s="3" t="inlineStr">
        <is>
          <t xml:space="preserve">Daily Duo</t>
        </is>
      </c>
      <c r="E319" s="6">
        <f>IF('Settings'!$B$11="Scenario",IFERROR(INDEX('Catalogue'!$E$3:$E$100,MATCH(C319,'Catalogue'!$B$3:$B$100,0)),F319),F319)</f>
        <v>79</v>
      </c>
      <c r="F319" s="8">
        <v>79</v>
      </c>
      <c r="G319" s="3">
        <v>1</v>
      </c>
      <c r="H319" s="6">
        <f>IF('Settings'!$B$11="Scenario",ROUND(E319*G319*IFERROR(SUMIF('Pricing &amp; promotions'!$A$6:$A$8,L319,'Pricing &amp; promotions'!$B$6:$B$8)/100,0),2),J319)</f>
        <v>7.9</v>
      </c>
      <c r="I319" s="6">
        <f>ROUND((E319*G319-H319)/IF(OR(K319=TRUE,K319="TRUE",K319="YES",K319=1),1+'Settings'!$B$6/100,1),2)</f>
        <v>58.76</v>
      </c>
      <c r="J319" s="8">
        <v>7.9</v>
      </c>
      <c r="K319" s="3" t="inlineStr">
        <is>
          <t xml:space="preserve">TRUE</t>
        </is>
      </c>
      <c r="L319" s="3" t="inlineStr">
        <is>
          <t xml:space="preserve">WELCOME10</t>
        </is>
      </c>
      <c r="M319" s="6">
        <f>ROUND(E319*G319-H319,2)</f>
        <v>71.1</v>
      </c>
      <c r="N319" s="5">
        <f>IF(COUNTIF($A$3:A319,A319)=1,1,0)</f>
        <v>1</v>
      </c>
      <c r="O319" s="6">
        <f>IF(N319=1,ROUND((SUMIFS($M$3:$M$1200,$A$3:$A$1200,A319)+'Settings'!$B$13)*'Settings'!$B$14/100+'Settings'!$B$15,2),0)</f>
        <v>1.36</v>
      </c>
    </row>
    <row r="320">
      <c r="A320" s="3" t="inlineStr">
        <is>
          <t xml:space="preserve">#1229</t>
        </is>
      </c>
      <c r="B320" s="3" t="inlineStr">
        <is>
          <t xml:space="preserve">2026-01-03</t>
        </is>
      </c>
      <c r="C320" s="3" t="inlineStr">
        <is>
          <t xml:space="preserve">SKU-C</t>
        </is>
      </c>
      <c r="D320" s="3" t="inlineStr">
        <is>
          <t xml:space="preserve">Contour Stone</t>
        </is>
      </c>
      <c r="E320" s="6">
        <f>IF('Settings'!$B$11="Scenario",IFERROR(INDEX('Catalogue'!$E$3:$E$100,MATCH(C320,'Catalogue'!$B$3:$B$100,0)),F320),F320)</f>
        <v>29</v>
      </c>
      <c r="F320" s="8">
        <v>29</v>
      </c>
      <c r="G320" s="3">
        <v>1</v>
      </c>
      <c r="H320" s="6">
        <f>IF('Settings'!$B$11="Scenario",ROUND(E320*G320*IFERROR(SUMIF('Pricing &amp; promotions'!$A$6:$A$8,L320,'Pricing &amp; promotions'!$B$6:$B$8)/100,0),2),J320)</f>
        <v>2.9</v>
      </c>
      <c r="I320" s="6">
        <f>ROUND((E320*G320-H320)/IF(OR(K320=TRUE,K320="TRUE",K320="YES",K320=1),1+'Settings'!$B$6/100,1),2)</f>
        <v>21.57</v>
      </c>
      <c r="J320" s="8">
        <v>2.9</v>
      </c>
      <c r="K320" s="3" t="inlineStr">
        <is>
          <t xml:space="preserve">TRUE</t>
        </is>
      </c>
      <c r="L320" s="3" t="inlineStr">
        <is>
          <t xml:space="preserve">WELCOME10</t>
        </is>
      </c>
      <c r="M320" s="6">
        <f>ROUND(E320*G320-H320,2)</f>
        <v>26.1</v>
      </c>
      <c r="N320" s="5">
        <f>IF(COUNTIF($A$3:A320,A320)=1,1,0)</f>
        <v>1</v>
      </c>
      <c r="O320" s="6">
        <f>IF(N320=1,ROUND((SUMIFS($M$3:$M$1200,$A$3:$A$1200,A320)+'Settings'!$B$13)*'Settings'!$B$14/100+'Settings'!$B$15,2),0)</f>
        <v>1.63</v>
      </c>
    </row>
    <row r="321">
      <c r="A321" s="3" t="inlineStr">
        <is>
          <t xml:space="preserve">#1229</t>
        </is>
      </c>
      <c r="B321" s="3" t="inlineStr">
        <is>
          <t xml:space="preserve">2026-01-03</t>
        </is>
      </c>
      <c r="C321" s="3" t="inlineStr">
        <is>
          <t xml:space="preserve">SKU-A</t>
        </is>
      </c>
      <c r="D321" s="3" t="inlineStr">
        <is>
          <t xml:space="preserve">Renewal Serum</t>
        </is>
      </c>
      <c r="E321" s="6">
        <f>IF('Settings'!$B$11="Scenario",IFERROR(INDEX('Catalogue'!$E$3:$E$100,MATCH(C321,'Catalogue'!$B$3:$B$100,0)),F321),F321)</f>
        <v>69.9</v>
      </c>
      <c r="F321" s="8">
        <v>69.9</v>
      </c>
      <c r="G321" s="3">
        <v>1</v>
      </c>
      <c r="H321" s="6">
        <f>IF('Settings'!$B$11="Scenario",ROUND(E321*G321*IFERROR(SUMIF('Pricing &amp; promotions'!$A$6:$A$8,L321,'Pricing &amp; promotions'!$B$6:$B$8)/100,0),2),J321)</f>
        <v>6.99</v>
      </c>
      <c r="I321" s="6">
        <f>ROUND((E321*G321-H321)/IF(OR(K321=TRUE,K321="TRUE",K321="YES",K321=1),1+'Settings'!$B$6/100,1),2)</f>
        <v>51.99</v>
      </c>
      <c r="J321" s="8">
        <v>6.99</v>
      </c>
      <c r="K321" s="3" t="inlineStr">
        <is>
          <t xml:space="preserve">TRUE</t>
        </is>
      </c>
      <c r="L321" s="3" t="inlineStr">
        <is>
          <t xml:space="preserve">WELCOME10</t>
        </is>
      </c>
      <c r="M321" s="6">
        <f>ROUND(E321*G321-H321,2)</f>
        <v>62.91</v>
      </c>
      <c r="N321" s="5">
        <f>IF(COUNTIF($A$3:A321,A321)=1,1,0)</f>
        <v>0</v>
      </c>
      <c r="O321" s="6">
        <f>IF(N321=1,ROUND((SUMIFS($M$3:$M$1200,$A$3:$A$1200,A321)+'Settings'!$B$13)*'Settings'!$B$14/100+'Settings'!$B$15,2),0)</f>
        <v>0</v>
      </c>
    </row>
    <row r="322">
      <c r="A322" s="3" t="inlineStr">
        <is>
          <t xml:space="preserve">#1230</t>
        </is>
      </c>
      <c r="B322" s="3" t="inlineStr">
        <is>
          <t xml:space="preserve">2026-01-04</t>
        </is>
      </c>
      <c r="C322" s="3" t="inlineStr">
        <is>
          <t xml:space="preserve">SKU-A</t>
        </is>
      </c>
      <c r="D322" s="3" t="inlineStr">
        <is>
          <t xml:space="preserve">Renewal Serum</t>
        </is>
      </c>
      <c r="E322" s="6">
        <f>IF('Settings'!$B$11="Scenario",IFERROR(INDEX('Catalogue'!$E$3:$E$100,MATCH(C322,'Catalogue'!$B$3:$B$100,0)),F322),F322)</f>
        <v>69.9</v>
      </c>
      <c r="F322" s="8">
        <v>69.9</v>
      </c>
      <c r="G322" s="3">
        <v>1</v>
      </c>
      <c r="H322" s="6">
        <f>IF('Settings'!$B$11="Scenario",ROUND(E322*G322*IFERROR(SUMIF('Pricing &amp; promotions'!$A$6:$A$8,L322,'Pricing &amp; promotions'!$B$6:$B$8)/100,0),2),J322)</f>
        <v>0.0</v>
      </c>
      <c r="I322" s="6">
        <f>ROUND((E322*G322-H322)/IF(OR(K322=TRUE,K322="TRUE",K322="YES",K322=1),1+'Settings'!$B$6/100,1),2)</f>
        <v>57.77</v>
      </c>
      <c r="J322" s="8">
        <v>0.0</v>
      </c>
      <c r="K322" s="3" t="inlineStr">
        <is>
          <t xml:space="preserve">TRUE</t>
        </is>
      </c>
      <c r="L322" s="3"/>
      <c r="M322" s="6">
        <f>ROUND(E322*G322-H322,2)</f>
        <v>69.9</v>
      </c>
      <c r="N322" s="5">
        <f>IF(COUNTIF($A$3:A322,A322)=1,1,0)</f>
        <v>1</v>
      </c>
      <c r="O322" s="6">
        <f>IF(N322=1,ROUND((SUMIFS($M$3:$M$1200,$A$3:$A$1200,A322)+'Settings'!$B$13)*'Settings'!$B$14/100+'Settings'!$B$15,2),0)</f>
        <v>1.34</v>
      </c>
    </row>
    <row r="323">
      <c r="A323" s="3" t="inlineStr">
        <is>
          <t xml:space="preserve">#1231</t>
        </is>
      </c>
      <c r="B323" s="3" t="inlineStr">
        <is>
          <t xml:space="preserve">2026-01-04</t>
        </is>
      </c>
      <c r="C323" s="3" t="inlineStr">
        <is>
          <t xml:space="preserve">SKU-E</t>
        </is>
      </c>
      <c r="D323" s="3" t="inlineStr">
        <is>
          <t xml:space="preserve">Complete Ritual</t>
        </is>
      </c>
      <c r="E323" s="6">
        <f>IF('Settings'!$B$11="Scenario",IFERROR(INDEX('Catalogue'!$E$3:$E$100,MATCH(C323,'Catalogue'!$B$3:$B$100,0)),F323),F323)</f>
        <v>89</v>
      </c>
      <c r="F323" s="8">
        <v>89</v>
      </c>
      <c r="G323" s="3">
        <v>1</v>
      </c>
      <c r="H323" s="6">
        <f>IF('Settings'!$B$11="Scenario",ROUND(E323*G323*IFERROR(SUMIF('Pricing &amp; promotions'!$A$6:$A$8,L323,'Pricing &amp; promotions'!$B$6:$B$8)/100,0),2),J323)</f>
        <v>8.9</v>
      </c>
      <c r="I323" s="6">
        <f>ROUND((E323*G323-H323)/IF(OR(K323=TRUE,K323="TRUE",K323="YES",K323=1),1+'Settings'!$B$6/100,1),2)</f>
        <v>66.2</v>
      </c>
      <c r="J323" s="8">
        <v>8.9</v>
      </c>
      <c r="K323" s="3" t="inlineStr">
        <is>
          <t xml:space="preserve">TRUE</t>
        </is>
      </c>
      <c r="L323" s="3" t="inlineStr">
        <is>
          <t xml:space="preserve">WELCOME10</t>
        </is>
      </c>
      <c r="M323" s="6">
        <f>ROUND(E323*G323-H323,2)</f>
        <v>80.1</v>
      </c>
      <c r="N323" s="5">
        <f>IF(COUNTIF($A$3:A323,A323)=1,1,0)</f>
        <v>1</v>
      </c>
      <c r="O323" s="6">
        <f>IF(N323=1,ROUND((SUMIFS($M$3:$M$1200,$A$3:$A$1200,A323)+'Settings'!$B$13)*'Settings'!$B$14/100+'Settings'!$B$15,2),0)</f>
        <v>1.5</v>
      </c>
    </row>
    <row r="324">
      <c r="A324" s="3" t="inlineStr">
        <is>
          <t xml:space="preserve">#1232</t>
        </is>
      </c>
      <c r="B324" s="3" t="inlineStr">
        <is>
          <t xml:space="preserve">2026-01-05</t>
        </is>
      </c>
      <c r="C324" s="3" t="inlineStr">
        <is>
          <t xml:space="preserve">SKU-E</t>
        </is>
      </c>
      <c r="D324" s="3" t="inlineStr">
        <is>
          <t xml:space="preserve">Complete Ritual</t>
        </is>
      </c>
      <c r="E324" s="6">
        <f>IF('Settings'!$B$11="Scenario",IFERROR(INDEX('Catalogue'!$E$3:$E$100,MATCH(C324,'Catalogue'!$B$3:$B$100,0)),F324),F324)</f>
        <v>89</v>
      </c>
      <c r="F324" s="8">
        <v>89</v>
      </c>
      <c r="G324" s="3">
        <v>1</v>
      </c>
      <c r="H324" s="6">
        <f>IF('Settings'!$B$11="Scenario",ROUND(E324*G324*IFERROR(SUMIF('Pricing &amp; promotions'!$A$6:$A$8,L324,'Pricing &amp; promotions'!$B$6:$B$8)/100,0),2),J324)</f>
        <v>0.0</v>
      </c>
      <c r="I324" s="6">
        <f>ROUND((E324*G324-H324)/IF(OR(K324=TRUE,K324="TRUE",K324="YES",K324=1),1+'Settings'!$B$6/100,1),2)</f>
        <v>73.55</v>
      </c>
      <c r="J324" s="8">
        <v>0.0</v>
      </c>
      <c r="K324" s="3" t="inlineStr">
        <is>
          <t xml:space="preserve">TRUE</t>
        </is>
      </c>
      <c r="L324" s="3"/>
      <c r="M324" s="6">
        <f>ROUND(E324*G324-H324,2)</f>
        <v>89.0</v>
      </c>
      <c r="N324" s="5">
        <f>IF(COUNTIF($A$3:A324,A324)=1,1,0)</f>
        <v>1</v>
      </c>
      <c r="O324" s="6">
        <f>IF(N324=1,ROUND((SUMIFS($M$3:$M$1200,$A$3:$A$1200,A324)+'Settings'!$B$13)*'Settings'!$B$14/100+'Settings'!$B$15,2),0)</f>
        <v>1.63</v>
      </c>
    </row>
    <row r="325">
      <c r="A325" s="3" t="inlineStr">
        <is>
          <t xml:space="preserve">#1233</t>
        </is>
      </c>
      <c r="B325" s="3" t="inlineStr">
        <is>
          <t xml:space="preserve">2026-01-06</t>
        </is>
      </c>
      <c r="C325" s="3" t="inlineStr">
        <is>
          <t xml:space="preserve">SKU-D</t>
        </is>
      </c>
      <c r="D325" s="3" t="inlineStr">
        <is>
          <t xml:space="preserve">Daily Duo</t>
        </is>
      </c>
      <c r="E325" s="6">
        <f>IF('Settings'!$B$11="Scenario",IFERROR(INDEX('Catalogue'!$E$3:$E$100,MATCH(C325,'Catalogue'!$B$3:$B$100,0)),F325),F325)</f>
        <v>79</v>
      </c>
      <c r="F325" s="8">
        <v>79</v>
      </c>
      <c r="G325" s="3">
        <v>1</v>
      </c>
      <c r="H325" s="6">
        <f>IF('Settings'!$B$11="Scenario",ROUND(E325*G325*IFERROR(SUMIF('Pricing &amp; promotions'!$A$6:$A$8,L325,'Pricing &amp; promotions'!$B$6:$B$8)/100,0),2),J325)</f>
        <v>0.0</v>
      </c>
      <c r="I325" s="6">
        <f>ROUND((E325*G325-H325)/IF(OR(K325=TRUE,K325="TRUE",K325="YES",K325=1),1+'Settings'!$B$6/100,1),2)</f>
        <v>65.29</v>
      </c>
      <c r="J325" s="8">
        <v>0.0</v>
      </c>
      <c r="K325" s="3" t="inlineStr">
        <is>
          <t xml:space="preserve">TRUE</t>
        </is>
      </c>
      <c r="L325" s="3"/>
      <c r="M325" s="6">
        <f>ROUND(E325*G325-H325,2)</f>
        <v>79.0</v>
      </c>
      <c r="N325" s="5">
        <f>IF(COUNTIF($A$3:A325,A325)=1,1,0)</f>
        <v>1</v>
      </c>
      <c r="O325" s="6">
        <f>IF(N325=1,ROUND((SUMIFS($M$3:$M$1200,$A$3:$A$1200,A325)+'Settings'!$B$13)*'Settings'!$B$14/100+'Settings'!$B$15,2),0)</f>
        <v>1.48</v>
      </c>
    </row>
    <row r="326">
      <c r="A326" s="3" t="inlineStr">
        <is>
          <t xml:space="preserve">#1234</t>
        </is>
      </c>
      <c r="B326" s="3" t="inlineStr">
        <is>
          <t xml:space="preserve">2026-01-06</t>
        </is>
      </c>
      <c r="C326" s="3" t="inlineStr">
        <is>
          <t xml:space="preserve">SKU-G</t>
        </is>
      </c>
      <c r="D326" s="3" t="inlineStr">
        <is>
          <t xml:space="preserve">Daily Reset Set</t>
        </is>
      </c>
      <c r="E326" s="6">
        <f>IF('Settings'!$B$11="Scenario",IFERROR(INDEX('Catalogue'!$E$3:$E$100,MATCH(C326,'Catalogue'!$B$3:$B$100,0)),F326),F326)</f>
        <v>69</v>
      </c>
      <c r="F326" s="8">
        <v>69</v>
      </c>
      <c r="G326" s="3">
        <v>1</v>
      </c>
      <c r="H326" s="6">
        <f>IF('Settings'!$B$11="Scenario",ROUND(E326*G326*IFERROR(SUMIF('Pricing &amp; promotions'!$A$6:$A$8,L326,'Pricing &amp; promotions'!$B$6:$B$8)/100,0),2),J326)</f>
        <v>0.0</v>
      </c>
      <c r="I326" s="6">
        <f>ROUND((E326*G326-H326)/IF(OR(K326=TRUE,K326="TRUE",K326="YES",K326=1),1+'Settings'!$B$6/100,1),2)</f>
        <v>57.02</v>
      </c>
      <c r="J326" s="8">
        <v>0.0</v>
      </c>
      <c r="K326" s="3" t="inlineStr">
        <is>
          <t xml:space="preserve">TRUE</t>
        </is>
      </c>
      <c r="L326" s="3"/>
      <c r="M326" s="6">
        <f>ROUND(E326*G326-H326,2)</f>
        <v>69.0</v>
      </c>
      <c r="N326" s="5">
        <f>IF(COUNTIF($A$3:A326,A326)=1,1,0)</f>
        <v>1</v>
      </c>
      <c r="O326" s="6">
        <f>IF(N326=1,ROUND((SUMIFS($M$3:$M$1200,$A$3:$A$1200,A326)+'Settings'!$B$13)*'Settings'!$B$14/100+'Settings'!$B$15,2),0)</f>
        <v>1.84</v>
      </c>
    </row>
    <row r="327">
      <c r="A327" s="3" t="inlineStr">
        <is>
          <t xml:space="preserve">#1234</t>
        </is>
      </c>
      <c r="B327" s="3" t="inlineStr">
        <is>
          <t xml:space="preserve">2026-01-06</t>
        </is>
      </c>
      <c r="C327" s="3" t="inlineStr">
        <is>
          <t xml:space="preserve">SKU-F</t>
        </is>
      </c>
      <c r="D327" s="3" t="inlineStr">
        <is>
          <t xml:space="preserve">Cloud Cleanser</t>
        </is>
      </c>
      <c r="E327" s="6">
        <f>IF('Settings'!$B$11="Scenario",IFERROR(INDEX('Catalogue'!$E$3:$E$100,MATCH(C327,'Catalogue'!$B$3:$B$100,0)),F327),F327)</f>
        <v>34</v>
      </c>
      <c r="F327" s="8">
        <v>34</v>
      </c>
      <c r="G327" s="3">
        <v>1</v>
      </c>
      <c r="H327" s="6">
        <f>IF('Settings'!$B$11="Scenario",ROUND(E327*G327*IFERROR(SUMIF('Pricing &amp; promotions'!$A$6:$A$8,L327,'Pricing &amp; promotions'!$B$6:$B$8)/100,0),2),J327)</f>
        <v>0.0</v>
      </c>
      <c r="I327" s="6">
        <f>ROUND((E327*G327-H327)/IF(OR(K327=TRUE,K327="TRUE",K327="YES",K327=1),1+'Settings'!$B$6/100,1),2)</f>
        <v>28.1</v>
      </c>
      <c r="J327" s="8">
        <v>0.0</v>
      </c>
      <c r="K327" s="3" t="inlineStr">
        <is>
          <t xml:space="preserve">TRUE</t>
        </is>
      </c>
      <c r="L327" s="3"/>
      <c r="M327" s="6">
        <f>ROUND(E327*G327-H327,2)</f>
        <v>34.0</v>
      </c>
      <c r="N327" s="5">
        <f>IF(COUNTIF($A$3:A327,A327)=1,1,0)</f>
        <v>0</v>
      </c>
      <c r="O327" s="6">
        <f>IF(N327=1,ROUND((SUMIFS($M$3:$M$1200,$A$3:$A$1200,A327)+'Settings'!$B$13)*'Settings'!$B$14/100+'Settings'!$B$15,2),0)</f>
        <v>0</v>
      </c>
    </row>
    <row r="328">
      <c r="A328" s="3" t="inlineStr">
        <is>
          <t xml:space="preserve">#1235</t>
        </is>
      </c>
      <c r="B328" s="3" t="inlineStr">
        <is>
          <t xml:space="preserve">2026-01-06</t>
        </is>
      </c>
      <c r="C328" s="3" t="inlineStr">
        <is>
          <t xml:space="preserve">SKU-E</t>
        </is>
      </c>
      <c r="D328" s="3" t="inlineStr">
        <is>
          <t xml:space="preserve">Complete Ritual</t>
        </is>
      </c>
      <c r="E328" s="6">
        <f>IF('Settings'!$B$11="Scenario",IFERROR(INDEX('Catalogue'!$E$3:$E$100,MATCH(C328,'Catalogue'!$B$3:$B$100,0)),F328),F328)</f>
        <v>89</v>
      </c>
      <c r="F328" s="8">
        <v>89</v>
      </c>
      <c r="G328" s="3">
        <v>1</v>
      </c>
      <c r="H328" s="6">
        <f>IF('Settings'!$B$11="Scenario",ROUND(E328*G328*IFERROR(SUMIF('Pricing &amp; promotions'!$A$6:$A$8,L328,'Pricing &amp; promotions'!$B$6:$B$8)/100,0),2),J328)</f>
        <v>8.9</v>
      </c>
      <c r="I328" s="6">
        <f>ROUND((E328*G328-H328)/IF(OR(K328=TRUE,K328="TRUE",K328="YES",K328=1),1+'Settings'!$B$6/100,1),2)</f>
        <v>66.2</v>
      </c>
      <c r="J328" s="8">
        <v>8.9</v>
      </c>
      <c r="K328" s="3" t="inlineStr">
        <is>
          <t xml:space="preserve">TRUE</t>
        </is>
      </c>
      <c r="L328" s="3" t="inlineStr">
        <is>
          <t xml:space="preserve">WELCOME10</t>
        </is>
      </c>
      <c r="M328" s="6">
        <f>ROUND(E328*G328-H328,2)</f>
        <v>80.1</v>
      </c>
      <c r="N328" s="5">
        <f>IF(COUNTIF($A$3:A328,A328)=1,1,0)</f>
        <v>1</v>
      </c>
      <c r="O328" s="6">
        <f>IF(N328=1,ROUND((SUMIFS($M$3:$M$1200,$A$3:$A$1200,A328)+'Settings'!$B$13)*'Settings'!$B$14/100+'Settings'!$B$15,2),0)</f>
        <v>1.5</v>
      </c>
    </row>
    <row r="329">
      <c r="A329" s="3" t="inlineStr">
        <is>
          <t xml:space="preserve">#1236</t>
        </is>
      </c>
      <c r="B329" s="3" t="inlineStr">
        <is>
          <t xml:space="preserve">2026-01-08</t>
        </is>
      </c>
      <c r="C329" s="3" t="inlineStr">
        <is>
          <t xml:space="preserve">SKU-D</t>
        </is>
      </c>
      <c r="D329" s="3" t="inlineStr">
        <is>
          <t xml:space="preserve">Daily Duo</t>
        </is>
      </c>
      <c r="E329" s="6">
        <f>IF('Settings'!$B$11="Scenario",IFERROR(INDEX('Catalogue'!$E$3:$E$100,MATCH(C329,'Catalogue'!$B$3:$B$100,0)),F329),F329)</f>
        <v>79</v>
      </c>
      <c r="F329" s="8">
        <v>79</v>
      </c>
      <c r="G329" s="3">
        <v>1</v>
      </c>
      <c r="H329" s="6">
        <f>IF('Settings'!$B$11="Scenario",ROUND(E329*G329*IFERROR(SUMIF('Pricing &amp; promotions'!$A$6:$A$8,L329,'Pricing &amp; promotions'!$B$6:$B$8)/100,0),2),J329)</f>
        <v>7.9</v>
      </c>
      <c r="I329" s="6">
        <f>ROUND((E329*G329-H329)/IF(OR(K329=TRUE,K329="TRUE",K329="YES",K329=1),1+'Settings'!$B$6/100,1),2)</f>
        <v>58.76</v>
      </c>
      <c r="J329" s="8">
        <v>7.9</v>
      </c>
      <c r="K329" s="3" t="inlineStr">
        <is>
          <t xml:space="preserve">TRUE</t>
        </is>
      </c>
      <c r="L329" s="3" t="inlineStr">
        <is>
          <t xml:space="preserve">WELCOME10</t>
        </is>
      </c>
      <c r="M329" s="6">
        <f>ROUND(E329*G329-H329,2)</f>
        <v>71.1</v>
      </c>
      <c r="N329" s="5">
        <f>IF(COUNTIF($A$3:A329,A329)=1,1,0)</f>
        <v>1</v>
      </c>
      <c r="O329" s="6">
        <f>IF(N329=1,ROUND((SUMIFS($M$3:$M$1200,$A$3:$A$1200,A329)+'Settings'!$B$13)*'Settings'!$B$14/100+'Settings'!$B$15,2),0)</f>
        <v>1.36</v>
      </c>
    </row>
    <row r="330">
      <c r="A330" s="3" t="inlineStr">
        <is>
          <t xml:space="preserve">#1237</t>
        </is>
      </c>
      <c r="B330" s="3" t="inlineStr">
        <is>
          <t xml:space="preserve">2026-01-09</t>
        </is>
      </c>
      <c r="C330" s="3" t="inlineStr">
        <is>
          <t xml:space="preserve">SKU-A</t>
        </is>
      </c>
      <c r="D330" s="3" t="inlineStr">
        <is>
          <t xml:space="preserve">Renewal Serum</t>
        </is>
      </c>
      <c r="E330" s="6">
        <f>IF('Settings'!$B$11="Scenario",IFERROR(INDEX('Catalogue'!$E$3:$E$100,MATCH(C330,'Catalogue'!$B$3:$B$100,0)),F330),F330)</f>
        <v>69.9</v>
      </c>
      <c r="F330" s="8">
        <v>69.9</v>
      </c>
      <c r="G330" s="3">
        <v>1</v>
      </c>
      <c r="H330" s="6">
        <f>IF('Settings'!$B$11="Scenario",ROUND(E330*G330*IFERROR(SUMIF('Pricing &amp; promotions'!$A$6:$A$8,L330,'Pricing &amp; promotions'!$B$6:$B$8)/100,0),2),J330)</f>
        <v>10.49</v>
      </c>
      <c r="I330" s="6">
        <f>ROUND((E330*G330-H330)/IF(OR(K330=TRUE,K330="TRUE",K330="YES",K330=1),1+'Settings'!$B$6/100,1),2)</f>
        <v>49.1</v>
      </c>
      <c r="J330" s="8">
        <v>10.49</v>
      </c>
      <c r="K330" s="3" t="inlineStr">
        <is>
          <t xml:space="preserve">TRUE</t>
        </is>
      </c>
      <c r="L330" s="3" t="inlineStr">
        <is>
          <t xml:space="preserve">SUMMER15</t>
        </is>
      </c>
      <c r="M330" s="6">
        <f>ROUND(E330*G330-H330,2)</f>
        <v>59.41</v>
      </c>
      <c r="N330" s="5">
        <f>IF(COUNTIF($A$3:A330,A330)=1,1,0)</f>
        <v>1</v>
      </c>
      <c r="O330" s="6">
        <f>IF(N330=1,ROUND((SUMIFS($M$3:$M$1200,$A$3:$A$1200,A330)+'Settings'!$B$13)*'Settings'!$B$14/100+'Settings'!$B$15,2),0)</f>
        <v>1.19</v>
      </c>
    </row>
    <row r="331">
      <c r="A331" s="3" t="inlineStr">
        <is>
          <t xml:space="preserve">#1238</t>
        </is>
      </c>
      <c r="B331" s="3" t="inlineStr">
        <is>
          <t xml:space="preserve">2026-01-11</t>
        </is>
      </c>
      <c r="C331" s="3" t="inlineStr">
        <is>
          <t xml:space="preserve">SKU-A</t>
        </is>
      </c>
      <c r="D331" s="3" t="inlineStr">
        <is>
          <t xml:space="preserve">Renewal Serum</t>
        </is>
      </c>
      <c r="E331" s="6">
        <f>IF('Settings'!$B$11="Scenario",IFERROR(INDEX('Catalogue'!$E$3:$E$100,MATCH(C331,'Catalogue'!$B$3:$B$100,0)),F331),F331)</f>
        <v>69.9</v>
      </c>
      <c r="F331" s="8">
        <v>69.9</v>
      </c>
      <c r="G331" s="3">
        <v>2</v>
      </c>
      <c r="H331" s="6">
        <f>IF('Settings'!$B$11="Scenario",ROUND(E331*G331*IFERROR(SUMIF('Pricing &amp; promotions'!$A$6:$A$8,L331,'Pricing &amp; promotions'!$B$6:$B$8)/100,0),2),J331)</f>
        <v>0.0</v>
      </c>
      <c r="I331" s="6">
        <f>ROUND((E331*G331-H331)/IF(OR(K331=TRUE,K331="TRUE",K331="YES",K331=1),1+'Settings'!$B$6/100,1),2)</f>
        <v>115.54</v>
      </c>
      <c r="J331" s="8">
        <v>0.0</v>
      </c>
      <c r="K331" s="3" t="inlineStr">
        <is>
          <t xml:space="preserve">TRUE</t>
        </is>
      </c>
      <c r="L331" s="3"/>
      <c r="M331" s="6">
        <f>ROUND(E331*G331-H331,2)</f>
        <v>139.8</v>
      </c>
      <c r="N331" s="5">
        <f>IF(COUNTIF($A$3:A331,A331)=1,1,0)</f>
        <v>1</v>
      </c>
      <c r="O331" s="6">
        <f>IF(N331=1,ROUND((SUMIFS($M$3:$M$1200,$A$3:$A$1200,A331)+'Settings'!$B$13)*'Settings'!$B$14/100+'Settings'!$B$15,2),0)</f>
        <v>2.39</v>
      </c>
    </row>
    <row r="332">
      <c r="A332" s="3" t="inlineStr">
        <is>
          <t xml:space="preserve">#1239</t>
        </is>
      </c>
      <c r="B332" s="3" t="inlineStr">
        <is>
          <t xml:space="preserve">2026-01-11</t>
        </is>
      </c>
      <c r="C332" s="3" t="inlineStr">
        <is>
          <t xml:space="preserve">SKU-A</t>
        </is>
      </c>
      <c r="D332" s="3" t="inlineStr">
        <is>
          <t xml:space="preserve">Renewal Serum</t>
        </is>
      </c>
      <c r="E332" s="6">
        <f>IF('Settings'!$B$11="Scenario",IFERROR(INDEX('Catalogue'!$E$3:$E$100,MATCH(C332,'Catalogue'!$B$3:$B$100,0)),F332),F332)</f>
        <v>69.9</v>
      </c>
      <c r="F332" s="8">
        <v>69.9</v>
      </c>
      <c r="G332" s="3">
        <v>1</v>
      </c>
      <c r="H332" s="6">
        <f>IF('Settings'!$B$11="Scenario",ROUND(E332*G332*IFERROR(SUMIF('Pricing &amp; promotions'!$A$6:$A$8,L332,'Pricing &amp; promotions'!$B$6:$B$8)/100,0),2),J332)</f>
        <v>0.0</v>
      </c>
      <c r="I332" s="6">
        <f>ROUND((E332*G332-H332)/IF(OR(K332=TRUE,K332="TRUE",K332="YES",K332=1),1+'Settings'!$B$6/100,1),2)</f>
        <v>57.77</v>
      </c>
      <c r="J332" s="8">
        <v>0.0</v>
      </c>
      <c r="K332" s="3" t="inlineStr">
        <is>
          <t xml:space="preserve">TRUE</t>
        </is>
      </c>
      <c r="L332" s="3"/>
      <c r="M332" s="6">
        <f>ROUND(E332*G332-H332,2)</f>
        <v>69.9</v>
      </c>
      <c r="N332" s="5">
        <f>IF(COUNTIF($A$3:A332,A332)=1,1,0)</f>
        <v>1</v>
      </c>
      <c r="O332" s="6">
        <f>IF(N332=1,ROUND((SUMIFS($M$3:$M$1200,$A$3:$A$1200,A332)+'Settings'!$B$13)*'Settings'!$B$14/100+'Settings'!$B$15,2),0)</f>
        <v>1.34</v>
      </c>
    </row>
    <row r="333">
      <c r="A333" s="3" t="inlineStr">
        <is>
          <t xml:space="preserve">#1240</t>
        </is>
      </c>
      <c r="B333" s="3" t="inlineStr">
        <is>
          <t xml:space="preserve">2026-01-13</t>
        </is>
      </c>
      <c r="C333" s="3" t="inlineStr">
        <is>
          <t xml:space="preserve">SKU-G</t>
        </is>
      </c>
      <c r="D333" s="3" t="inlineStr">
        <is>
          <t xml:space="preserve">Daily Reset Set</t>
        </is>
      </c>
      <c r="E333" s="6">
        <f>IF('Settings'!$B$11="Scenario",IFERROR(INDEX('Catalogue'!$E$3:$E$100,MATCH(C333,'Catalogue'!$B$3:$B$100,0)),F333),F333)</f>
        <v>69</v>
      </c>
      <c r="F333" s="8">
        <v>69</v>
      </c>
      <c r="G333" s="3">
        <v>1</v>
      </c>
      <c r="H333" s="6">
        <f>IF('Settings'!$B$11="Scenario",ROUND(E333*G333*IFERROR(SUMIF('Pricing &amp; promotions'!$A$6:$A$8,L333,'Pricing &amp; promotions'!$B$6:$B$8)/100,0),2),J333)</f>
        <v>6.9</v>
      </c>
      <c r="I333" s="6">
        <f>ROUND((E333*G333-H333)/IF(OR(K333=TRUE,K333="TRUE",K333="YES",K333=1),1+'Settings'!$B$6/100,1),2)</f>
        <v>51.32</v>
      </c>
      <c r="J333" s="8">
        <v>6.9</v>
      </c>
      <c r="K333" s="3" t="inlineStr">
        <is>
          <t xml:space="preserve">TRUE</t>
        </is>
      </c>
      <c r="L333" s="3" t="inlineStr">
        <is>
          <t xml:space="preserve">WELCOME10</t>
        </is>
      </c>
      <c r="M333" s="6">
        <f>ROUND(E333*G333-H333,2)</f>
        <v>62.1</v>
      </c>
      <c r="N333" s="5">
        <f>IF(COUNTIF($A$3:A333,A333)=1,1,0)</f>
        <v>1</v>
      </c>
      <c r="O333" s="6">
        <f>IF(N333=1,ROUND((SUMIFS($M$3:$M$1200,$A$3:$A$1200,A333)+'Settings'!$B$13)*'Settings'!$B$14/100+'Settings'!$B$15,2),0)</f>
        <v>1.23</v>
      </c>
    </row>
    <row r="334">
      <c r="A334" s="3" t="inlineStr">
        <is>
          <t xml:space="preserve">#1241</t>
        </is>
      </c>
      <c r="B334" s="3" t="inlineStr">
        <is>
          <t xml:space="preserve">2026-01-13</t>
        </is>
      </c>
      <c r="C334" s="3" t="inlineStr">
        <is>
          <t xml:space="preserve">SKU-E</t>
        </is>
      </c>
      <c r="D334" s="3" t="inlineStr">
        <is>
          <t xml:space="preserve">Complete Ritual</t>
        </is>
      </c>
      <c r="E334" s="6">
        <f>IF('Settings'!$B$11="Scenario",IFERROR(INDEX('Catalogue'!$E$3:$E$100,MATCH(C334,'Catalogue'!$B$3:$B$100,0)),F334),F334)</f>
        <v>89</v>
      </c>
      <c r="F334" s="8">
        <v>89</v>
      </c>
      <c r="G334" s="3">
        <v>1</v>
      </c>
      <c r="H334" s="6">
        <f>IF('Settings'!$B$11="Scenario",ROUND(E334*G334*IFERROR(SUMIF('Pricing &amp; promotions'!$A$6:$A$8,L334,'Pricing &amp; promotions'!$B$6:$B$8)/100,0),2),J334)</f>
        <v>0.0</v>
      </c>
      <c r="I334" s="6">
        <f>ROUND((E334*G334-H334)/IF(OR(K334=TRUE,K334="TRUE",K334="YES",K334=1),1+'Settings'!$B$6/100,1),2)</f>
        <v>73.55</v>
      </c>
      <c r="J334" s="8">
        <v>0.0</v>
      </c>
      <c r="K334" s="3" t="inlineStr">
        <is>
          <t xml:space="preserve">TRUE</t>
        </is>
      </c>
      <c r="L334" s="3"/>
      <c r="M334" s="6">
        <f>ROUND(E334*G334-H334,2)</f>
        <v>89.0</v>
      </c>
      <c r="N334" s="5">
        <f>IF(COUNTIF($A$3:A334,A334)=1,1,0)</f>
        <v>1</v>
      </c>
      <c r="O334" s="6">
        <f>IF(N334=1,ROUND((SUMIFS($M$3:$M$1200,$A$3:$A$1200,A334)+'Settings'!$B$13)*'Settings'!$B$14/100+'Settings'!$B$15,2),0)</f>
        <v>3.85</v>
      </c>
    </row>
    <row r="335">
      <c r="A335" s="3" t="inlineStr">
        <is>
          <t xml:space="preserve">#1241</t>
        </is>
      </c>
      <c r="B335" s="3" t="inlineStr">
        <is>
          <t xml:space="preserve">2026-01-13</t>
        </is>
      </c>
      <c r="C335" s="3" t="inlineStr">
        <is>
          <t xml:space="preserve">SKU-D</t>
        </is>
      </c>
      <c r="D335" s="3" t="inlineStr">
        <is>
          <t xml:space="preserve">Daily Duo</t>
        </is>
      </c>
      <c r="E335" s="6">
        <f>IF('Settings'!$B$11="Scenario",IFERROR(INDEX('Catalogue'!$E$3:$E$100,MATCH(C335,'Catalogue'!$B$3:$B$100,0)),F335),F335)</f>
        <v>79</v>
      </c>
      <c r="F335" s="8">
        <v>79</v>
      </c>
      <c r="G335" s="3">
        <v>1</v>
      </c>
      <c r="H335" s="6">
        <f>IF('Settings'!$B$11="Scenario",ROUND(E335*G335*IFERROR(SUMIF('Pricing &amp; promotions'!$A$6:$A$8,L335,'Pricing &amp; promotions'!$B$6:$B$8)/100,0),2),J335)</f>
        <v>0.0</v>
      </c>
      <c r="I335" s="6">
        <f>ROUND((E335*G335-H335)/IF(OR(K335=TRUE,K335="TRUE",K335="YES",K335=1),1+'Settings'!$B$6/100,1),2)</f>
        <v>65.29</v>
      </c>
      <c r="J335" s="8">
        <v>0.0</v>
      </c>
      <c r="K335" s="3" t="inlineStr">
        <is>
          <t xml:space="preserve">TRUE</t>
        </is>
      </c>
      <c r="L335" s="3"/>
      <c r="M335" s="6">
        <f>ROUND(E335*G335-H335,2)</f>
        <v>79.0</v>
      </c>
      <c r="N335" s="5">
        <f>IF(COUNTIF($A$3:A335,A335)=1,1,0)</f>
        <v>0</v>
      </c>
      <c r="O335" s="6">
        <f>IF(N335=1,ROUND((SUMIFS($M$3:$M$1200,$A$3:$A$1200,A335)+'Settings'!$B$13)*'Settings'!$B$14/100+'Settings'!$B$15,2),0)</f>
        <v>0</v>
      </c>
    </row>
    <row r="336">
      <c r="A336" s="3" t="inlineStr">
        <is>
          <t xml:space="preserve">#1241</t>
        </is>
      </c>
      <c r="B336" s="3" t="inlineStr">
        <is>
          <t xml:space="preserve">2026-01-13</t>
        </is>
      </c>
      <c r="C336" s="3" t="inlineStr">
        <is>
          <t xml:space="preserve">SKU-G</t>
        </is>
      </c>
      <c r="D336" s="3" t="inlineStr">
        <is>
          <t xml:space="preserve">Daily Reset Set</t>
        </is>
      </c>
      <c r="E336" s="6">
        <f>IF('Settings'!$B$11="Scenario",IFERROR(INDEX('Catalogue'!$E$3:$E$100,MATCH(C336,'Catalogue'!$B$3:$B$100,0)),F336),F336)</f>
        <v>69</v>
      </c>
      <c r="F336" s="8">
        <v>69</v>
      </c>
      <c r="G336" s="3">
        <v>1</v>
      </c>
      <c r="H336" s="6">
        <f>IF('Settings'!$B$11="Scenario",ROUND(E336*G336*IFERROR(SUMIF('Pricing &amp; promotions'!$A$6:$A$8,L336,'Pricing &amp; promotions'!$B$6:$B$8)/100,0),2),J336)</f>
        <v>0.0</v>
      </c>
      <c r="I336" s="6">
        <f>ROUND((E336*G336-H336)/IF(OR(K336=TRUE,K336="TRUE",K336="YES",K336=1),1+'Settings'!$B$6/100,1),2)</f>
        <v>57.02</v>
      </c>
      <c r="J336" s="8">
        <v>0.0</v>
      </c>
      <c r="K336" s="3" t="inlineStr">
        <is>
          <t xml:space="preserve">TRUE</t>
        </is>
      </c>
      <c r="L336" s="3"/>
      <c r="M336" s="6">
        <f>ROUND(E336*G336-H336,2)</f>
        <v>69.0</v>
      </c>
      <c r="N336" s="5">
        <f>IF(COUNTIF($A$3:A336,A336)=1,1,0)</f>
        <v>0</v>
      </c>
      <c r="O336" s="6">
        <f>IF(N336=1,ROUND((SUMIFS($M$3:$M$1200,$A$3:$A$1200,A336)+'Settings'!$B$13)*'Settings'!$B$14/100+'Settings'!$B$15,2),0)</f>
        <v>0</v>
      </c>
    </row>
    <row r="337">
      <c r="A337" s="3" t="inlineStr">
        <is>
          <t xml:space="preserve">#1242</t>
        </is>
      </c>
      <c r="B337" s="3" t="inlineStr">
        <is>
          <t xml:space="preserve">2026-01-13</t>
        </is>
      </c>
      <c r="C337" s="3" t="inlineStr">
        <is>
          <t xml:space="preserve">SKU-E</t>
        </is>
      </c>
      <c r="D337" s="3" t="inlineStr">
        <is>
          <t xml:space="preserve">Complete Ritual</t>
        </is>
      </c>
      <c r="E337" s="6">
        <f>IF('Settings'!$B$11="Scenario",IFERROR(INDEX('Catalogue'!$E$3:$E$100,MATCH(C337,'Catalogue'!$B$3:$B$100,0)),F337),F337)</f>
        <v>89</v>
      </c>
      <c r="F337" s="8">
        <v>89</v>
      </c>
      <c r="G337" s="3">
        <v>1</v>
      </c>
      <c r="H337" s="6">
        <f>IF('Settings'!$B$11="Scenario",ROUND(E337*G337*IFERROR(SUMIF('Pricing &amp; promotions'!$A$6:$A$8,L337,'Pricing &amp; promotions'!$B$6:$B$8)/100,0),2),J337)</f>
        <v>8.9</v>
      </c>
      <c r="I337" s="6">
        <f>ROUND((E337*G337-H337)/IF(OR(K337=TRUE,K337="TRUE",K337="YES",K337=1),1+'Settings'!$B$6/100,1),2)</f>
        <v>66.2</v>
      </c>
      <c r="J337" s="8">
        <v>8.9</v>
      </c>
      <c r="K337" s="3" t="inlineStr">
        <is>
          <t xml:space="preserve">TRUE</t>
        </is>
      </c>
      <c r="L337" s="3" t="inlineStr">
        <is>
          <t xml:space="preserve">WELCOME10</t>
        </is>
      </c>
      <c r="M337" s="6">
        <f>ROUND(E337*G337-H337,2)</f>
        <v>80.1</v>
      </c>
      <c r="N337" s="5">
        <f>IF(COUNTIF($A$3:A337,A337)=1,1,0)</f>
        <v>1</v>
      </c>
      <c r="O337" s="6">
        <f>IF(N337=1,ROUND((SUMIFS($M$3:$M$1200,$A$3:$A$1200,A337)+'Settings'!$B$13)*'Settings'!$B$14/100+'Settings'!$B$15,2),0)</f>
        <v>1.5</v>
      </c>
    </row>
    <row r="338">
      <c r="A338" s="3" t="inlineStr">
        <is>
          <t xml:space="preserve">#1243</t>
        </is>
      </c>
      <c r="B338" s="3" t="inlineStr">
        <is>
          <t xml:space="preserve">2026-01-16</t>
        </is>
      </c>
      <c r="C338" s="3" t="inlineStr">
        <is>
          <t xml:space="preserve">SKU-E</t>
        </is>
      </c>
      <c r="D338" s="3" t="inlineStr">
        <is>
          <t xml:space="preserve">Complete Ritual</t>
        </is>
      </c>
      <c r="E338" s="6">
        <f>IF('Settings'!$B$11="Scenario",IFERROR(INDEX('Catalogue'!$E$3:$E$100,MATCH(C338,'Catalogue'!$B$3:$B$100,0)),F338),F338)</f>
        <v>89</v>
      </c>
      <c r="F338" s="8">
        <v>89</v>
      </c>
      <c r="G338" s="3">
        <v>2</v>
      </c>
      <c r="H338" s="6">
        <f>IF('Settings'!$B$11="Scenario",ROUND(E338*G338*IFERROR(SUMIF('Pricing &amp; promotions'!$A$6:$A$8,L338,'Pricing &amp; promotions'!$B$6:$B$8)/100,0),2),J338)</f>
        <v>0.0</v>
      </c>
      <c r="I338" s="6">
        <f>ROUND((E338*G338-H338)/IF(OR(K338=TRUE,K338="TRUE",K338="YES",K338=1),1+'Settings'!$B$6/100,1),2)</f>
        <v>147.11</v>
      </c>
      <c r="J338" s="8">
        <v>0.0</v>
      </c>
      <c r="K338" s="3" t="inlineStr">
        <is>
          <t xml:space="preserve">TRUE</t>
        </is>
      </c>
      <c r="L338" s="3"/>
      <c r="M338" s="6">
        <f>ROUND(E338*G338-H338,2)</f>
        <v>178.0</v>
      </c>
      <c r="N338" s="5">
        <f>IF(COUNTIF($A$3:A338,A338)=1,1,0)</f>
        <v>1</v>
      </c>
      <c r="O338" s="6">
        <f>IF(N338=1,ROUND((SUMIFS($M$3:$M$1200,$A$3:$A$1200,A338)+'Settings'!$B$13)*'Settings'!$B$14/100+'Settings'!$B$15,2),0)</f>
        <v>4.15</v>
      </c>
    </row>
    <row r="339">
      <c r="A339" s="3" t="inlineStr">
        <is>
          <t xml:space="preserve">#1243</t>
        </is>
      </c>
      <c r="B339" s="3" t="inlineStr">
        <is>
          <t xml:space="preserve">2026-01-16</t>
        </is>
      </c>
      <c r="C339" s="3" t="inlineStr">
        <is>
          <t xml:space="preserve">SKU-D</t>
        </is>
      </c>
      <c r="D339" s="3" t="inlineStr">
        <is>
          <t xml:space="preserve">Daily Duo</t>
        </is>
      </c>
      <c r="E339" s="6">
        <f>IF('Settings'!$B$11="Scenario",IFERROR(INDEX('Catalogue'!$E$3:$E$100,MATCH(C339,'Catalogue'!$B$3:$B$100,0)),F339),F339)</f>
        <v>79</v>
      </c>
      <c r="F339" s="8">
        <v>79</v>
      </c>
      <c r="G339" s="3">
        <v>1</v>
      </c>
      <c r="H339" s="6">
        <f>IF('Settings'!$B$11="Scenario",ROUND(E339*G339*IFERROR(SUMIF('Pricing &amp; promotions'!$A$6:$A$8,L339,'Pricing &amp; promotions'!$B$6:$B$8)/100,0),2),J339)</f>
        <v>0.0</v>
      </c>
      <c r="I339" s="6">
        <f>ROUND((E339*G339-H339)/IF(OR(K339=TRUE,K339="TRUE",K339="YES",K339=1),1+'Settings'!$B$6/100,1),2)</f>
        <v>65.29</v>
      </c>
      <c r="J339" s="8">
        <v>0.0</v>
      </c>
      <c r="K339" s="3" t="inlineStr">
        <is>
          <t xml:space="preserve">TRUE</t>
        </is>
      </c>
      <c r="L339" s="3"/>
      <c r="M339" s="6">
        <f>ROUND(E339*G339-H339,2)</f>
        <v>79.0</v>
      </c>
      <c r="N339" s="5">
        <f>IF(COUNTIF($A$3:A339,A339)=1,1,0)</f>
        <v>0</v>
      </c>
      <c r="O339" s="6">
        <f>IF(N339=1,ROUND((SUMIFS($M$3:$M$1200,$A$3:$A$1200,A339)+'Settings'!$B$13)*'Settings'!$B$14/100+'Settings'!$B$15,2),0)</f>
        <v>0</v>
      </c>
    </row>
    <row r="340">
      <c r="A340" s="3" t="inlineStr">
        <is>
          <t xml:space="preserve">#1244</t>
        </is>
      </c>
      <c r="B340" s="3" t="inlineStr">
        <is>
          <t xml:space="preserve">2026-01-16</t>
        </is>
      </c>
      <c r="C340" s="3" t="inlineStr">
        <is>
          <t xml:space="preserve">SKU-A</t>
        </is>
      </c>
      <c r="D340" s="3" t="inlineStr">
        <is>
          <t xml:space="preserve">Renewal Serum</t>
        </is>
      </c>
      <c r="E340" s="6">
        <f>IF('Settings'!$B$11="Scenario",IFERROR(INDEX('Catalogue'!$E$3:$E$100,MATCH(C340,'Catalogue'!$B$3:$B$100,0)),F340),F340)</f>
        <v>69.9</v>
      </c>
      <c r="F340" s="8">
        <v>69.9</v>
      </c>
      <c r="G340" s="3">
        <v>1</v>
      </c>
      <c r="H340" s="6">
        <f>IF('Settings'!$B$11="Scenario",ROUND(E340*G340*IFERROR(SUMIF('Pricing &amp; promotions'!$A$6:$A$8,L340,'Pricing &amp; promotions'!$B$6:$B$8)/100,0),2),J340)</f>
        <v>0.0</v>
      </c>
      <c r="I340" s="6">
        <f>ROUND((E340*G340-H340)/IF(OR(K340=TRUE,K340="TRUE",K340="YES",K340=1),1+'Settings'!$B$6/100,1),2)</f>
        <v>57.77</v>
      </c>
      <c r="J340" s="8">
        <v>0.0</v>
      </c>
      <c r="K340" s="3" t="inlineStr">
        <is>
          <t xml:space="preserve">TRUE</t>
        </is>
      </c>
      <c r="L340" s="3"/>
      <c r="M340" s="6">
        <f>ROUND(E340*G340-H340,2)</f>
        <v>69.9</v>
      </c>
      <c r="N340" s="5">
        <f>IF(COUNTIF($A$3:A340,A340)=1,1,0)</f>
        <v>1</v>
      </c>
      <c r="O340" s="6">
        <f>IF(N340=1,ROUND((SUMIFS($M$3:$M$1200,$A$3:$A$1200,A340)+'Settings'!$B$13)*'Settings'!$B$14/100+'Settings'!$B$15,2),0)</f>
        <v>2.38</v>
      </c>
    </row>
    <row r="341">
      <c r="A341" s="3" t="inlineStr">
        <is>
          <t xml:space="preserve">#1244</t>
        </is>
      </c>
      <c r="B341" s="3" t="inlineStr">
        <is>
          <t xml:space="preserve">2026-01-16</t>
        </is>
      </c>
      <c r="C341" s="3" t="inlineStr">
        <is>
          <t xml:space="preserve">SKU-G</t>
        </is>
      </c>
      <c r="D341" s="3" t="inlineStr">
        <is>
          <t xml:space="preserve">Daily Reset Set</t>
        </is>
      </c>
      <c r="E341" s="6">
        <f>IF('Settings'!$B$11="Scenario",IFERROR(INDEX('Catalogue'!$E$3:$E$100,MATCH(C341,'Catalogue'!$B$3:$B$100,0)),F341),F341)</f>
        <v>69</v>
      </c>
      <c r="F341" s="8">
        <v>69</v>
      </c>
      <c r="G341" s="3">
        <v>1</v>
      </c>
      <c r="H341" s="6">
        <f>IF('Settings'!$B$11="Scenario",ROUND(E341*G341*IFERROR(SUMIF('Pricing &amp; promotions'!$A$6:$A$8,L341,'Pricing &amp; promotions'!$B$6:$B$8)/100,0),2),J341)</f>
        <v>0.0</v>
      </c>
      <c r="I341" s="6">
        <f>ROUND((E341*G341-H341)/IF(OR(K341=TRUE,K341="TRUE",K341="YES",K341=1),1+'Settings'!$B$6/100,1),2)</f>
        <v>57.02</v>
      </c>
      <c r="J341" s="8">
        <v>0.0</v>
      </c>
      <c r="K341" s="3" t="inlineStr">
        <is>
          <t xml:space="preserve">TRUE</t>
        </is>
      </c>
      <c r="L341" s="3"/>
      <c r="M341" s="6">
        <f>ROUND(E341*G341-H341,2)</f>
        <v>69.0</v>
      </c>
      <c r="N341" s="5">
        <f>IF(COUNTIF($A$3:A341,A341)=1,1,0)</f>
        <v>0</v>
      </c>
      <c r="O341" s="6">
        <f>IF(N341=1,ROUND((SUMIFS($M$3:$M$1200,$A$3:$A$1200,A341)+'Settings'!$B$13)*'Settings'!$B$14/100+'Settings'!$B$15,2),0)</f>
        <v>0</v>
      </c>
    </row>
    <row r="342">
      <c r="A342" s="3" t="inlineStr">
        <is>
          <t xml:space="preserve">#1245</t>
        </is>
      </c>
      <c r="B342" s="3" t="inlineStr">
        <is>
          <t xml:space="preserve">2026-01-17</t>
        </is>
      </c>
      <c r="C342" s="3" t="inlineStr">
        <is>
          <t xml:space="preserve">SKU-E</t>
        </is>
      </c>
      <c r="D342" s="3" t="inlineStr">
        <is>
          <t xml:space="preserve">Complete Ritual</t>
        </is>
      </c>
      <c r="E342" s="6">
        <f>IF('Settings'!$B$11="Scenario",IFERROR(INDEX('Catalogue'!$E$3:$E$100,MATCH(C342,'Catalogue'!$B$3:$B$100,0)),F342),F342)</f>
        <v>89</v>
      </c>
      <c r="F342" s="8">
        <v>89</v>
      </c>
      <c r="G342" s="3">
        <v>1</v>
      </c>
      <c r="H342" s="6">
        <f>IF('Settings'!$B$11="Scenario",ROUND(E342*G342*IFERROR(SUMIF('Pricing &amp; promotions'!$A$6:$A$8,L342,'Pricing &amp; promotions'!$B$6:$B$8)/100,0),2),J342)</f>
        <v>0.0</v>
      </c>
      <c r="I342" s="6">
        <f>ROUND((E342*G342-H342)/IF(OR(K342=TRUE,K342="TRUE",K342="YES",K342=1),1+'Settings'!$B$6/100,1),2)</f>
        <v>73.55</v>
      </c>
      <c r="J342" s="8">
        <v>0.0</v>
      </c>
      <c r="K342" s="3" t="inlineStr">
        <is>
          <t xml:space="preserve">TRUE</t>
        </is>
      </c>
      <c r="L342" s="3"/>
      <c r="M342" s="6">
        <f>ROUND(E342*G342-H342,2)</f>
        <v>89.0</v>
      </c>
      <c r="N342" s="5">
        <f>IF(COUNTIF($A$3:A342,A342)=1,1,0)</f>
        <v>1</v>
      </c>
      <c r="O342" s="6">
        <f>IF(N342=1,ROUND((SUMIFS($M$3:$M$1200,$A$3:$A$1200,A342)+'Settings'!$B$13)*'Settings'!$B$14/100+'Settings'!$B$15,2),0)</f>
        <v>1.63</v>
      </c>
    </row>
    <row r="343">
      <c r="A343" s="3" t="inlineStr">
        <is>
          <t xml:space="preserve">#1246</t>
        </is>
      </c>
      <c r="B343" s="3" t="inlineStr">
        <is>
          <t xml:space="preserve">2026-01-18</t>
        </is>
      </c>
      <c r="C343" s="3" t="inlineStr">
        <is>
          <t xml:space="preserve">SKU-D</t>
        </is>
      </c>
      <c r="D343" s="3" t="inlineStr">
        <is>
          <t xml:space="preserve">Daily Duo</t>
        </is>
      </c>
      <c r="E343" s="6">
        <f>IF('Settings'!$B$11="Scenario",IFERROR(INDEX('Catalogue'!$E$3:$E$100,MATCH(C343,'Catalogue'!$B$3:$B$100,0)),F343),F343)</f>
        <v>79</v>
      </c>
      <c r="F343" s="8">
        <v>79</v>
      </c>
      <c r="G343" s="3">
        <v>2</v>
      </c>
      <c r="H343" s="6">
        <f>IF('Settings'!$B$11="Scenario",ROUND(E343*G343*IFERROR(SUMIF('Pricing &amp; promotions'!$A$6:$A$8,L343,'Pricing &amp; promotions'!$B$6:$B$8)/100,0),2),J343)</f>
        <v>0.0</v>
      </c>
      <c r="I343" s="6">
        <f>ROUND((E343*G343-H343)/IF(OR(K343=TRUE,K343="TRUE",K343="YES",K343=1),1+'Settings'!$B$6/100,1),2)</f>
        <v>130.58</v>
      </c>
      <c r="J343" s="8">
        <v>0.0</v>
      </c>
      <c r="K343" s="3" t="inlineStr">
        <is>
          <t xml:space="preserve">TRUE</t>
        </is>
      </c>
      <c r="L343" s="3"/>
      <c r="M343" s="6">
        <f>ROUND(E343*G343-H343,2)</f>
        <v>158.0</v>
      </c>
      <c r="N343" s="5">
        <f>IF(COUNTIF($A$3:A343,A343)=1,1,0)</f>
        <v>1</v>
      </c>
      <c r="O343" s="6">
        <f>IF(N343=1,ROUND((SUMIFS($M$3:$M$1200,$A$3:$A$1200,A343)+'Settings'!$B$13)*'Settings'!$B$14/100+'Settings'!$B$15,2),0)</f>
        <v>4.0</v>
      </c>
    </row>
    <row r="344">
      <c r="A344" s="3" t="inlineStr">
        <is>
          <t xml:space="preserve">#1246</t>
        </is>
      </c>
      <c r="B344" s="3" t="inlineStr">
        <is>
          <t xml:space="preserve">2026-01-18</t>
        </is>
      </c>
      <c r="C344" s="3" t="inlineStr">
        <is>
          <t xml:space="preserve">SKU-E</t>
        </is>
      </c>
      <c r="D344" s="3" t="inlineStr">
        <is>
          <t xml:space="preserve">Complete Ritual</t>
        </is>
      </c>
      <c r="E344" s="6">
        <f>IF('Settings'!$B$11="Scenario",IFERROR(INDEX('Catalogue'!$E$3:$E$100,MATCH(C344,'Catalogue'!$B$3:$B$100,0)),F344),F344)</f>
        <v>89</v>
      </c>
      <c r="F344" s="8">
        <v>89</v>
      </c>
      <c r="G344" s="3">
        <v>1</v>
      </c>
      <c r="H344" s="6">
        <f>IF('Settings'!$B$11="Scenario",ROUND(E344*G344*IFERROR(SUMIF('Pricing &amp; promotions'!$A$6:$A$8,L344,'Pricing &amp; promotions'!$B$6:$B$8)/100,0),2),J344)</f>
        <v>0.0</v>
      </c>
      <c r="I344" s="6">
        <f>ROUND((E344*G344-H344)/IF(OR(K344=TRUE,K344="TRUE",K344="YES",K344=1),1+'Settings'!$B$6/100,1),2)</f>
        <v>73.55</v>
      </c>
      <c r="J344" s="8">
        <v>0.0</v>
      </c>
      <c r="K344" s="3" t="inlineStr">
        <is>
          <t xml:space="preserve">TRUE</t>
        </is>
      </c>
      <c r="L344" s="3"/>
      <c r="M344" s="6">
        <f>ROUND(E344*G344-H344,2)</f>
        <v>89.0</v>
      </c>
      <c r="N344" s="5">
        <f>IF(COUNTIF($A$3:A344,A344)=1,1,0)</f>
        <v>0</v>
      </c>
      <c r="O344" s="6">
        <f>IF(N344=1,ROUND((SUMIFS($M$3:$M$1200,$A$3:$A$1200,A344)+'Settings'!$B$13)*'Settings'!$B$14/100+'Settings'!$B$15,2),0)</f>
        <v>0</v>
      </c>
    </row>
    <row r="345">
      <c r="A345" s="3" t="inlineStr">
        <is>
          <t xml:space="preserve">#1247</t>
        </is>
      </c>
      <c r="B345" s="3" t="inlineStr">
        <is>
          <t xml:space="preserve">2026-01-19</t>
        </is>
      </c>
      <c r="C345" s="3" t="inlineStr">
        <is>
          <t xml:space="preserve">SKU-B</t>
        </is>
      </c>
      <c r="D345" s="3" t="inlineStr">
        <is>
          <t xml:space="preserve">Barrier Balm</t>
        </is>
      </c>
      <c r="E345" s="6">
        <f>IF('Settings'!$B$11="Scenario",IFERROR(INDEX('Catalogue'!$E$3:$E$100,MATCH(C345,'Catalogue'!$B$3:$B$100,0)),F345),F345)</f>
        <v>19</v>
      </c>
      <c r="F345" s="8">
        <v>18</v>
      </c>
      <c r="G345" s="3">
        <v>2</v>
      </c>
      <c r="H345" s="6">
        <f>IF('Settings'!$B$11="Scenario",ROUND(E345*G345*IFERROR(SUMIF('Pricing &amp; promotions'!$A$6:$A$8,L345,'Pricing &amp; promotions'!$B$6:$B$8)/100,0),2),J345)</f>
        <v>3.8</v>
      </c>
      <c r="I345" s="6">
        <f>ROUND((E345*G345-H345)/IF(OR(K345=TRUE,K345="TRUE",K345="YES",K345=1),1+'Settings'!$B$6/100,1),2)</f>
        <v>28.26</v>
      </c>
      <c r="J345" s="8">
        <v>3.6</v>
      </c>
      <c r="K345" s="3" t="inlineStr">
        <is>
          <t xml:space="preserve">TRUE</t>
        </is>
      </c>
      <c r="L345" s="3" t="inlineStr">
        <is>
          <t xml:space="preserve">WELCOME10</t>
        </is>
      </c>
      <c r="M345" s="6">
        <f>ROUND(E345*G345-H345,2)</f>
        <v>34.2</v>
      </c>
      <c r="N345" s="5">
        <f>IF(COUNTIF($A$3:A345,A345)=1,1,0)</f>
        <v>1</v>
      </c>
      <c r="O345" s="6">
        <f>IF(N345=1,ROUND((SUMIFS($M$3:$M$1200,$A$3:$A$1200,A345)+'Settings'!$B$13)*'Settings'!$B$14/100+'Settings'!$B$15,2),0)</f>
        <v>1.75</v>
      </c>
    </row>
    <row r="346">
      <c r="A346" s="3" t="inlineStr">
        <is>
          <t xml:space="preserve">#1247</t>
        </is>
      </c>
      <c r="B346" s="3" t="inlineStr">
        <is>
          <t xml:space="preserve">2026-01-19</t>
        </is>
      </c>
      <c r="C346" s="3" t="inlineStr">
        <is>
          <t xml:space="preserve">SKU-A</t>
        </is>
      </c>
      <c r="D346" s="3" t="inlineStr">
        <is>
          <t xml:space="preserve">Renewal Serum</t>
        </is>
      </c>
      <c r="E346" s="6">
        <f>IF('Settings'!$B$11="Scenario",IFERROR(INDEX('Catalogue'!$E$3:$E$100,MATCH(C346,'Catalogue'!$B$3:$B$100,0)),F346),F346)</f>
        <v>69.9</v>
      </c>
      <c r="F346" s="8">
        <v>69.9</v>
      </c>
      <c r="G346" s="3">
        <v>1</v>
      </c>
      <c r="H346" s="6">
        <f>IF('Settings'!$B$11="Scenario",ROUND(E346*G346*IFERROR(SUMIF('Pricing &amp; promotions'!$A$6:$A$8,L346,'Pricing &amp; promotions'!$B$6:$B$8)/100,0),2),J346)</f>
        <v>6.99</v>
      </c>
      <c r="I346" s="6">
        <f>ROUND((E346*G346-H346)/IF(OR(K346=TRUE,K346="TRUE",K346="YES",K346=1),1+'Settings'!$B$6/100,1),2)</f>
        <v>51.99</v>
      </c>
      <c r="J346" s="8">
        <v>6.99</v>
      </c>
      <c r="K346" s="3" t="inlineStr">
        <is>
          <t xml:space="preserve">TRUE</t>
        </is>
      </c>
      <c r="L346" s="3" t="inlineStr">
        <is>
          <t xml:space="preserve">WELCOME10</t>
        </is>
      </c>
      <c r="M346" s="6">
        <f>ROUND(E346*G346-H346,2)</f>
        <v>62.91</v>
      </c>
      <c r="N346" s="5">
        <f>IF(COUNTIF($A$3:A346,A346)=1,1,0)</f>
        <v>0</v>
      </c>
      <c r="O346" s="6">
        <f>IF(N346=1,ROUND((SUMIFS($M$3:$M$1200,$A$3:$A$1200,A346)+'Settings'!$B$13)*'Settings'!$B$14/100+'Settings'!$B$15,2),0)</f>
        <v>0</v>
      </c>
    </row>
    <row r="347">
      <c r="A347" s="3" t="inlineStr">
        <is>
          <t xml:space="preserve">#1248</t>
        </is>
      </c>
      <c r="B347" s="3" t="inlineStr">
        <is>
          <t xml:space="preserve">2026-01-19</t>
        </is>
      </c>
      <c r="C347" s="3" t="inlineStr">
        <is>
          <t xml:space="preserve">SKU-A</t>
        </is>
      </c>
      <c r="D347" s="3" t="inlineStr">
        <is>
          <t xml:space="preserve">Renewal Serum</t>
        </is>
      </c>
      <c r="E347" s="6">
        <f>IF('Settings'!$B$11="Scenario",IFERROR(INDEX('Catalogue'!$E$3:$E$100,MATCH(C347,'Catalogue'!$B$3:$B$100,0)),F347),F347)</f>
        <v>69.9</v>
      </c>
      <c r="F347" s="8">
        <v>69.9</v>
      </c>
      <c r="G347" s="3">
        <v>1</v>
      </c>
      <c r="H347" s="6">
        <f>IF('Settings'!$B$11="Scenario",ROUND(E347*G347*IFERROR(SUMIF('Pricing &amp; promotions'!$A$6:$A$8,L347,'Pricing &amp; promotions'!$B$6:$B$8)/100,0),2),J347)</f>
        <v>6.99</v>
      </c>
      <c r="I347" s="6">
        <f>ROUND((E347*G347-H347)/IF(OR(K347=TRUE,K347="TRUE",K347="YES",K347=1),1+'Settings'!$B$6/100,1),2)</f>
        <v>51.99</v>
      </c>
      <c r="J347" s="8">
        <v>6.99</v>
      </c>
      <c r="K347" s="3" t="inlineStr">
        <is>
          <t xml:space="preserve">TRUE</t>
        </is>
      </c>
      <c r="L347" s="3" t="inlineStr">
        <is>
          <t xml:space="preserve">WELCOME10</t>
        </is>
      </c>
      <c r="M347" s="6">
        <f>ROUND(E347*G347-H347,2)</f>
        <v>62.91</v>
      </c>
      <c r="N347" s="5">
        <f>IF(COUNTIF($A$3:A347,A347)=1,1,0)</f>
        <v>1</v>
      </c>
      <c r="O347" s="6">
        <f>IF(N347=1,ROUND((SUMIFS($M$3:$M$1200,$A$3:$A$1200,A347)+'Settings'!$B$13)*'Settings'!$B$14/100+'Settings'!$B$15,2),0)</f>
        <v>1.24</v>
      </c>
    </row>
    <row r="348">
      <c r="A348" s="3" t="inlineStr">
        <is>
          <t xml:space="preserve">#1249</t>
        </is>
      </c>
      <c r="B348" s="3" t="inlineStr">
        <is>
          <t xml:space="preserve">2026-01-19</t>
        </is>
      </c>
      <c r="C348" s="3" t="inlineStr">
        <is>
          <t xml:space="preserve">SKU-E</t>
        </is>
      </c>
      <c r="D348" s="3" t="inlineStr">
        <is>
          <t xml:space="preserve">Complete Ritual</t>
        </is>
      </c>
      <c r="E348" s="6">
        <f>IF('Settings'!$B$11="Scenario",IFERROR(INDEX('Catalogue'!$E$3:$E$100,MATCH(C348,'Catalogue'!$B$3:$B$100,0)),F348),F348)</f>
        <v>89</v>
      </c>
      <c r="F348" s="8">
        <v>89</v>
      </c>
      <c r="G348" s="3">
        <v>1</v>
      </c>
      <c r="H348" s="6">
        <f>IF('Settings'!$B$11="Scenario",ROUND(E348*G348*IFERROR(SUMIF('Pricing &amp; promotions'!$A$6:$A$8,L348,'Pricing &amp; promotions'!$B$6:$B$8)/100,0),2),J348)</f>
        <v>8.9</v>
      </c>
      <c r="I348" s="6">
        <f>ROUND((E348*G348-H348)/IF(OR(K348=TRUE,K348="TRUE",K348="YES",K348=1),1+'Settings'!$B$6/100,1),2)</f>
        <v>66.2</v>
      </c>
      <c r="J348" s="8">
        <v>8.9</v>
      </c>
      <c r="K348" s="3" t="inlineStr">
        <is>
          <t xml:space="preserve">TRUE</t>
        </is>
      </c>
      <c r="L348" s="3" t="inlineStr">
        <is>
          <t xml:space="preserve">WELCOME10</t>
        </is>
      </c>
      <c r="M348" s="6">
        <f>ROUND(E348*G348-H348,2)</f>
        <v>80.1</v>
      </c>
      <c r="N348" s="5">
        <f>IF(COUNTIF($A$3:A348,A348)=1,1,0)</f>
        <v>1</v>
      </c>
      <c r="O348" s="6">
        <f>IF(N348=1,ROUND((SUMIFS($M$3:$M$1200,$A$3:$A$1200,A348)+'Settings'!$B$13)*'Settings'!$B$14/100+'Settings'!$B$15,2),0)</f>
        <v>1.5</v>
      </c>
    </row>
    <row r="349">
      <c r="A349" s="3" t="inlineStr">
        <is>
          <t xml:space="preserve">#1250</t>
        </is>
      </c>
      <c r="B349" s="3" t="inlineStr">
        <is>
          <t xml:space="preserve">2026-01-20</t>
        </is>
      </c>
      <c r="C349" s="3" t="inlineStr">
        <is>
          <t xml:space="preserve">SKU-A</t>
        </is>
      </c>
      <c r="D349" s="3" t="inlineStr">
        <is>
          <t xml:space="preserve">Renewal Serum</t>
        </is>
      </c>
      <c r="E349" s="6">
        <f>IF('Settings'!$B$11="Scenario",IFERROR(INDEX('Catalogue'!$E$3:$E$100,MATCH(C349,'Catalogue'!$B$3:$B$100,0)),F349),F349)</f>
        <v>69.9</v>
      </c>
      <c r="F349" s="8">
        <v>69.9</v>
      </c>
      <c r="G349" s="3">
        <v>1</v>
      </c>
      <c r="H349" s="6">
        <f>IF('Settings'!$B$11="Scenario",ROUND(E349*G349*IFERROR(SUMIF('Pricing &amp; promotions'!$A$6:$A$8,L349,'Pricing &amp; promotions'!$B$6:$B$8)/100,0),2),J349)</f>
        <v>0.0</v>
      </c>
      <c r="I349" s="6">
        <f>ROUND((E349*G349-H349)/IF(OR(K349=TRUE,K349="TRUE",K349="YES",K349=1),1+'Settings'!$B$6/100,1),2)</f>
        <v>57.77</v>
      </c>
      <c r="J349" s="8">
        <v>0.0</v>
      </c>
      <c r="K349" s="3" t="inlineStr">
        <is>
          <t xml:space="preserve">TRUE</t>
        </is>
      </c>
      <c r="L349" s="3"/>
      <c r="M349" s="6">
        <f>ROUND(E349*G349-H349,2)</f>
        <v>69.9</v>
      </c>
      <c r="N349" s="5">
        <f>IF(COUNTIF($A$3:A349,A349)=1,1,0)</f>
        <v>1</v>
      </c>
      <c r="O349" s="6">
        <f>IF(N349=1,ROUND((SUMIFS($M$3:$M$1200,$A$3:$A$1200,A349)+'Settings'!$B$13)*'Settings'!$B$14/100+'Settings'!$B$15,2),0)</f>
        <v>1.34</v>
      </c>
    </row>
    <row r="350">
      <c r="A350" s="3" t="inlineStr">
        <is>
          <t xml:space="preserve">#1251</t>
        </is>
      </c>
      <c r="B350" s="3" t="inlineStr">
        <is>
          <t xml:space="preserve">2026-01-21</t>
        </is>
      </c>
      <c r="C350" s="3" t="inlineStr">
        <is>
          <t xml:space="preserve">SKU-A</t>
        </is>
      </c>
      <c r="D350" s="3" t="inlineStr">
        <is>
          <t xml:space="preserve">Renewal Serum</t>
        </is>
      </c>
      <c r="E350" s="6">
        <f>IF('Settings'!$B$11="Scenario",IFERROR(INDEX('Catalogue'!$E$3:$E$100,MATCH(C350,'Catalogue'!$B$3:$B$100,0)),F350),F350)</f>
        <v>69.9</v>
      </c>
      <c r="F350" s="8">
        <v>69.9</v>
      </c>
      <c r="G350" s="3">
        <v>2</v>
      </c>
      <c r="H350" s="6">
        <f>IF('Settings'!$B$11="Scenario",ROUND(E350*G350*IFERROR(SUMIF('Pricing &amp; promotions'!$A$6:$A$8,L350,'Pricing &amp; promotions'!$B$6:$B$8)/100,0),2),J350)</f>
        <v>0.0</v>
      </c>
      <c r="I350" s="6">
        <f>ROUND((E350*G350-H350)/IF(OR(K350=TRUE,K350="TRUE",K350="YES",K350=1),1+'Settings'!$B$6/100,1),2)</f>
        <v>115.54</v>
      </c>
      <c r="J350" s="8">
        <v>0.0</v>
      </c>
      <c r="K350" s="3" t="inlineStr">
        <is>
          <t xml:space="preserve">TRUE</t>
        </is>
      </c>
      <c r="L350" s="3"/>
      <c r="M350" s="6">
        <f>ROUND(E350*G350-H350,2)</f>
        <v>139.8</v>
      </c>
      <c r="N350" s="5">
        <f>IF(COUNTIF($A$3:A350,A350)=1,1,0)</f>
        <v>1</v>
      </c>
      <c r="O350" s="6">
        <f>IF(N350=1,ROUND((SUMIFS($M$3:$M$1200,$A$3:$A$1200,A350)+'Settings'!$B$13)*'Settings'!$B$14/100+'Settings'!$B$15,2),0)</f>
        <v>2.39</v>
      </c>
    </row>
    <row r="351">
      <c r="A351" s="3" t="inlineStr">
        <is>
          <t xml:space="preserve">#1252</t>
        </is>
      </c>
      <c r="B351" s="3" t="inlineStr">
        <is>
          <t xml:space="preserve">2026-01-21</t>
        </is>
      </c>
      <c r="C351" s="3" t="inlineStr">
        <is>
          <t xml:space="preserve">SKU-B</t>
        </is>
      </c>
      <c r="D351" s="3" t="inlineStr">
        <is>
          <t xml:space="preserve">Barrier Balm</t>
        </is>
      </c>
      <c r="E351" s="6">
        <f>IF('Settings'!$B$11="Scenario",IFERROR(INDEX('Catalogue'!$E$3:$E$100,MATCH(C351,'Catalogue'!$B$3:$B$100,0)),F351),F351)</f>
        <v>19</v>
      </c>
      <c r="F351" s="8">
        <v>18</v>
      </c>
      <c r="G351" s="3">
        <v>1</v>
      </c>
      <c r="H351" s="6">
        <f>IF('Settings'!$B$11="Scenario",ROUND(E351*G351*IFERROR(SUMIF('Pricing &amp; promotions'!$A$6:$A$8,L351,'Pricing &amp; promotions'!$B$6:$B$8)/100,0),2),J351)</f>
        <v>0.0</v>
      </c>
      <c r="I351" s="6">
        <f>ROUND((E351*G351-H351)/IF(OR(K351=TRUE,K351="TRUE",K351="YES",K351=1),1+'Settings'!$B$6/100,1),2)</f>
        <v>15.7</v>
      </c>
      <c r="J351" s="8">
        <v>0.0</v>
      </c>
      <c r="K351" s="3" t="inlineStr">
        <is>
          <t xml:space="preserve">TRUE</t>
        </is>
      </c>
      <c r="L351" s="3"/>
      <c r="M351" s="6">
        <f>ROUND(E351*G351-H351,2)</f>
        <v>19.0</v>
      </c>
      <c r="N351" s="5">
        <f>IF(COUNTIF($A$3:A351,A351)=1,1,0)</f>
        <v>1</v>
      </c>
      <c r="O351" s="6">
        <f>IF(N351=1,ROUND((SUMIFS($M$3:$M$1200,$A$3:$A$1200,A351)+'Settings'!$B$13)*'Settings'!$B$14/100+'Settings'!$B$15,2),0)</f>
        <v>0.58</v>
      </c>
    </row>
    <row r="352">
      <c r="A352" s="3" t="inlineStr">
        <is>
          <t xml:space="preserve">#1253</t>
        </is>
      </c>
      <c r="B352" s="3" t="inlineStr">
        <is>
          <t xml:space="preserve">2026-01-22</t>
        </is>
      </c>
      <c r="C352" s="3" t="inlineStr">
        <is>
          <t xml:space="preserve">SKU-E</t>
        </is>
      </c>
      <c r="D352" s="3" t="inlineStr">
        <is>
          <t xml:space="preserve">Complete Ritual</t>
        </is>
      </c>
      <c r="E352" s="6">
        <f>IF('Settings'!$B$11="Scenario",IFERROR(INDEX('Catalogue'!$E$3:$E$100,MATCH(C352,'Catalogue'!$B$3:$B$100,0)),F352),F352)</f>
        <v>89</v>
      </c>
      <c r="F352" s="8">
        <v>89</v>
      </c>
      <c r="G352" s="3">
        <v>1</v>
      </c>
      <c r="H352" s="6">
        <f>IF('Settings'!$B$11="Scenario",ROUND(E352*G352*IFERROR(SUMIF('Pricing &amp; promotions'!$A$6:$A$8,L352,'Pricing &amp; promotions'!$B$6:$B$8)/100,0),2),J352)</f>
        <v>0.0</v>
      </c>
      <c r="I352" s="6">
        <f>ROUND((E352*G352-H352)/IF(OR(K352=TRUE,K352="TRUE",K352="YES",K352=1),1+'Settings'!$B$6/100,1),2)</f>
        <v>73.55</v>
      </c>
      <c r="J352" s="8">
        <v>0.0</v>
      </c>
      <c r="K352" s="3" t="inlineStr">
        <is>
          <t xml:space="preserve">TRUE</t>
        </is>
      </c>
      <c r="L352" s="3"/>
      <c r="M352" s="6">
        <f>ROUND(E352*G352-H352,2)</f>
        <v>89.0</v>
      </c>
      <c r="N352" s="5">
        <f>IF(COUNTIF($A$3:A352,A352)=1,1,0)</f>
        <v>1</v>
      </c>
      <c r="O352" s="6">
        <f>IF(N352=1,ROUND((SUMIFS($M$3:$M$1200,$A$3:$A$1200,A352)+'Settings'!$B$13)*'Settings'!$B$14/100+'Settings'!$B$15,2),0)</f>
        <v>1.63</v>
      </c>
    </row>
    <row r="353">
      <c r="A353" s="3" t="inlineStr">
        <is>
          <t xml:space="preserve">#1254</t>
        </is>
      </c>
      <c r="B353" s="3" t="inlineStr">
        <is>
          <t xml:space="preserve">2026-01-22</t>
        </is>
      </c>
      <c r="C353" s="3" t="inlineStr">
        <is>
          <t xml:space="preserve">SKU-C</t>
        </is>
      </c>
      <c r="D353" s="3" t="inlineStr">
        <is>
          <t xml:space="preserve">Contour Stone</t>
        </is>
      </c>
      <c r="E353" s="6">
        <f>IF('Settings'!$B$11="Scenario",IFERROR(INDEX('Catalogue'!$E$3:$E$100,MATCH(C353,'Catalogue'!$B$3:$B$100,0)),F353),F353)</f>
        <v>29</v>
      </c>
      <c r="F353" s="8">
        <v>29</v>
      </c>
      <c r="G353" s="3">
        <v>2</v>
      </c>
      <c r="H353" s="6">
        <f>IF('Settings'!$B$11="Scenario",ROUND(E353*G353*IFERROR(SUMIF('Pricing &amp; promotions'!$A$6:$A$8,L353,'Pricing &amp; promotions'!$B$6:$B$8)/100,0),2),J353)</f>
        <v>0.0</v>
      </c>
      <c r="I353" s="6">
        <f>ROUND((E353*G353-H353)/IF(OR(K353=TRUE,K353="TRUE",K353="YES",K353=1),1+'Settings'!$B$6/100,1),2)</f>
        <v>47.93</v>
      </c>
      <c r="J353" s="8">
        <v>0.0</v>
      </c>
      <c r="K353" s="3" t="inlineStr">
        <is>
          <t xml:space="preserve">TRUE</t>
        </is>
      </c>
      <c r="L353" s="3"/>
      <c r="M353" s="6">
        <f>ROUND(E353*G353-H353,2)</f>
        <v>58.0</v>
      </c>
      <c r="N353" s="5">
        <f>IF(COUNTIF($A$3:A353,A353)=1,1,0)</f>
        <v>1</v>
      </c>
      <c r="O353" s="6">
        <f>IF(N353=1,ROUND((SUMIFS($M$3:$M$1200,$A$3:$A$1200,A353)+'Settings'!$B$13)*'Settings'!$B$14/100+'Settings'!$B$15,2),0)</f>
        <v>1.16</v>
      </c>
    </row>
    <row r="354">
      <c r="A354" s="3" t="inlineStr">
        <is>
          <t xml:space="preserve">#1255</t>
        </is>
      </c>
      <c r="B354" s="3" t="inlineStr">
        <is>
          <t xml:space="preserve">2026-01-23</t>
        </is>
      </c>
      <c r="C354" s="3" t="inlineStr">
        <is>
          <t xml:space="preserve">SKU-B</t>
        </is>
      </c>
      <c r="D354" s="3" t="inlineStr">
        <is>
          <t xml:space="preserve">Barrier Balm</t>
        </is>
      </c>
      <c r="E354" s="6">
        <f>IF('Settings'!$B$11="Scenario",IFERROR(INDEX('Catalogue'!$E$3:$E$100,MATCH(C354,'Catalogue'!$B$3:$B$100,0)),F354),F354)</f>
        <v>19</v>
      </c>
      <c r="F354" s="8">
        <v>18</v>
      </c>
      <c r="G354" s="3">
        <v>1</v>
      </c>
      <c r="H354" s="6">
        <f>IF('Settings'!$B$11="Scenario",ROUND(E354*G354*IFERROR(SUMIF('Pricing &amp; promotions'!$A$6:$A$8,L354,'Pricing &amp; promotions'!$B$6:$B$8)/100,0),2),J354)</f>
        <v>0.0</v>
      </c>
      <c r="I354" s="6">
        <f>ROUND((E354*G354-H354)/IF(OR(K354=TRUE,K354="TRUE",K354="YES",K354=1),1+'Settings'!$B$6/100,1),2)</f>
        <v>15.7</v>
      </c>
      <c r="J354" s="8">
        <v>0.0</v>
      </c>
      <c r="K354" s="3" t="inlineStr">
        <is>
          <t xml:space="preserve">TRUE</t>
        </is>
      </c>
      <c r="L354" s="3"/>
      <c r="M354" s="6">
        <f>ROUND(E354*G354-H354,2)</f>
        <v>19.0</v>
      </c>
      <c r="N354" s="5">
        <f>IF(COUNTIF($A$3:A354,A354)=1,1,0)</f>
        <v>1</v>
      </c>
      <c r="O354" s="6">
        <f>IF(N354=1,ROUND((SUMIFS($M$3:$M$1200,$A$3:$A$1200,A354)+'Settings'!$B$13)*'Settings'!$B$14/100+'Settings'!$B$15,2),0)</f>
        <v>0.58</v>
      </c>
    </row>
    <row r="355">
      <c r="A355" s="3" t="inlineStr">
        <is>
          <t xml:space="preserve">#1256</t>
        </is>
      </c>
      <c r="B355" s="3" t="inlineStr">
        <is>
          <t xml:space="preserve">2026-01-24</t>
        </is>
      </c>
      <c r="C355" s="3" t="inlineStr">
        <is>
          <t xml:space="preserve">SKU-A</t>
        </is>
      </c>
      <c r="D355" s="3" t="inlineStr">
        <is>
          <t xml:space="preserve">Renewal Serum</t>
        </is>
      </c>
      <c r="E355" s="6">
        <f>IF('Settings'!$B$11="Scenario",IFERROR(INDEX('Catalogue'!$E$3:$E$100,MATCH(C355,'Catalogue'!$B$3:$B$100,0)),F355),F355)</f>
        <v>69.9</v>
      </c>
      <c r="F355" s="8">
        <v>69.9</v>
      </c>
      <c r="G355" s="3">
        <v>1</v>
      </c>
      <c r="H355" s="6">
        <f>IF('Settings'!$B$11="Scenario",ROUND(E355*G355*IFERROR(SUMIF('Pricing &amp; promotions'!$A$6:$A$8,L355,'Pricing &amp; promotions'!$B$6:$B$8)/100,0),2),J355)</f>
        <v>10.49</v>
      </c>
      <c r="I355" s="6">
        <f>ROUND((E355*G355-H355)/IF(OR(K355=TRUE,K355="TRUE",K355="YES",K355=1),1+'Settings'!$B$6/100,1),2)</f>
        <v>49.1</v>
      </c>
      <c r="J355" s="8">
        <v>10.49</v>
      </c>
      <c r="K355" s="3" t="inlineStr">
        <is>
          <t xml:space="preserve">TRUE</t>
        </is>
      </c>
      <c r="L355" s="3" t="inlineStr">
        <is>
          <t xml:space="preserve">SUMMER15</t>
        </is>
      </c>
      <c r="M355" s="6">
        <f>ROUND(E355*G355-H355,2)</f>
        <v>59.41</v>
      </c>
      <c r="N355" s="5">
        <f>IF(COUNTIF($A$3:A355,A355)=1,1,0)</f>
        <v>1</v>
      </c>
      <c r="O355" s="6">
        <f>IF(N355=1,ROUND((SUMIFS($M$3:$M$1200,$A$3:$A$1200,A355)+'Settings'!$B$13)*'Settings'!$B$14/100+'Settings'!$B$15,2),0)</f>
        <v>1.19</v>
      </c>
    </row>
    <row r="356">
      <c r="A356" s="3" t="inlineStr">
        <is>
          <t xml:space="preserve">#1257</t>
        </is>
      </c>
      <c r="B356" s="3" t="inlineStr">
        <is>
          <t xml:space="preserve">2026-01-24</t>
        </is>
      </c>
      <c r="C356" s="3" t="inlineStr">
        <is>
          <t xml:space="preserve">SKU-A</t>
        </is>
      </c>
      <c r="D356" s="3" t="inlineStr">
        <is>
          <t xml:space="preserve">Renewal Serum</t>
        </is>
      </c>
      <c r="E356" s="6">
        <f>IF('Settings'!$B$11="Scenario",IFERROR(INDEX('Catalogue'!$E$3:$E$100,MATCH(C356,'Catalogue'!$B$3:$B$100,0)),F356),F356)</f>
        <v>69.9</v>
      </c>
      <c r="F356" s="8">
        <v>69.9</v>
      </c>
      <c r="G356" s="3">
        <v>1</v>
      </c>
      <c r="H356" s="6">
        <f>IF('Settings'!$B$11="Scenario",ROUND(E356*G356*IFERROR(SUMIF('Pricing &amp; promotions'!$A$6:$A$8,L356,'Pricing &amp; promotions'!$B$6:$B$8)/100,0),2),J356)</f>
        <v>13.98</v>
      </c>
      <c r="I356" s="6">
        <f>ROUND((E356*G356-H356)/IF(OR(K356=TRUE,K356="TRUE",K356="YES",K356=1),1+'Settings'!$B$6/100,1),2)</f>
        <v>46.21</v>
      </c>
      <c r="J356" s="8">
        <v>13.98</v>
      </c>
      <c r="K356" s="3" t="inlineStr">
        <is>
          <t xml:space="preserve">TRUE</t>
        </is>
      </c>
      <c r="L356" s="3" t="inlineStr">
        <is>
          <t xml:space="preserve">VIP20</t>
        </is>
      </c>
      <c r="M356" s="6">
        <f>ROUND(E356*G356-H356,2)</f>
        <v>55.92</v>
      </c>
      <c r="N356" s="5">
        <f>IF(COUNTIF($A$3:A356,A356)=1,1,0)</f>
        <v>1</v>
      </c>
      <c r="O356" s="6">
        <f>IF(N356=1,ROUND((SUMIFS($M$3:$M$1200,$A$3:$A$1200,A356)+'Settings'!$B$13)*'Settings'!$B$14/100+'Settings'!$B$15,2),0)</f>
        <v>1.13</v>
      </c>
    </row>
    <row r="357">
      <c r="A357" s="3" t="inlineStr">
        <is>
          <t xml:space="preserve">#1258</t>
        </is>
      </c>
      <c r="B357" s="3" t="inlineStr">
        <is>
          <t xml:space="preserve">2026-01-25</t>
        </is>
      </c>
      <c r="C357" s="3" t="inlineStr">
        <is>
          <t xml:space="preserve">SKU-B</t>
        </is>
      </c>
      <c r="D357" s="3" t="inlineStr">
        <is>
          <t xml:space="preserve">Barrier Balm</t>
        </is>
      </c>
      <c r="E357" s="6">
        <f>IF('Settings'!$B$11="Scenario",IFERROR(INDEX('Catalogue'!$E$3:$E$100,MATCH(C357,'Catalogue'!$B$3:$B$100,0)),F357),F357)</f>
        <v>19</v>
      </c>
      <c r="F357" s="8">
        <v>18</v>
      </c>
      <c r="G357" s="3">
        <v>1</v>
      </c>
      <c r="H357" s="6">
        <f>IF('Settings'!$B$11="Scenario",ROUND(E357*G357*IFERROR(SUMIF('Pricing &amp; promotions'!$A$6:$A$8,L357,'Pricing &amp; promotions'!$B$6:$B$8)/100,0),2),J357)</f>
        <v>0.0</v>
      </c>
      <c r="I357" s="6">
        <f>ROUND((E357*G357-H357)/IF(OR(K357=TRUE,K357="TRUE",K357="YES",K357=1),1+'Settings'!$B$6/100,1),2)</f>
        <v>15.7</v>
      </c>
      <c r="J357" s="8">
        <v>0.0</v>
      </c>
      <c r="K357" s="3" t="inlineStr">
        <is>
          <t xml:space="preserve">TRUE</t>
        </is>
      </c>
      <c r="L357" s="3"/>
      <c r="M357" s="6">
        <f>ROUND(E357*G357-H357,2)</f>
        <v>19.0</v>
      </c>
      <c r="N357" s="5">
        <f>IF(COUNTIF($A$3:A357,A357)=1,1,0)</f>
        <v>1</v>
      </c>
      <c r="O357" s="6">
        <f>IF(N357=1,ROUND((SUMIFS($M$3:$M$1200,$A$3:$A$1200,A357)+'Settings'!$B$13)*'Settings'!$B$14/100+'Settings'!$B$15,2),0)</f>
        <v>0.58</v>
      </c>
    </row>
    <row r="358">
      <c r="A358" s="3" t="inlineStr">
        <is>
          <t xml:space="preserve">#1259</t>
        </is>
      </c>
      <c r="B358" s="3" t="inlineStr">
        <is>
          <t xml:space="preserve">2026-01-25</t>
        </is>
      </c>
      <c r="C358" s="3" t="inlineStr">
        <is>
          <t xml:space="preserve">SKU-B</t>
        </is>
      </c>
      <c r="D358" s="3" t="inlineStr">
        <is>
          <t xml:space="preserve">Barrier Balm</t>
        </is>
      </c>
      <c r="E358" s="6">
        <f>IF('Settings'!$B$11="Scenario",IFERROR(INDEX('Catalogue'!$E$3:$E$100,MATCH(C358,'Catalogue'!$B$3:$B$100,0)),F358),F358)</f>
        <v>19</v>
      </c>
      <c r="F358" s="8">
        <v>18</v>
      </c>
      <c r="G358" s="3">
        <v>1</v>
      </c>
      <c r="H358" s="6">
        <f>IF('Settings'!$B$11="Scenario",ROUND(E358*G358*IFERROR(SUMIF('Pricing &amp; promotions'!$A$6:$A$8,L358,'Pricing &amp; promotions'!$B$6:$B$8)/100,0),2),J358)</f>
        <v>0.0</v>
      </c>
      <c r="I358" s="6">
        <f>ROUND((E358*G358-H358)/IF(OR(K358=TRUE,K358="TRUE",K358="YES",K358=1),1+'Settings'!$B$6/100,1),2)</f>
        <v>15.7</v>
      </c>
      <c r="J358" s="8">
        <v>0.0</v>
      </c>
      <c r="K358" s="3" t="inlineStr">
        <is>
          <t xml:space="preserve">TRUE</t>
        </is>
      </c>
      <c r="L358" s="3"/>
      <c r="M358" s="6">
        <f>ROUND(E358*G358-H358,2)</f>
        <v>19.0</v>
      </c>
      <c r="N358" s="5">
        <f>IF(COUNTIF($A$3:A358,A358)=1,1,0)</f>
        <v>1</v>
      </c>
      <c r="O358" s="6">
        <f>IF(N358=1,ROUND((SUMIFS($M$3:$M$1200,$A$3:$A$1200,A358)+'Settings'!$B$13)*'Settings'!$B$14/100+'Settings'!$B$15,2),0)</f>
        <v>0.58</v>
      </c>
    </row>
    <row r="359">
      <c r="A359" s="3" t="inlineStr">
        <is>
          <t xml:space="preserve">#1260</t>
        </is>
      </c>
      <c r="B359" s="3" t="inlineStr">
        <is>
          <t xml:space="preserve">2026-01-26</t>
        </is>
      </c>
      <c r="C359" s="3" t="inlineStr">
        <is>
          <t xml:space="preserve">SKU-G</t>
        </is>
      </c>
      <c r="D359" s="3" t="inlineStr">
        <is>
          <t xml:space="preserve">Daily Reset Set</t>
        </is>
      </c>
      <c r="E359" s="6">
        <f>IF('Settings'!$B$11="Scenario",IFERROR(INDEX('Catalogue'!$E$3:$E$100,MATCH(C359,'Catalogue'!$B$3:$B$100,0)),F359),F359)</f>
        <v>69</v>
      </c>
      <c r="F359" s="8">
        <v>69</v>
      </c>
      <c r="G359" s="3">
        <v>1</v>
      </c>
      <c r="H359" s="6">
        <f>IF('Settings'!$B$11="Scenario",ROUND(E359*G359*IFERROR(SUMIF('Pricing &amp; promotions'!$A$6:$A$8,L359,'Pricing &amp; promotions'!$B$6:$B$8)/100,0),2),J359)</f>
        <v>0.0</v>
      </c>
      <c r="I359" s="6">
        <f>ROUND((E359*G359-H359)/IF(OR(K359=TRUE,K359="TRUE",K359="YES",K359=1),1+'Settings'!$B$6/100,1),2)</f>
        <v>57.02</v>
      </c>
      <c r="J359" s="8">
        <v>0.0</v>
      </c>
      <c r="K359" s="3" t="inlineStr">
        <is>
          <t xml:space="preserve">TRUE</t>
        </is>
      </c>
      <c r="L359" s="3"/>
      <c r="M359" s="6">
        <f>ROUND(E359*G359-H359,2)</f>
        <v>69.0</v>
      </c>
      <c r="N359" s="5">
        <f>IF(COUNTIF($A$3:A359,A359)=1,1,0)</f>
        <v>1</v>
      </c>
      <c r="O359" s="6">
        <f>IF(N359=1,ROUND((SUMIFS($M$3:$M$1200,$A$3:$A$1200,A359)+'Settings'!$B$13)*'Settings'!$B$14/100+'Settings'!$B$15,2),0)</f>
        <v>2.38</v>
      </c>
    </row>
    <row r="360">
      <c r="A360" s="3" t="inlineStr">
        <is>
          <t xml:space="preserve">#1260</t>
        </is>
      </c>
      <c r="B360" s="3" t="inlineStr">
        <is>
          <t xml:space="preserve">2026-01-26</t>
        </is>
      </c>
      <c r="C360" s="3" t="inlineStr">
        <is>
          <t xml:space="preserve">SKU-A</t>
        </is>
      </c>
      <c r="D360" s="3" t="inlineStr">
        <is>
          <t xml:space="preserve">Renewal Serum</t>
        </is>
      </c>
      <c r="E360" s="6">
        <f>IF('Settings'!$B$11="Scenario",IFERROR(INDEX('Catalogue'!$E$3:$E$100,MATCH(C360,'Catalogue'!$B$3:$B$100,0)),F360),F360)</f>
        <v>69.9</v>
      </c>
      <c r="F360" s="8">
        <v>69.9</v>
      </c>
      <c r="G360" s="3">
        <v>1</v>
      </c>
      <c r="H360" s="6">
        <f>IF('Settings'!$B$11="Scenario",ROUND(E360*G360*IFERROR(SUMIF('Pricing &amp; promotions'!$A$6:$A$8,L360,'Pricing &amp; promotions'!$B$6:$B$8)/100,0),2),J360)</f>
        <v>0.0</v>
      </c>
      <c r="I360" s="6">
        <f>ROUND((E360*G360-H360)/IF(OR(K360=TRUE,K360="TRUE",K360="YES",K360=1),1+'Settings'!$B$6/100,1),2)</f>
        <v>57.77</v>
      </c>
      <c r="J360" s="8">
        <v>0.0</v>
      </c>
      <c r="K360" s="3" t="inlineStr">
        <is>
          <t xml:space="preserve">TRUE</t>
        </is>
      </c>
      <c r="L360" s="3"/>
      <c r="M360" s="6">
        <f>ROUND(E360*G360-H360,2)</f>
        <v>69.9</v>
      </c>
      <c r="N360" s="5">
        <f>IF(COUNTIF($A$3:A360,A360)=1,1,0)</f>
        <v>0</v>
      </c>
      <c r="O360" s="6">
        <f>IF(N360=1,ROUND((SUMIFS($M$3:$M$1200,$A$3:$A$1200,A360)+'Settings'!$B$13)*'Settings'!$B$14/100+'Settings'!$B$15,2),0)</f>
        <v>0</v>
      </c>
    </row>
    <row r="361">
      <c r="A361" s="3" t="inlineStr">
        <is>
          <t xml:space="preserve">#1261</t>
        </is>
      </c>
      <c r="B361" s="3" t="inlineStr">
        <is>
          <t xml:space="preserve">2026-01-26</t>
        </is>
      </c>
      <c r="C361" s="3" t="inlineStr">
        <is>
          <t xml:space="preserve">SKU-D</t>
        </is>
      </c>
      <c r="D361" s="3" t="inlineStr">
        <is>
          <t xml:space="preserve">Daily Duo</t>
        </is>
      </c>
      <c r="E361" s="6">
        <f>IF('Settings'!$B$11="Scenario",IFERROR(INDEX('Catalogue'!$E$3:$E$100,MATCH(C361,'Catalogue'!$B$3:$B$100,0)),F361),F361)</f>
        <v>79</v>
      </c>
      <c r="F361" s="8">
        <v>79</v>
      </c>
      <c r="G361" s="3">
        <v>1</v>
      </c>
      <c r="H361" s="6">
        <f>IF('Settings'!$B$11="Scenario",ROUND(E361*G361*IFERROR(SUMIF('Pricing &amp; promotions'!$A$6:$A$8,L361,'Pricing &amp; promotions'!$B$6:$B$8)/100,0),2),J361)</f>
        <v>11.85</v>
      </c>
      <c r="I361" s="6">
        <f>ROUND((E361*G361-H361)/IF(OR(K361=TRUE,K361="TRUE",K361="YES",K361=1),1+'Settings'!$B$6/100,1),2)</f>
        <v>55.5</v>
      </c>
      <c r="J361" s="8">
        <v>11.85</v>
      </c>
      <c r="K361" s="3" t="inlineStr">
        <is>
          <t xml:space="preserve">TRUE</t>
        </is>
      </c>
      <c r="L361" s="3" t="inlineStr">
        <is>
          <t xml:space="preserve">SUMMER15</t>
        </is>
      </c>
      <c r="M361" s="6">
        <f>ROUND(E361*G361-H361,2)</f>
        <v>67.15</v>
      </c>
      <c r="N361" s="5">
        <f>IF(COUNTIF($A$3:A361,A361)=1,1,0)</f>
        <v>1</v>
      </c>
      <c r="O361" s="6">
        <f>IF(N361=1,ROUND((SUMIFS($M$3:$M$1200,$A$3:$A$1200,A361)+'Settings'!$B$13)*'Settings'!$B$14/100+'Settings'!$B$15,2),0)</f>
        <v>1.3</v>
      </c>
    </row>
    <row r="362">
      <c r="A362" s="3" t="inlineStr">
        <is>
          <t xml:space="preserve">#1262</t>
        </is>
      </c>
      <c r="B362" s="3" t="inlineStr">
        <is>
          <t xml:space="preserve">2026-01-27</t>
        </is>
      </c>
      <c r="C362" s="3" t="inlineStr">
        <is>
          <t xml:space="preserve">SKU-E</t>
        </is>
      </c>
      <c r="D362" s="3" t="inlineStr">
        <is>
          <t xml:space="preserve">Complete Ritual</t>
        </is>
      </c>
      <c r="E362" s="6">
        <f>IF('Settings'!$B$11="Scenario",IFERROR(INDEX('Catalogue'!$E$3:$E$100,MATCH(C362,'Catalogue'!$B$3:$B$100,0)),F362),F362)</f>
        <v>89</v>
      </c>
      <c r="F362" s="8">
        <v>89</v>
      </c>
      <c r="G362" s="3">
        <v>2</v>
      </c>
      <c r="H362" s="6">
        <f>IF('Settings'!$B$11="Scenario",ROUND(E362*G362*IFERROR(SUMIF('Pricing &amp; promotions'!$A$6:$A$8,L362,'Pricing &amp; promotions'!$B$6:$B$8)/100,0),2),J362)</f>
        <v>17.8</v>
      </c>
      <c r="I362" s="6">
        <f>ROUND((E362*G362-H362)/IF(OR(K362=TRUE,K362="TRUE",K362="YES",K362=1),1+'Settings'!$B$6/100,1),2)</f>
        <v>132.4</v>
      </c>
      <c r="J362" s="8">
        <v>17.8</v>
      </c>
      <c r="K362" s="3" t="inlineStr">
        <is>
          <t xml:space="preserve">TRUE</t>
        </is>
      </c>
      <c r="L362" s="3" t="inlineStr">
        <is>
          <t xml:space="preserve">WELCOME10</t>
        </is>
      </c>
      <c r="M362" s="6">
        <f>ROUND(E362*G362-H362,2)</f>
        <v>160.2</v>
      </c>
      <c r="N362" s="5">
        <f>IF(COUNTIF($A$3:A362,A362)=1,1,0)</f>
        <v>1</v>
      </c>
      <c r="O362" s="6">
        <f>IF(N362=1,ROUND((SUMIFS($M$3:$M$1200,$A$3:$A$1200,A362)+'Settings'!$B$13)*'Settings'!$B$14/100+'Settings'!$B$15,2),0)</f>
        <v>2.7</v>
      </c>
    </row>
    <row r="363">
      <c r="A363" s="3" t="inlineStr">
        <is>
          <t xml:space="preserve">#1263</t>
        </is>
      </c>
      <c r="B363" s="3" t="inlineStr">
        <is>
          <t xml:space="preserve">2026-01-27</t>
        </is>
      </c>
      <c r="C363" s="3" t="inlineStr">
        <is>
          <t xml:space="preserve">SKU-A</t>
        </is>
      </c>
      <c r="D363" s="3" t="inlineStr">
        <is>
          <t xml:space="preserve">Renewal Serum</t>
        </is>
      </c>
      <c r="E363" s="6">
        <f>IF('Settings'!$B$11="Scenario",IFERROR(INDEX('Catalogue'!$E$3:$E$100,MATCH(C363,'Catalogue'!$B$3:$B$100,0)),F363),F363)</f>
        <v>69.9</v>
      </c>
      <c r="F363" s="8">
        <v>69.9</v>
      </c>
      <c r="G363" s="3">
        <v>1</v>
      </c>
      <c r="H363" s="6">
        <f>IF('Settings'!$B$11="Scenario",ROUND(E363*G363*IFERROR(SUMIF('Pricing &amp; promotions'!$A$6:$A$8,L363,'Pricing &amp; promotions'!$B$6:$B$8)/100,0),2),J363)</f>
        <v>10.49</v>
      </c>
      <c r="I363" s="6">
        <f>ROUND((E363*G363-H363)/IF(OR(K363=TRUE,K363="TRUE",K363="YES",K363=1),1+'Settings'!$B$6/100,1),2)</f>
        <v>49.1</v>
      </c>
      <c r="J363" s="8">
        <v>10.49</v>
      </c>
      <c r="K363" s="3" t="inlineStr">
        <is>
          <t xml:space="preserve">TRUE</t>
        </is>
      </c>
      <c r="L363" s="3" t="inlineStr">
        <is>
          <t xml:space="preserve">SUMMER15</t>
        </is>
      </c>
      <c r="M363" s="6">
        <f>ROUND(E363*G363-H363,2)</f>
        <v>59.41</v>
      </c>
      <c r="N363" s="5">
        <f>IF(COUNTIF($A$3:A363,A363)=1,1,0)</f>
        <v>1</v>
      </c>
      <c r="O363" s="6">
        <f>IF(N363=1,ROUND((SUMIFS($M$3:$M$1200,$A$3:$A$1200,A363)+'Settings'!$B$13)*'Settings'!$B$14/100+'Settings'!$B$15,2),0)</f>
        <v>1.19</v>
      </c>
    </row>
    <row r="364">
      <c r="A364" s="3" t="inlineStr">
        <is>
          <t xml:space="preserve">#1264</t>
        </is>
      </c>
      <c r="B364" s="3" t="inlineStr">
        <is>
          <t xml:space="preserve">2026-01-28</t>
        </is>
      </c>
      <c r="C364" s="3" t="inlineStr">
        <is>
          <t xml:space="preserve">SKU-A</t>
        </is>
      </c>
      <c r="D364" s="3" t="inlineStr">
        <is>
          <t xml:space="preserve">Renewal Serum</t>
        </is>
      </c>
      <c r="E364" s="6">
        <f>IF('Settings'!$B$11="Scenario",IFERROR(INDEX('Catalogue'!$E$3:$E$100,MATCH(C364,'Catalogue'!$B$3:$B$100,0)),F364),F364)</f>
        <v>69.9</v>
      </c>
      <c r="F364" s="8">
        <v>69.9</v>
      </c>
      <c r="G364" s="3">
        <v>1</v>
      </c>
      <c r="H364" s="6">
        <f>IF('Settings'!$B$11="Scenario",ROUND(E364*G364*IFERROR(SUMIF('Pricing &amp; promotions'!$A$6:$A$8,L364,'Pricing &amp; promotions'!$B$6:$B$8)/100,0),2),J364)</f>
        <v>0.0</v>
      </c>
      <c r="I364" s="6">
        <f>ROUND((E364*G364-H364)/IF(OR(K364=TRUE,K364="TRUE",K364="YES",K364=1),1+'Settings'!$B$6/100,1),2)</f>
        <v>57.77</v>
      </c>
      <c r="J364" s="8">
        <v>0.0</v>
      </c>
      <c r="K364" s="3" t="inlineStr">
        <is>
          <t xml:space="preserve">TRUE</t>
        </is>
      </c>
      <c r="L364" s="3"/>
      <c r="M364" s="6">
        <f>ROUND(E364*G364-H364,2)</f>
        <v>69.9</v>
      </c>
      <c r="N364" s="5">
        <f>IF(COUNTIF($A$3:A364,A364)=1,1,0)</f>
        <v>1</v>
      </c>
      <c r="O364" s="6">
        <f>IF(N364=1,ROUND((SUMIFS($M$3:$M$1200,$A$3:$A$1200,A364)+'Settings'!$B$13)*'Settings'!$B$14/100+'Settings'!$B$15,2),0)</f>
        <v>2.53</v>
      </c>
    </row>
    <row r="365">
      <c r="A365" s="3" t="inlineStr">
        <is>
          <t xml:space="preserve">#1264</t>
        </is>
      </c>
      <c r="B365" s="3" t="inlineStr">
        <is>
          <t xml:space="preserve">2026-01-28</t>
        </is>
      </c>
      <c r="C365" s="3" t="inlineStr">
        <is>
          <t xml:space="preserve">SKU-D</t>
        </is>
      </c>
      <c r="D365" s="3" t="inlineStr">
        <is>
          <t xml:space="preserve">Daily Duo</t>
        </is>
      </c>
      <c r="E365" s="6">
        <f>IF('Settings'!$B$11="Scenario",IFERROR(INDEX('Catalogue'!$E$3:$E$100,MATCH(C365,'Catalogue'!$B$3:$B$100,0)),F365),F365)</f>
        <v>79</v>
      </c>
      <c r="F365" s="8">
        <v>79</v>
      </c>
      <c r="G365" s="3">
        <v>1</v>
      </c>
      <c r="H365" s="6">
        <f>IF('Settings'!$B$11="Scenario",ROUND(E365*G365*IFERROR(SUMIF('Pricing &amp; promotions'!$A$6:$A$8,L365,'Pricing &amp; promotions'!$B$6:$B$8)/100,0),2),J365)</f>
        <v>0.0</v>
      </c>
      <c r="I365" s="6">
        <f>ROUND((E365*G365-H365)/IF(OR(K365=TRUE,K365="TRUE",K365="YES",K365=1),1+'Settings'!$B$6/100,1),2)</f>
        <v>65.29</v>
      </c>
      <c r="J365" s="8">
        <v>0.0</v>
      </c>
      <c r="K365" s="3" t="inlineStr">
        <is>
          <t xml:space="preserve">TRUE</t>
        </is>
      </c>
      <c r="L365" s="3"/>
      <c r="M365" s="6">
        <f>ROUND(E365*G365-H365,2)</f>
        <v>79.0</v>
      </c>
      <c r="N365" s="5">
        <f>IF(COUNTIF($A$3:A365,A365)=1,1,0)</f>
        <v>0</v>
      </c>
      <c r="O365" s="6">
        <f>IF(N365=1,ROUND((SUMIFS($M$3:$M$1200,$A$3:$A$1200,A365)+'Settings'!$B$13)*'Settings'!$B$14/100+'Settings'!$B$15,2),0)</f>
        <v>0</v>
      </c>
    </row>
    <row r="366">
      <c r="A366" s="3" t="inlineStr">
        <is>
          <t xml:space="preserve">#1265</t>
        </is>
      </c>
      <c r="B366" s="3" t="inlineStr">
        <is>
          <t xml:space="preserve">2026-01-28</t>
        </is>
      </c>
      <c r="C366" s="3" t="inlineStr">
        <is>
          <t xml:space="preserve">SKU-D</t>
        </is>
      </c>
      <c r="D366" s="3" t="inlineStr">
        <is>
          <t xml:space="preserve">Daily Duo</t>
        </is>
      </c>
      <c r="E366" s="6">
        <f>IF('Settings'!$B$11="Scenario",IFERROR(INDEX('Catalogue'!$E$3:$E$100,MATCH(C366,'Catalogue'!$B$3:$B$100,0)),F366),F366)</f>
        <v>79</v>
      </c>
      <c r="F366" s="8">
        <v>79</v>
      </c>
      <c r="G366" s="3">
        <v>2</v>
      </c>
      <c r="H366" s="6">
        <f>IF('Settings'!$B$11="Scenario",ROUND(E366*G366*IFERROR(SUMIF('Pricing &amp; promotions'!$A$6:$A$8,L366,'Pricing &amp; promotions'!$B$6:$B$8)/100,0),2),J366)</f>
        <v>0.0</v>
      </c>
      <c r="I366" s="6">
        <f>ROUND((E366*G366-H366)/IF(OR(K366=TRUE,K366="TRUE",K366="YES",K366=1),1+'Settings'!$B$6/100,1),2)</f>
        <v>130.58</v>
      </c>
      <c r="J366" s="8">
        <v>0.0</v>
      </c>
      <c r="K366" s="3" t="inlineStr">
        <is>
          <t xml:space="preserve">TRUE</t>
        </is>
      </c>
      <c r="L366" s="3"/>
      <c r="M366" s="6">
        <f>ROUND(E366*G366-H366,2)</f>
        <v>158.0</v>
      </c>
      <c r="N366" s="5">
        <f>IF(COUNTIF($A$3:A366,A366)=1,1,0)</f>
        <v>1</v>
      </c>
      <c r="O366" s="6">
        <f>IF(N366=1,ROUND((SUMIFS($M$3:$M$1200,$A$3:$A$1200,A366)+'Settings'!$B$13)*'Settings'!$B$14/100+'Settings'!$B$15,2),0)</f>
        <v>2.66</v>
      </c>
    </row>
    <row r="367">
      <c r="A367" s="3" t="inlineStr">
        <is>
          <t xml:space="preserve">#1266</t>
        </is>
      </c>
      <c r="B367" s="3" t="inlineStr">
        <is>
          <t xml:space="preserve">2026-01-30</t>
        </is>
      </c>
      <c r="C367" s="3" t="inlineStr">
        <is>
          <t xml:space="preserve">SKU-G</t>
        </is>
      </c>
      <c r="D367" s="3" t="inlineStr">
        <is>
          <t xml:space="preserve">Daily Reset Set</t>
        </is>
      </c>
      <c r="E367" s="6">
        <f>IF('Settings'!$B$11="Scenario",IFERROR(INDEX('Catalogue'!$E$3:$E$100,MATCH(C367,'Catalogue'!$B$3:$B$100,0)),F367),F367)</f>
        <v>69</v>
      </c>
      <c r="F367" s="8">
        <v>69</v>
      </c>
      <c r="G367" s="3">
        <v>1</v>
      </c>
      <c r="H367" s="6">
        <f>IF('Settings'!$B$11="Scenario",ROUND(E367*G367*IFERROR(SUMIF('Pricing &amp; promotions'!$A$6:$A$8,L367,'Pricing &amp; promotions'!$B$6:$B$8)/100,0),2),J367)</f>
        <v>13.8</v>
      </c>
      <c r="I367" s="6">
        <f>ROUND((E367*G367-H367)/IF(OR(K367=TRUE,K367="TRUE",K367="YES",K367=1),1+'Settings'!$B$6/100,1),2)</f>
        <v>45.62</v>
      </c>
      <c r="J367" s="8">
        <v>13.8</v>
      </c>
      <c r="K367" s="3" t="inlineStr">
        <is>
          <t xml:space="preserve">TRUE</t>
        </is>
      </c>
      <c r="L367" s="3" t="inlineStr">
        <is>
          <t xml:space="preserve">VIP20</t>
        </is>
      </c>
      <c r="M367" s="6">
        <f>ROUND(E367*G367-H367,2)</f>
        <v>55.2</v>
      </c>
      <c r="N367" s="5">
        <f>IF(COUNTIF($A$3:A367,A367)=1,1,0)</f>
        <v>1</v>
      </c>
      <c r="O367" s="6">
        <f>IF(N367=1,ROUND((SUMIFS($M$3:$M$1200,$A$3:$A$1200,A367)+'Settings'!$B$13)*'Settings'!$B$14/100+'Settings'!$B$15,2),0)</f>
        <v>1.12</v>
      </c>
    </row>
    <row r="368">
      <c r="A368" s="3" t="inlineStr">
        <is>
          <t xml:space="preserve">#1267</t>
        </is>
      </c>
      <c r="B368" s="3" t="inlineStr">
        <is>
          <t xml:space="preserve">2026-01-30</t>
        </is>
      </c>
      <c r="C368" s="3" t="inlineStr">
        <is>
          <t xml:space="preserve">SKU-D</t>
        </is>
      </c>
      <c r="D368" s="3" t="inlineStr">
        <is>
          <t xml:space="preserve">Daily Duo</t>
        </is>
      </c>
      <c r="E368" s="6">
        <f>IF('Settings'!$B$11="Scenario",IFERROR(INDEX('Catalogue'!$E$3:$E$100,MATCH(C368,'Catalogue'!$B$3:$B$100,0)),F368),F368)</f>
        <v>79</v>
      </c>
      <c r="F368" s="8">
        <v>79</v>
      </c>
      <c r="G368" s="3">
        <v>1</v>
      </c>
      <c r="H368" s="6">
        <f>IF('Settings'!$B$11="Scenario",ROUND(E368*G368*IFERROR(SUMIF('Pricing &amp; promotions'!$A$6:$A$8,L368,'Pricing &amp; promotions'!$B$6:$B$8)/100,0),2),J368)</f>
        <v>7.9</v>
      </c>
      <c r="I368" s="6">
        <f>ROUND((E368*G368-H368)/IF(OR(K368=TRUE,K368="TRUE",K368="YES",K368=1),1+'Settings'!$B$6/100,1),2)</f>
        <v>58.76</v>
      </c>
      <c r="J368" s="8">
        <v>7.9</v>
      </c>
      <c r="K368" s="3" t="inlineStr">
        <is>
          <t xml:space="preserve">TRUE</t>
        </is>
      </c>
      <c r="L368" s="3" t="inlineStr">
        <is>
          <t xml:space="preserve">WELCOME10</t>
        </is>
      </c>
      <c r="M368" s="6">
        <f>ROUND(E368*G368-H368,2)</f>
        <v>71.1</v>
      </c>
      <c r="N368" s="5">
        <f>IF(COUNTIF($A$3:A368,A368)=1,1,0)</f>
        <v>1</v>
      </c>
      <c r="O368" s="6">
        <f>IF(N368=1,ROUND((SUMIFS($M$3:$M$1200,$A$3:$A$1200,A368)+'Settings'!$B$13)*'Settings'!$B$14/100+'Settings'!$B$15,2),0)</f>
        <v>3.22</v>
      </c>
    </row>
    <row r="369">
      <c r="A369" s="3" t="inlineStr">
        <is>
          <t xml:space="preserve">#1267</t>
        </is>
      </c>
      <c r="B369" s="3" t="inlineStr">
        <is>
          <t xml:space="preserve">2026-01-30</t>
        </is>
      </c>
      <c r="C369" s="3" t="inlineStr">
        <is>
          <t xml:space="preserve">SKU-G</t>
        </is>
      </c>
      <c r="D369" s="3" t="inlineStr">
        <is>
          <t xml:space="preserve">Daily Reset Set</t>
        </is>
      </c>
      <c r="E369" s="6">
        <f>IF('Settings'!$B$11="Scenario",IFERROR(INDEX('Catalogue'!$E$3:$E$100,MATCH(C369,'Catalogue'!$B$3:$B$100,0)),F369),F369)</f>
        <v>69</v>
      </c>
      <c r="F369" s="8">
        <v>69</v>
      </c>
      <c r="G369" s="3">
        <v>2</v>
      </c>
      <c r="H369" s="6">
        <f>IF('Settings'!$B$11="Scenario",ROUND(E369*G369*IFERROR(SUMIF('Pricing &amp; promotions'!$A$6:$A$8,L369,'Pricing &amp; promotions'!$B$6:$B$8)/100,0),2),J369)</f>
        <v>13.8</v>
      </c>
      <c r="I369" s="6">
        <f>ROUND((E369*G369-H369)/IF(OR(K369=TRUE,K369="TRUE",K369="YES",K369=1),1+'Settings'!$B$6/100,1),2)</f>
        <v>102.64</v>
      </c>
      <c r="J369" s="8">
        <v>13.8</v>
      </c>
      <c r="K369" s="3" t="inlineStr">
        <is>
          <t xml:space="preserve">TRUE</t>
        </is>
      </c>
      <c r="L369" s="3" t="inlineStr">
        <is>
          <t xml:space="preserve">WELCOME10</t>
        </is>
      </c>
      <c r="M369" s="6">
        <f>ROUND(E369*G369-H369,2)</f>
        <v>124.2</v>
      </c>
      <c r="N369" s="5">
        <f>IF(COUNTIF($A$3:A369,A369)=1,1,0)</f>
        <v>0</v>
      </c>
      <c r="O369" s="6">
        <f>IF(N369=1,ROUND((SUMIFS($M$3:$M$1200,$A$3:$A$1200,A369)+'Settings'!$B$13)*'Settings'!$B$14/100+'Settings'!$B$15,2),0)</f>
        <v>0</v>
      </c>
    </row>
    <row r="370">
      <c r="A370" s="3" t="inlineStr">
        <is>
          <t xml:space="preserve">#1268</t>
        </is>
      </c>
      <c r="B370" s="3" t="inlineStr">
        <is>
          <t xml:space="preserve">2026-01-31</t>
        </is>
      </c>
      <c r="C370" s="3" t="inlineStr">
        <is>
          <t xml:space="preserve">SKU-A</t>
        </is>
      </c>
      <c r="D370" s="3" t="inlineStr">
        <is>
          <t xml:space="preserve">Renewal Serum</t>
        </is>
      </c>
      <c r="E370" s="6">
        <f>IF('Settings'!$B$11="Scenario",IFERROR(INDEX('Catalogue'!$E$3:$E$100,MATCH(C370,'Catalogue'!$B$3:$B$100,0)),F370),F370)</f>
        <v>69.9</v>
      </c>
      <c r="F370" s="8">
        <v>69.9</v>
      </c>
      <c r="G370" s="3">
        <v>1</v>
      </c>
      <c r="H370" s="6">
        <f>IF('Settings'!$B$11="Scenario",ROUND(E370*G370*IFERROR(SUMIF('Pricing &amp; promotions'!$A$6:$A$8,L370,'Pricing &amp; promotions'!$B$6:$B$8)/100,0),2),J370)</f>
        <v>13.98</v>
      </c>
      <c r="I370" s="6">
        <f>ROUND((E370*G370-H370)/IF(OR(K370=TRUE,K370="TRUE",K370="YES",K370=1),1+'Settings'!$B$6/100,1),2)</f>
        <v>46.21</v>
      </c>
      <c r="J370" s="8">
        <v>13.98</v>
      </c>
      <c r="K370" s="3" t="inlineStr">
        <is>
          <t xml:space="preserve">TRUE</t>
        </is>
      </c>
      <c r="L370" s="3" t="inlineStr">
        <is>
          <t xml:space="preserve">VIP20</t>
        </is>
      </c>
      <c r="M370" s="6">
        <f>ROUND(E370*G370-H370,2)</f>
        <v>55.92</v>
      </c>
      <c r="N370" s="5">
        <f>IF(COUNTIF($A$3:A370,A370)=1,1,0)</f>
        <v>1</v>
      </c>
      <c r="O370" s="6">
        <f>IF(N370=1,ROUND((SUMIFS($M$3:$M$1200,$A$3:$A$1200,A370)+'Settings'!$B$13)*'Settings'!$B$14/100+'Settings'!$B$15,2),0)</f>
        <v>1.13</v>
      </c>
    </row>
    <row r="371">
      <c r="A371" s="3" t="inlineStr">
        <is>
          <t xml:space="preserve">#1269</t>
        </is>
      </c>
      <c r="B371" s="3" t="inlineStr">
        <is>
          <t xml:space="preserve">2026-01-31</t>
        </is>
      </c>
      <c r="C371" s="3" t="inlineStr">
        <is>
          <t xml:space="preserve">SKU-D</t>
        </is>
      </c>
      <c r="D371" s="3" t="inlineStr">
        <is>
          <t xml:space="preserve">Daily Duo</t>
        </is>
      </c>
      <c r="E371" s="6">
        <f>IF('Settings'!$B$11="Scenario",IFERROR(INDEX('Catalogue'!$E$3:$E$100,MATCH(C371,'Catalogue'!$B$3:$B$100,0)),F371),F371)</f>
        <v>79</v>
      </c>
      <c r="F371" s="8">
        <v>79</v>
      </c>
      <c r="G371" s="3">
        <v>1</v>
      </c>
      <c r="H371" s="6">
        <f>IF('Settings'!$B$11="Scenario",ROUND(E371*G371*IFERROR(SUMIF('Pricing &amp; promotions'!$A$6:$A$8,L371,'Pricing &amp; promotions'!$B$6:$B$8)/100,0),2),J371)</f>
        <v>0.0</v>
      </c>
      <c r="I371" s="6">
        <f>ROUND((E371*G371-H371)/IF(OR(K371=TRUE,K371="TRUE",K371="YES",K371=1),1+'Settings'!$B$6/100,1),2)</f>
        <v>65.29</v>
      </c>
      <c r="J371" s="8">
        <v>0.0</v>
      </c>
      <c r="K371" s="3" t="inlineStr">
        <is>
          <t xml:space="preserve">TRUE</t>
        </is>
      </c>
      <c r="L371" s="3"/>
      <c r="M371" s="6">
        <f>ROUND(E371*G371-H371,2)</f>
        <v>79.0</v>
      </c>
      <c r="N371" s="5">
        <f>IF(COUNTIF($A$3:A371,A371)=1,1,0)</f>
        <v>1</v>
      </c>
      <c r="O371" s="6">
        <f>IF(N371=1,ROUND((SUMIFS($M$3:$M$1200,$A$3:$A$1200,A371)+'Settings'!$B$13)*'Settings'!$B$14/100+'Settings'!$B$15,2),0)</f>
        <v>1.48</v>
      </c>
    </row>
    <row r="372">
      <c r="A372" s="3" t="inlineStr">
        <is>
          <t xml:space="preserve">#1270</t>
        </is>
      </c>
      <c r="B372" s="3" t="inlineStr">
        <is>
          <t xml:space="preserve">2026-01-31</t>
        </is>
      </c>
      <c r="C372" s="3" t="inlineStr">
        <is>
          <t xml:space="preserve">SKU-B</t>
        </is>
      </c>
      <c r="D372" s="3" t="inlineStr">
        <is>
          <t xml:space="preserve">Barrier Balm</t>
        </is>
      </c>
      <c r="E372" s="6">
        <f>IF('Settings'!$B$11="Scenario",IFERROR(INDEX('Catalogue'!$E$3:$E$100,MATCH(C372,'Catalogue'!$B$3:$B$100,0)),F372),F372)</f>
        <v>19</v>
      </c>
      <c r="F372" s="8">
        <v>18</v>
      </c>
      <c r="G372" s="3">
        <v>1</v>
      </c>
      <c r="H372" s="6">
        <f>IF('Settings'!$B$11="Scenario",ROUND(E372*G372*IFERROR(SUMIF('Pricing &amp; promotions'!$A$6:$A$8,L372,'Pricing &amp; promotions'!$B$6:$B$8)/100,0),2),J372)</f>
        <v>0.0</v>
      </c>
      <c r="I372" s="6">
        <f>ROUND((E372*G372-H372)/IF(OR(K372=TRUE,K372="TRUE",K372="YES",K372=1),1+'Settings'!$B$6/100,1),2)</f>
        <v>15.7</v>
      </c>
      <c r="J372" s="8">
        <v>0.0</v>
      </c>
      <c r="K372" s="3" t="inlineStr">
        <is>
          <t xml:space="preserve">TRUE</t>
        </is>
      </c>
      <c r="L372" s="3"/>
      <c r="M372" s="6">
        <f>ROUND(E372*G372-H372,2)</f>
        <v>19.0</v>
      </c>
      <c r="N372" s="5">
        <f>IF(COUNTIF($A$3:A372,A372)=1,1,0)</f>
        <v>1</v>
      </c>
      <c r="O372" s="6">
        <f>IF(N372=1,ROUND((SUMIFS($M$3:$M$1200,$A$3:$A$1200,A372)+'Settings'!$B$13)*'Settings'!$B$14/100+'Settings'!$B$15,2),0)</f>
        <v>0.58</v>
      </c>
    </row>
    <row r="373">
      <c r="A373" s="3" t="inlineStr">
        <is>
          <t xml:space="preserve">#1271</t>
        </is>
      </c>
      <c r="B373" s="3" t="inlineStr">
        <is>
          <t xml:space="preserve">2026-02-02</t>
        </is>
      </c>
      <c r="C373" s="3" t="inlineStr">
        <is>
          <t xml:space="preserve">SKU-B</t>
        </is>
      </c>
      <c r="D373" s="3" t="inlineStr">
        <is>
          <t xml:space="preserve">Barrier Balm</t>
        </is>
      </c>
      <c r="E373" s="6">
        <f>IF('Settings'!$B$11="Scenario",IFERROR(INDEX('Catalogue'!$E$3:$E$100,MATCH(C373,'Catalogue'!$B$3:$B$100,0)),F373),F373)</f>
        <v>19</v>
      </c>
      <c r="F373" s="8">
        <v>18</v>
      </c>
      <c r="G373" s="3">
        <v>1</v>
      </c>
      <c r="H373" s="6">
        <f>IF('Settings'!$B$11="Scenario",ROUND(E373*G373*IFERROR(SUMIF('Pricing &amp; promotions'!$A$6:$A$8,L373,'Pricing &amp; promotions'!$B$6:$B$8)/100,0),2),J373)</f>
        <v>0.0</v>
      </c>
      <c r="I373" s="6">
        <f>ROUND((E373*G373-H373)/IF(OR(K373=TRUE,K373="TRUE",K373="YES",K373=1),1+'Settings'!$B$6/100,1),2)</f>
        <v>15.7</v>
      </c>
      <c r="J373" s="8">
        <v>0.0</v>
      </c>
      <c r="K373" s="3" t="inlineStr">
        <is>
          <t xml:space="preserve">TRUE</t>
        </is>
      </c>
      <c r="L373" s="3"/>
      <c r="M373" s="6">
        <f>ROUND(E373*G373-H373,2)</f>
        <v>19.0</v>
      </c>
      <c r="N373" s="5">
        <f>IF(COUNTIF($A$3:A373,A373)=1,1,0)</f>
        <v>1</v>
      </c>
      <c r="O373" s="6">
        <f>IF(N373=1,ROUND((SUMIFS($M$3:$M$1200,$A$3:$A$1200,A373)+'Settings'!$B$13)*'Settings'!$B$14/100+'Settings'!$B$15,2),0)</f>
        <v>0.58</v>
      </c>
    </row>
    <row r="374">
      <c r="A374" s="3" t="inlineStr">
        <is>
          <t xml:space="preserve">#1272</t>
        </is>
      </c>
      <c r="B374" s="3" t="inlineStr">
        <is>
          <t xml:space="preserve">2026-02-02</t>
        </is>
      </c>
      <c r="C374" s="3" t="inlineStr">
        <is>
          <t xml:space="preserve">SKU-D</t>
        </is>
      </c>
      <c r="D374" s="3" t="inlineStr">
        <is>
          <t xml:space="preserve">Daily Duo</t>
        </is>
      </c>
      <c r="E374" s="6">
        <f>IF('Settings'!$B$11="Scenario",IFERROR(INDEX('Catalogue'!$E$3:$E$100,MATCH(C374,'Catalogue'!$B$3:$B$100,0)),F374),F374)</f>
        <v>79</v>
      </c>
      <c r="F374" s="8">
        <v>79</v>
      </c>
      <c r="G374" s="3">
        <v>1</v>
      </c>
      <c r="H374" s="6">
        <f>IF('Settings'!$B$11="Scenario",ROUND(E374*G374*IFERROR(SUMIF('Pricing &amp; promotions'!$A$6:$A$8,L374,'Pricing &amp; promotions'!$B$6:$B$8)/100,0),2),J374)</f>
        <v>7.9</v>
      </c>
      <c r="I374" s="6">
        <f>ROUND((E374*G374-H374)/IF(OR(K374=TRUE,K374="TRUE",K374="YES",K374=1),1+'Settings'!$B$6/100,1),2)</f>
        <v>58.76</v>
      </c>
      <c r="J374" s="8">
        <v>7.9</v>
      </c>
      <c r="K374" s="3" t="inlineStr">
        <is>
          <t xml:space="preserve">TRUE</t>
        </is>
      </c>
      <c r="L374" s="3" t="inlineStr">
        <is>
          <t xml:space="preserve">WELCOME10</t>
        </is>
      </c>
      <c r="M374" s="6">
        <f>ROUND(E374*G374-H374,2)</f>
        <v>71.1</v>
      </c>
      <c r="N374" s="5">
        <f>IF(COUNTIF($A$3:A374,A374)=1,1,0)</f>
        <v>1</v>
      </c>
      <c r="O374" s="6">
        <f>IF(N374=1,ROUND((SUMIFS($M$3:$M$1200,$A$3:$A$1200,A374)+'Settings'!$B$13)*'Settings'!$B$14/100+'Settings'!$B$15,2),0)</f>
        <v>1.36</v>
      </c>
    </row>
    <row r="375">
      <c r="A375" s="3" t="inlineStr">
        <is>
          <t xml:space="preserve">#1273</t>
        </is>
      </c>
      <c r="B375" s="3" t="inlineStr">
        <is>
          <t xml:space="preserve">2026-02-03</t>
        </is>
      </c>
      <c r="C375" s="3" t="inlineStr">
        <is>
          <t xml:space="preserve">SKU-E</t>
        </is>
      </c>
      <c r="D375" s="3" t="inlineStr">
        <is>
          <t xml:space="preserve">Complete Ritual</t>
        </is>
      </c>
      <c r="E375" s="6">
        <f>IF('Settings'!$B$11="Scenario",IFERROR(INDEX('Catalogue'!$E$3:$E$100,MATCH(C375,'Catalogue'!$B$3:$B$100,0)),F375),F375)</f>
        <v>89</v>
      </c>
      <c r="F375" s="8">
        <v>89</v>
      </c>
      <c r="G375" s="3">
        <v>1</v>
      </c>
      <c r="H375" s="6">
        <f>IF('Settings'!$B$11="Scenario",ROUND(E375*G375*IFERROR(SUMIF('Pricing &amp; promotions'!$A$6:$A$8,L375,'Pricing &amp; promotions'!$B$6:$B$8)/100,0),2),J375)</f>
        <v>0.0</v>
      </c>
      <c r="I375" s="6">
        <f>ROUND((E375*G375-H375)/IF(OR(K375=TRUE,K375="TRUE",K375="YES",K375=1),1+'Settings'!$B$6/100,1),2)</f>
        <v>73.55</v>
      </c>
      <c r="J375" s="8">
        <v>0.0</v>
      </c>
      <c r="K375" s="3" t="inlineStr">
        <is>
          <t xml:space="preserve">TRUE</t>
        </is>
      </c>
      <c r="L375" s="3"/>
      <c r="M375" s="6">
        <f>ROUND(E375*G375-H375,2)</f>
        <v>89.0</v>
      </c>
      <c r="N375" s="5">
        <f>IF(COUNTIF($A$3:A375,A375)=1,1,0)</f>
        <v>1</v>
      </c>
      <c r="O375" s="6">
        <f>IF(N375=1,ROUND((SUMIFS($M$3:$M$1200,$A$3:$A$1200,A375)+'Settings'!$B$13)*'Settings'!$B$14/100+'Settings'!$B$15,2),0)</f>
        <v>1.63</v>
      </c>
    </row>
    <row r="376">
      <c r="A376" s="3" t="inlineStr">
        <is>
          <t xml:space="preserve">#1274</t>
        </is>
      </c>
      <c r="B376" s="3" t="inlineStr">
        <is>
          <t xml:space="preserve">2026-02-04</t>
        </is>
      </c>
      <c r="C376" s="3" t="inlineStr">
        <is>
          <t xml:space="preserve">SKU-C</t>
        </is>
      </c>
      <c r="D376" s="3" t="inlineStr">
        <is>
          <t xml:space="preserve">Contour Stone</t>
        </is>
      </c>
      <c r="E376" s="6">
        <f>IF('Settings'!$B$11="Scenario",IFERROR(INDEX('Catalogue'!$E$3:$E$100,MATCH(C376,'Catalogue'!$B$3:$B$100,0)),F376),F376)</f>
        <v>29</v>
      </c>
      <c r="F376" s="8">
        <v>29</v>
      </c>
      <c r="G376" s="3">
        <v>2</v>
      </c>
      <c r="H376" s="6">
        <f>IF('Settings'!$B$11="Scenario",ROUND(E376*G376*IFERROR(SUMIF('Pricing &amp; promotions'!$A$6:$A$8,L376,'Pricing &amp; promotions'!$B$6:$B$8)/100,0),2),J376)</f>
        <v>5.8</v>
      </c>
      <c r="I376" s="6">
        <f>ROUND((E376*G376-H376)/IF(OR(K376=TRUE,K376="TRUE",K376="YES",K376=1),1+'Settings'!$B$6/100,1),2)</f>
        <v>43.14</v>
      </c>
      <c r="J376" s="8">
        <v>5.8</v>
      </c>
      <c r="K376" s="3" t="inlineStr">
        <is>
          <t xml:space="preserve">TRUE</t>
        </is>
      </c>
      <c r="L376" s="3" t="inlineStr">
        <is>
          <t xml:space="preserve">WELCOME10</t>
        </is>
      </c>
      <c r="M376" s="6">
        <f>ROUND(E376*G376-H376,2)</f>
        <v>52.2</v>
      </c>
      <c r="N376" s="5">
        <f>IF(COUNTIF($A$3:A376,A376)=1,1,0)</f>
        <v>1</v>
      </c>
      <c r="O376" s="6">
        <f>IF(N376=1,ROUND((SUMIFS($M$3:$M$1200,$A$3:$A$1200,A376)+'Settings'!$B$13)*'Settings'!$B$14/100+'Settings'!$B$15,2),0)</f>
        <v>1.08</v>
      </c>
    </row>
    <row r="377">
      <c r="A377" s="3" t="inlineStr">
        <is>
          <t xml:space="preserve">#1275</t>
        </is>
      </c>
      <c r="B377" s="3" t="inlineStr">
        <is>
          <t xml:space="preserve">2026-02-05</t>
        </is>
      </c>
      <c r="C377" s="3" t="inlineStr">
        <is>
          <t xml:space="preserve">SKU-D</t>
        </is>
      </c>
      <c r="D377" s="3" t="inlineStr">
        <is>
          <t xml:space="preserve">Daily Duo</t>
        </is>
      </c>
      <c r="E377" s="6">
        <f>IF('Settings'!$B$11="Scenario",IFERROR(INDEX('Catalogue'!$E$3:$E$100,MATCH(C377,'Catalogue'!$B$3:$B$100,0)),F377),F377)</f>
        <v>79</v>
      </c>
      <c r="F377" s="8">
        <v>79</v>
      </c>
      <c r="G377" s="3">
        <v>1</v>
      </c>
      <c r="H377" s="6">
        <f>IF('Settings'!$B$11="Scenario",ROUND(E377*G377*IFERROR(SUMIF('Pricing &amp; promotions'!$A$6:$A$8,L377,'Pricing &amp; promotions'!$B$6:$B$8)/100,0),2),J377)</f>
        <v>0.0</v>
      </c>
      <c r="I377" s="6">
        <f>ROUND((E377*G377-H377)/IF(OR(K377=TRUE,K377="TRUE",K377="YES",K377=1),1+'Settings'!$B$6/100,1),2)</f>
        <v>65.29</v>
      </c>
      <c r="J377" s="8">
        <v>0.0</v>
      </c>
      <c r="K377" s="3" t="inlineStr">
        <is>
          <t xml:space="preserve">TRUE</t>
        </is>
      </c>
      <c r="L377" s="3"/>
      <c r="M377" s="6">
        <f>ROUND(E377*G377-H377,2)</f>
        <v>79.0</v>
      </c>
      <c r="N377" s="5">
        <f>IF(COUNTIF($A$3:A377,A377)=1,1,0)</f>
        <v>1</v>
      </c>
      <c r="O377" s="6">
        <f>IF(N377=1,ROUND((SUMIFS($M$3:$M$1200,$A$3:$A$1200,A377)+'Settings'!$B$13)*'Settings'!$B$14/100+'Settings'!$B$15,2),0)</f>
        <v>2.81</v>
      </c>
    </row>
    <row r="378">
      <c r="A378" s="3" t="inlineStr">
        <is>
          <t xml:space="preserve">#1275</t>
        </is>
      </c>
      <c r="B378" s="3" t="inlineStr">
        <is>
          <t xml:space="preserve">2026-02-05</t>
        </is>
      </c>
      <c r="C378" s="3" t="inlineStr">
        <is>
          <t xml:space="preserve">SKU-B</t>
        </is>
      </c>
      <c r="D378" s="3" t="inlineStr">
        <is>
          <t xml:space="preserve">Barrier Balm</t>
        </is>
      </c>
      <c r="E378" s="6">
        <f>IF('Settings'!$B$11="Scenario",IFERROR(INDEX('Catalogue'!$E$3:$E$100,MATCH(C378,'Catalogue'!$B$3:$B$100,0)),F378),F378)</f>
        <v>19</v>
      </c>
      <c r="F378" s="8">
        <v>18</v>
      </c>
      <c r="G378" s="3">
        <v>1</v>
      </c>
      <c r="H378" s="6">
        <f>IF('Settings'!$B$11="Scenario",ROUND(E378*G378*IFERROR(SUMIF('Pricing &amp; promotions'!$A$6:$A$8,L378,'Pricing &amp; promotions'!$B$6:$B$8)/100,0),2),J378)</f>
        <v>0.0</v>
      </c>
      <c r="I378" s="6">
        <f>ROUND((E378*G378-H378)/IF(OR(K378=TRUE,K378="TRUE",K378="YES",K378=1),1+'Settings'!$B$6/100,1),2)</f>
        <v>15.7</v>
      </c>
      <c r="J378" s="8">
        <v>0.0</v>
      </c>
      <c r="K378" s="3" t="inlineStr">
        <is>
          <t xml:space="preserve">TRUE</t>
        </is>
      </c>
      <c r="L378" s="3"/>
      <c r="M378" s="6">
        <f>ROUND(E378*G378-H378,2)</f>
        <v>19.0</v>
      </c>
      <c r="N378" s="5">
        <f>IF(COUNTIF($A$3:A378,A378)=1,1,0)</f>
        <v>0</v>
      </c>
      <c r="O378" s="6">
        <f>IF(N378=1,ROUND((SUMIFS($M$3:$M$1200,$A$3:$A$1200,A378)+'Settings'!$B$13)*'Settings'!$B$14/100+'Settings'!$B$15,2),0)</f>
        <v>0</v>
      </c>
    </row>
    <row r="379">
      <c r="A379" s="3" t="inlineStr">
        <is>
          <t xml:space="preserve">#1275</t>
        </is>
      </c>
      <c r="B379" s="3" t="inlineStr">
        <is>
          <t xml:space="preserve">2026-02-05</t>
        </is>
      </c>
      <c r="C379" s="3" t="inlineStr">
        <is>
          <t xml:space="preserve">SKU-A</t>
        </is>
      </c>
      <c r="D379" s="3" t="inlineStr">
        <is>
          <t xml:space="preserve">Renewal Serum</t>
        </is>
      </c>
      <c r="E379" s="6">
        <f>IF('Settings'!$B$11="Scenario",IFERROR(INDEX('Catalogue'!$E$3:$E$100,MATCH(C379,'Catalogue'!$B$3:$B$100,0)),F379),F379)</f>
        <v>69.9</v>
      </c>
      <c r="F379" s="8">
        <v>69.9</v>
      </c>
      <c r="G379" s="3">
        <v>1</v>
      </c>
      <c r="H379" s="6">
        <f>IF('Settings'!$B$11="Scenario",ROUND(E379*G379*IFERROR(SUMIF('Pricing &amp; promotions'!$A$6:$A$8,L379,'Pricing &amp; promotions'!$B$6:$B$8)/100,0),2),J379)</f>
        <v>0.0</v>
      </c>
      <c r="I379" s="6">
        <f>ROUND((E379*G379-H379)/IF(OR(K379=TRUE,K379="TRUE",K379="YES",K379=1),1+'Settings'!$B$6/100,1),2)</f>
        <v>57.77</v>
      </c>
      <c r="J379" s="8">
        <v>0.0</v>
      </c>
      <c r="K379" s="3" t="inlineStr">
        <is>
          <t xml:space="preserve">TRUE</t>
        </is>
      </c>
      <c r="L379" s="3"/>
      <c r="M379" s="6">
        <f>ROUND(E379*G379-H379,2)</f>
        <v>69.9</v>
      </c>
      <c r="N379" s="5">
        <f>IF(COUNTIF($A$3:A379,A379)=1,1,0)</f>
        <v>0</v>
      </c>
      <c r="O379" s="6">
        <f>IF(N379=1,ROUND((SUMIFS($M$3:$M$1200,$A$3:$A$1200,A379)+'Settings'!$B$13)*'Settings'!$B$14/100+'Settings'!$B$15,2),0)</f>
        <v>0</v>
      </c>
    </row>
    <row r="380">
      <c r="A380" s="3" t="inlineStr">
        <is>
          <t xml:space="preserve">#1276</t>
        </is>
      </c>
      <c r="B380" s="3" t="inlineStr">
        <is>
          <t xml:space="preserve">2026-02-05</t>
        </is>
      </c>
      <c r="C380" s="3" t="inlineStr">
        <is>
          <t xml:space="preserve">SKU-C</t>
        </is>
      </c>
      <c r="D380" s="3" t="inlineStr">
        <is>
          <t xml:space="preserve">Contour Stone</t>
        </is>
      </c>
      <c r="E380" s="6">
        <f>IF('Settings'!$B$11="Scenario",IFERROR(INDEX('Catalogue'!$E$3:$E$100,MATCH(C380,'Catalogue'!$B$3:$B$100,0)),F380),F380)</f>
        <v>29</v>
      </c>
      <c r="F380" s="8">
        <v>29</v>
      </c>
      <c r="G380" s="3">
        <v>1</v>
      </c>
      <c r="H380" s="6">
        <f>IF('Settings'!$B$11="Scenario",ROUND(E380*G380*IFERROR(SUMIF('Pricing &amp; promotions'!$A$6:$A$8,L380,'Pricing &amp; promotions'!$B$6:$B$8)/100,0),2),J380)</f>
        <v>0.0</v>
      </c>
      <c r="I380" s="6">
        <f>ROUND((E380*G380-H380)/IF(OR(K380=TRUE,K380="TRUE",K380="YES",K380=1),1+'Settings'!$B$6/100,1),2)</f>
        <v>23.97</v>
      </c>
      <c r="J380" s="8">
        <v>0.0</v>
      </c>
      <c r="K380" s="3" t="inlineStr">
        <is>
          <t xml:space="preserve">TRUE</t>
        </is>
      </c>
      <c r="L380" s="3"/>
      <c r="M380" s="6">
        <f>ROUND(E380*G380-H380,2)</f>
        <v>29.0</v>
      </c>
      <c r="N380" s="5">
        <f>IF(COUNTIF($A$3:A380,A380)=1,1,0)</f>
        <v>1</v>
      </c>
      <c r="O380" s="6">
        <f>IF(N380=1,ROUND((SUMIFS($M$3:$M$1200,$A$3:$A$1200,A380)+'Settings'!$B$13)*'Settings'!$B$14/100+'Settings'!$B$15,2),0)</f>
        <v>0.73</v>
      </c>
    </row>
    <row r="381">
      <c r="A381" s="3" t="inlineStr">
        <is>
          <t xml:space="preserve">#1277</t>
        </is>
      </c>
      <c r="B381" s="3" t="inlineStr">
        <is>
          <t xml:space="preserve">2026-02-06</t>
        </is>
      </c>
      <c r="C381" s="3" t="inlineStr">
        <is>
          <t xml:space="preserve">SKU-F</t>
        </is>
      </c>
      <c r="D381" s="3" t="inlineStr">
        <is>
          <t xml:space="preserve">Cloud Cleanser</t>
        </is>
      </c>
      <c r="E381" s="6">
        <f>IF('Settings'!$B$11="Scenario",IFERROR(INDEX('Catalogue'!$E$3:$E$100,MATCH(C381,'Catalogue'!$B$3:$B$100,0)),F381),F381)</f>
        <v>34</v>
      </c>
      <c r="F381" s="8">
        <v>34</v>
      </c>
      <c r="G381" s="3">
        <v>1</v>
      </c>
      <c r="H381" s="6">
        <f>IF('Settings'!$B$11="Scenario",ROUND(E381*G381*IFERROR(SUMIF('Pricing &amp; promotions'!$A$6:$A$8,L381,'Pricing &amp; promotions'!$B$6:$B$8)/100,0),2),J381)</f>
        <v>6.8</v>
      </c>
      <c r="I381" s="6">
        <f>ROUND((E381*G381-H381)/IF(OR(K381=TRUE,K381="TRUE",K381="YES",K381=1),1+'Settings'!$B$6/100,1),2)</f>
        <v>22.48</v>
      </c>
      <c r="J381" s="8">
        <v>6.8</v>
      </c>
      <c r="K381" s="3" t="inlineStr">
        <is>
          <t xml:space="preserve">TRUE</t>
        </is>
      </c>
      <c r="L381" s="3" t="inlineStr">
        <is>
          <t xml:space="preserve">VIP20</t>
        </is>
      </c>
      <c r="M381" s="6">
        <f>ROUND(E381*G381-H381,2)</f>
        <v>27.2</v>
      </c>
      <c r="N381" s="5">
        <f>IF(COUNTIF($A$3:A381,A381)=1,1,0)</f>
        <v>1</v>
      </c>
      <c r="O381" s="6">
        <f>IF(N381=1,ROUND((SUMIFS($M$3:$M$1200,$A$3:$A$1200,A381)+'Settings'!$B$13)*'Settings'!$B$14/100+'Settings'!$B$15,2),0)</f>
        <v>0.7</v>
      </c>
    </row>
    <row r="382">
      <c r="A382" s="3" t="inlineStr">
        <is>
          <t xml:space="preserve">#1278</t>
        </is>
      </c>
      <c r="B382" s="3" t="inlineStr">
        <is>
          <t xml:space="preserve">2026-02-07</t>
        </is>
      </c>
      <c r="C382" s="3" t="inlineStr">
        <is>
          <t xml:space="preserve">SKU-E</t>
        </is>
      </c>
      <c r="D382" s="3" t="inlineStr">
        <is>
          <t xml:space="preserve">Complete Ritual</t>
        </is>
      </c>
      <c r="E382" s="6">
        <f>IF('Settings'!$B$11="Scenario",IFERROR(INDEX('Catalogue'!$E$3:$E$100,MATCH(C382,'Catalogue'!$B$3:$B$100,0)),F382),F382)</f>
        <v>89</v>
      </c>
      <c r="F382" s="8">
        <v>89</v>
      </c>
      <c r="G382" s="3">
        <v>1</v>
      </c>
      <c r="H382" s="6">
        <f>IF('Settings'!$B$11="Scenario",ROUND(E382*G382*IFERROR(SUMIF('Pricing &amp; promotions'!$A$6:$A$8,L382,'Pricing &amp; promotions'!$B$6:$B$8)/100,0),2),J382)</f>
        <v>0.0</v>
      </c>
      <c r="I382" s="6">
        <f>ROUND((E382*G382-H382)/IF(OR(K382=TRUE,K382="TRUE",K382="YES",K382=1),1+'Settings'!$B$6/100,1),2)</f>
        <v>73.55</v>
      </c>
      <c r="J382" s="8">
        <v>0.0</v>
      </c>
      <c r="K382" s="3" t="inlineStr">
        <is>
          <t xml:space="preserve">TRUE</t>
        </is>
      </c>
      <c r="L382" s="3"/>
      <c r="M382" s="6">
        <f>ROUND(E382*G382-H382,2)</f>
        <v>89.0</v>
      </c>
      <c r="N382" s="5">
        <f>IF(COUNTIF($A$3:A382,A382)=1,1,0)</f>
        <v>1</v>
      </c>
      <c r="O382" s="6">
        <f>IF(N382=1,ROUND((SUMIFS($M$3:$M$1200,$A$3:$A$1200,A382)+'Settings'!$B$13)*'Settings'!$B$14/100+'Settings'!$B$15,2),0)</f>
        <v>1.63</v>
      </c>
    </row>
    <row r="383">
      <c r="A383" s="3" t="inlineStr">
        <is>
          <t xml:space="preserve">#1279</t>
        </is>
      </c>
      <c r="B383" s="3" t="inlineStr">
        <is>
          <t xml:space="preserve">2026-02-07</t>
        </is>
      </c>
      <c r="C383" s="3" t="inlineStr">
        <is>
          <t xml:space="preserve">SKU-E</t>
        </is>
      </c>
      <c r="D383" s="3" t="inlineStr">
        <is>
          <t xml:space="preserve">Complete Ritual</t>
        </is>
      </c>
      <c r="E383" s="6">
        <f>IF('Settings'!$B$11="Scenario",IFERROR(INDEX('Catalogue'!$E$3:$E$100,MATCH(C383,'Catalogue'!$B$3:$B$100,0)),F383),F383)</f>
        <v>89</v>
      </c>
      <c r="F383" s="8">
        <v>89</v>
      </c>
      <c r="G383" s="3">
        <v>1</v>
      </c>
      <c r="H383" s="6">
        <f>IF('Settings'!$B$11="Scenario",ROUND(E383*G383*IFERROR(SUMIF('Pricing &amp; promotions'!$A$6:$A$8,L383,'Pricing &amp; promotions'!$B$6:$B$8)/100,0),2),J383)</f>
        <v>13.35</v>
      </c>
      <c r="I383" s="6">
        <f>ROUND((E383*G383-H383)/IF(OR(K383=TRUE,K383="TRUE",K383="YES",K383=1),1+'Settings'!$B$6/100,1),2)</f>
        <v>62.52</v>
      </c>
      <c r="J383" s="8">
        <v>13.35</v>
      </c>
      <c r="K383" s="3" t="inlineStr">
        <is>
          <t xml:space="preserve">TRUE</t>
        </is>
      </c>
      <c r="L383" s="3" t="inlineStr">
        <is>
          <t xml:space="preserve">SUMMER15</t>
        </is>
      </c>
      <c r="M383" s="6">
        <f>ROUND(E383*G383-H383,2)</f>
        <v>75.65</v>
      </c>
      <c r="N383" s="5">
        <f>IF(COUNTIF($A$3:A383,A383)=1,1,0)</f>
        <v>1</v>
      </c>
      <c r="O383" s="6">
        <f>IF(N383=1,ROUND((SUMIFS($M$3:$M$1200,$A$3:$A$1200,A383)+'Settings'!$B$13)*'Settings'!$B$14/100+'Settings'!$B$15,2),0)</f>
        <v>1.43</v>
      </c>
    </row>
    <row r="384">
      <c r="A384" s="3" t="inlineStr">
        <is>
          <t xml:space="preserve">#1280</t>
        </is>
      </c>
      <c r="B384" s="3" t="inlineStr">
        <is>
          <t xml:space="preserve">2026-02-08</t>
        </is>
      </c>
      <c r="C384" s="3" t="inlineStr">
        <is>
          <t xml:space="preserve">SKU-A</t>
        </is>
      </c>
      <c r="D384" s="3" t="inlineStr">
        <is>
          <t xml:space="preserve">Renewal Serum</t>
        </is>
      </c>
      <c r="E384" s="6">
        <f>IF('Settings'!$B$11="Scenario",IFERROR(INDEX('Catalogue'!$E$3:$E$100,MATCH(C384,'Catalogue'!$B$3:$B$100,0)),F384),F384)</f>
        <v>69.9</v>
      </c>
      <c r="F384" s="8">
        <v>69.9</v>
      </c>
      <c r="G384" s="3">
        <v>1</v>
      </c>
      <c r="H384" s="6">
        <f>IF('Settings'!$B$11="Scenario",ROUND(E384*G384*IFERROR(SUMIF('Pricing &amp; promotions'!$A$6:$A$8,L384,'Pricing &amp; promotions'!$B$6:$B$8)/100,0),2),J384)</f>
        <v>0.0</v>
      </c>
      <c r="I384" s="6">
        <f>ROUND((E384*G384-H384)/IF(OR(K384=TRUE,K384="TRUE",K384="YES",K384=1),1+'Settings'!$B$6/100,1),2)</f>
        <v>57.77</v>
      </c>
      <c r="J384" s="8">
        <v>0.0</v>
      </c>
      <c r="K384" s="3" t="inlineStr">
        <is>
          <t xml:space="preserve">TRUE</t>
        </is>
      </c>
      <c r="L384" s="3"/>
      <c r="M384" s="6">
        <f>ROUND(E384*G384-H384,2)</f>
        <v>69.9</v>
      </c>
      <c r="N384" s="5">
        <f>IF(COUNTIF($A$3:A384,A384)=1,1,0)</f>
        <v>1</v>
      </c>
      <c r="O384" s="6">
        <f>IF(N384=1,ROUND((SUMIFS($M$3:$M$1200,$A$3:$A$1200,A384)+'Settings'!$B$13)*'Settings'!$B$14/100+'Settings'!$B$15,2),0)</f>
        <v>1.34</v>
      </c>
    </row>
    <row r="385">
      <c r="A385" s="3" t="inlineStr">
        <is>
          <t xml:space="preserve">#1281</t>
        </is>
      </c>
      <c r="B385" s="3" t="inlineStr">
        <is>
          <t xml:space="preserve">2026-02-08</t>
        </is>
      </c>
      <c r="C385" s="3" t="inlineStr">
        <is>
          <t xml:space="preserve">SKU-C</t>
        </is>
      </c>
      <c r="D385" s="3" t="inlineStr">
        <is>
          <t xml:space="preserve">Contour Stone</t>
        </is>
      </c>
      <c r="E385" s="6">
        <f>IF('Settings'!$B$11="Scenario",IFERROR(INDEX('Catalogue'!$E$3:$E$100,MATCH(C385,'Catalogue'!$B$3:$B$100,0)),F385),F385)</f>
        <v>29</v>
      </c>
      <c r="F385" s="8">
        <v>29</v>
      </c>
      <c r="G385" s="3">
        <v>1</v>
      </c>
      <c r="H385" s="6">
        <f>IF('Settings'!$B$11="Scenario",ROUND(E385*G385*IFERROR(SUMIF('Pricing &amp; promotions'!$A$6:$A$8,L385,'Pricing &amp; promotions'!$B$6:$B$8)/100,0),2),J385)</f>
        <v>2.9</v>
      </c>
      <c r="I385" s="6">
        <f>ROUND((E385*G385-H385)/IF(OR(K385=TRUE,K385="TRUE",K385="YES",K385=1),1+'Settings'!$B$6/100,1),2)</f>
        <v>21.57</v>
      </c>
      <c r="J385" s="8">
        <v>2.9</v>
      </c>
      <c r="K385" s="3" t="inlineStr">
        <is>
          <t xml:space="preserve">TRUE</t>
        </is>
      </c>
      <c r="L385" s="3" t="inlineStr">
        <is>
          <t xml:space="preserve">WELCOME10</t>
        </is>
      </c>
      <c r="M385" s="6">
        <f>ROUND(E385*G385-H385,2)</f>
        <v>26.1</v>
      </c>
      <c r="N385" s="5">
        <f>IF(COUNTIF($A$3:A385,A385)=1,1,0)</f>
        <v>1</v>
      </c>
      <c r="O385" s="6">
        <f>IF(N385=1,ROUND((SUMIFS($M$3:$M$1200,$A$3:$A$1200,A385)+'Settings'!$B$13)*'Settings'!$B$14/100+'Settings'!$B$15,2),0)</f>
        <v>1.62</v>
      </c>
    </row>
    <row r="386">
      <c r="A386" s="3" t="inlineStr">
        <is>
          <t xml:space="preserve">#1281</t>
        </is>
      </c>
      <c r="B386" s="3" t="inlineStr">
        <is>
          <t xml:space="preserve">2026-02-08</t>
        </is>
      </c>
      <c r="C386" s="3" t="inlineStr">
        <is>
          <t xml:space="preserve">SKU-G</t>
        </is>
      </c>
      <c r="D386" s="3" t="inlineStr">
        <is>
          <t xml:space="preserve">Daily Reset Set</t>
        </is>
      </c>
      <c r="E386" s="6">
        <f>IF('Settings'!$B$11="Scenario",IFERROR(INDEX('Catalogue'!$E$3:$E$100,MATCH(C386,'Catalogue'!$B$3:$B$100,0)),F386),F386)</f>
        <v>69</v>
      </c>
      <c r="F386" s="8">
        <v>69</v>
      </c>
      <c r="G386" s="3">
        <v>1</v>
      </c>
      <c r="H386" s="6">
        <f>IF('Settings'!$B$11="Scenario",ROUND(E386*G386*IFERROR(SUMIF('Pricing &amp; promotions'!$A$6:$A$8,L386,'Pricing &amp; promotions'!$B$6:$B$8)/100,0),2),J386)</f>
        <v>6.9</v>
      </c>
      <c r="I386" s="6">
        <f>ROUND((E386*G386-H386)/IF(OR(K386=TRUE,K386="TRUE",K386="YES",K386=1),1+'Settings'!$B$6/100,1),2)</f>
        <v>51.32</v>
      </c>
      <c r="J386" s="8">
        <v>6.9</v>
      </c>
      <c r="K386" s="3" t="inlineStr">
        <is>
          <t xml:space="preserve">TRUE</t>
        </is>
      </c>
      <c r="L386" s="3" t="inlineStr">
        <is>
          <t xml:space="preserve">WELCOME10</t>
        </is>
      </c>
      <c r="M386" s="6">
        <f>ROUND(E386*G386-H386,2)</f>
        <v>62.1</v>
      </c>
      <c r="N386" s="5">
        <f>IF(COUNTIF($A$3:A386,A386)=1,1,0)</f>
        <v>0</v>
      </c>
      <c r="O386" s="6">
        <f>IF(N386=1,ROUND((SUMIFS($M$3:$M$1200,$A$3:$A$1200,A386)+'Settings'!$B$13)*'Settings'!$B$14/100+'Settings'!$B$15,2),0)</f>
        <v>0</v>
      </c>
    </row>
    <row r="387">
      <c r="A387" s="3" t="inlineStr">
        <is>
          <t xml:space="preserve">#1282</t>
        </is>
      </c>
      <c r="B387" s="3" t="inlineStr">
        <is>
          <t xml:space="preserve">2026-02-08</t>
        </is>
      </c>
      <c r="C387" s="3" t="inlineStr">
        <is>
          <t xml:space="preserve">SKU-B</t>
        </is>
      </c>
      <c r="D387" s="3" t="inlineStr">
        <is>
          <t xml:space="preserve">Barrier Balm</t>
        </is>
      </c>
      <c r="E387" s="6">
        <f>IF('Settings'!$B$11="Scenario",IFERROR(INDEX('Catalogue'!$E$3:$E$100,MATCH(C387,'Catalogue'!$B$3:$B$100,0)),F387),F387)</f>
        <v>19</v>
      </c>
      <c r="F387" s="8">
        <v>18</v>
      </c>
      <c r="G387" s="3">
        <v>1</v>
      </c>
      <c r="H387" s="6">
        <f>IF('Settings'!$B$11="Scenario",ROUND(E387*G387*IFERROR(SUMIF('Pricing &amp; promotions'!$A$6:$A$8,L387,'Pricing &amp; promotions'!$B$6:$B$8)/100,0),2),J387)</f>
        <v>0.0</v>
      </c>
      <c r="I387" s="6">
        <f>ROUND((E387*G387-H387)/IF(OR(K387=TRUE,K387="TRUE",K387="YES",K387=1),1+'Settings'!$B$6/100,1),2)</f>
        <v>15.7</v>
      </c>
      <c r="J387" s="8">
        <v>0.0</v>
      </c>
      <c r="K387" s="3" t="inlineStr">
        <is>
          <t xml:space="preserve">TRUE</t>
        </is>
      </c>
      <c r="L387" s="3"/>
      <c r="M387" s="6">
        <f>ROUND(E387*G387-H387,2)</f>
        <v>19.0</v>
      </c>
      <c r="N387" s="5">
        <f>IF(COUNTIF($A$3:A387,A387)=1,1,0)</f>
        <v>1</v>
      </c>
      <c r="O387" s="6">
        <f>IF(N387=1,ROUND((SUMIFS($M$3:$M$1200,$A$3:$A$1200,A387)+'Settings'!$B$13)*'Settings'!$B$14/100+'Settings'!$B$15,2),0)</f>
        <v>0.58</v>
      </c>
    </row>
    <row r="388">
      <c r="A388" s="3" t="inlineStr">
        <is>
          <t xml:space="preserve">#1283</t>
        </is>
      </c>
      <c r="B388" s="3" t="inlineStr">
        <is>
          <t xml:space="preserve">2026-02-09</t>
        </is>
      </c>
      <c r="C388" s="3" t="inlineStr">
        <is>
          <t xml:space="preserve">SKU-C</t>
        </is>
      </c>
      <c r="D388" s="3" t="inlineStr">
        <is>
          <t xml:space="preserve">Contour Stone</t>
        </is>
      </c>
      <c r="E388" s="6">
        <f>IF('Settings'!$B$11="Scenario",IFERROR(INDEX('Catalogue'!$E$3:$E$100,MATCH(C388,'Catalogue'!$B$3:$B$100,0)),F388),F388)</f>
        <v>29</v>
      </c>
      <c r="F388" s="8">
        <v>29</v>
      </c>
      <c r="G388" s="3">
        <v>1</v>
      </c>
      <c r="H388" s="6">
        <f>IF('Settings'!$B$11="Scenario",ROUND(E388*G388*IFERROR(SUMIF('Pricing &amp; promotions'!$A$6:$A$8,L388,'Pricing &amp; promotions'!$B$6:$B$8)/100,0),2),J388)</f>
        <v>0.0</v>
      </c>
      <c r="I388" s="6">
        <f>ROUND((E388*G388-H388)/IF(OR(K388=TRUE,K388="TRUE",K388="YES",K388=1),1+'Settings'!$B$6/100,1),2)</f>
        <v>23.97</v>
      </c>
      <c r="J388" s="8">
        <v>0.0</v>
      </c>
      <c r="K388" s="3" t="inlineStr">
        <is>
          <t xml:space="preserve">TRUE</t>
        </is>
      </c>
      <c r="L388" s="3"/>
      <c r="M388" s="6">
        <f>ROUND(E388*G388-H388,2)</f>
        <v>29.0</v>
      </c>
      <c r="N388" s="5">
        <f>IF(COUNTIF($A$3:A388,A388)=1,1,0)</f>
        <v>1</v>
      </c>
      <c r="O388" s="6">
        <f>IF(N388=1,ROUND((SUMIFS($M$3:$M$1200,$A$3:$A$1200,A388)+'Settings'!$B$13)*'Settings'!$B$14/100+'Settings'!$B$15,2),0)</f>
        <v>1.78</v>
      </c>
    </row>
    <row r="389">
      <c r="A389" s="3" t="inlineStr">
        <is>
          <t xml:space="preserve">#1283</t>
        </is>
      </c>
      <c r="B389" s="3" t="inlineStr">
        <is>
          <t xml:space="preserve">2026-02-09</t>
        </is>
      </c>
      <c r="C389" s="3" t="inlineStr">
        <is>
          <t xml:space="preserve">SKU-A</t>
        </is>
      </c>
      <c r="D389" s="3" t="inlineStr">
        <is>
          <t xml:space="preserve">Renewal Serum</t>
        </is>
      </c>
      <c r="E389" s="6">
        <f>IF('Settings'!$B$11="Scenario",IFERROR(INDEX('Catalogue'!$E$3:$E$100,MATCH(C389,'Catalogue'!$B$3:$B$100,0)),F389),F389)</f>
        <v>69.9</v>
      </c>
      <c r="F389" s="8">
        <v>69.9</v>
      </c>
      <c r="G389" s="3">
        <v>1</v>
      </c>
      <c r="H389" s="6">
        <f>IF('Settings'!$B$11="Scenario",ROUND(E389*G389*IFERROR(SUMIF('Pricing &amp; promotions'!$A$6:$A$8,L389,'Pricing &amp; promotions'!$B$6:$B$8)/100,0),2),J389)</f>
        <v>0.0</v>
      </c>
      <c r="I389" s="6">
        <f>ROUND((E389*G389-H389)/IF(OR(K389=TRUE,K389="TRUE",K389="YES",K389=1),1+'Settings'!$B$6/100,1),2)</f>
        <v>57.77</v>
      </c>
      <c r="J389" s="8">
        <v>0.0</v>
      </c>
      <c r="K389" s="3" t="inlineStr">
        <is>
          <t xml:space="preserve">TRUE</t>
        </is>
      </c>
      <c r="L389" s="3"/>
      <c r="M389" s="6">
        <f>ROUND(E389*G389-H389,2)</f>
        <v>69.9</v>
      </c>
      <c r="N389" s="5">
        <f>IF(COUNTIF($A$3:A389,A389)=1,1,0)</f>
        <v>0</v>
      </c>
      <c r="O389" s="6">
        <f>IF(N389=1,ROUND((SUMIFS($M$3:$M$1200,$A$3:$A$1200,A389)+'Settings'!$B$13)*'Settings'!$B$14/100+'Settings'!$B$15,2),0)</f>
        <v>0</v>
      </c>
    </row>
    <row r="390">
      <c r="A390" s="3" t="inlineStr">
        <is>
          <t xml:space="preserve">#1284</t>
        </is>
      </c>
      <c r="B390" s="3" t="inlineStr">
        <is>
          <t xml:space="preserve">2026-02-09</t>
        </is>
      </c>
      <c r="C390" s="3" t="inlineStr">
        <is>
          <t xml:space="preserve">SKU-A</t>
        </is>
      </c>
      <c r="D390" s="3" t="inlineStr">
        <is>
          <t xml:space="preserve">Renewal Serum</t>
        </is>
      </c>
      <c r="E390" s="6">
        <f>IF('Settings'!$B$11="Scenario",IFERROR(INDEX('Catalogue'!$E$3:$E$100,MATCH(C390,'Catalogue'!$B$3:$B$100,0)),F390),F390)</f>
        <v>69.9</v>
      </c>
      <c r="F390" s="8">
        <v>69.9</v>
      </c>
      <c r="G390" s="3">
        <v>1</v>
      </c>
      <c r="H390" s="6">
        <f>IF('Settings'!$B$11="Scenario",ROUND(E390*G390*IFERROR(SUMIF('Pricing &amp; promotions'!$A$6:$A$8,L390,'Pricing &amp; promotions'!$B$6:$B$8)/100,0),2),J390)</f>
        <v>0.0</v>
      </c>
      <c r="I390" s="6">
        <f>ROUND((E390*G390-H390)/IF(OR(K390=TRUE,K390="TRUE",K390="YES",K390=1),1+'Settings'!$B$6/100,1),2)</f>
        <v>57.77</v>
      </c>
      <c r="J390" s="8">
        <v>0.0</v>
      </c>
      <c r="K390" s="3" t="inlineStr">
        <is>
          <t xml:space="preserve">TRUE</t>
        </is>
      </c>
      <c r="L390" s="3"/>
      <c r="M390" s="6">
        <f>ROUND(E390*G390-H390,2)</f>
        <v>69.9</v>
      </c>
      <c r="N390" s="5">
        <f>IF(COUNTIF($A$3:A390,A390)=1,1,0)</f>
        <v>1</v>
      </c>
      <c r="O390" s="6">
        <f>IF(N390=1,ROUND((SUMIFS($M$3:$M$1200,$A$3:$A$1200,A390)+'Settings'!$B$13)*'Settings'!$B$14/100+'Settings'!$B$15,2),0)</f>
        <v>2.68</v>
      </c>
    </row>
    <row r="391">
      <c r="A391" s="3" t="inlineStr">
        <is>
          <t xml:space="preserve">#1284</t>
        </is>
      </c>
      <c r="B391" s="3" t="inlineStr">
        <is>
          <t xml:space="preserve">2026-02-09</t>
        </is>
      </c>
      <c r="C391" s="3" t="inlineStr">
        <is>
          <t xml:space="preserve">SKU-E</t>
        </is>
      </c>
      <c r="D391" s="3" t="inlineStr">
        <is>
          <t xml:space="preserve">Complete Ritual</t>
        </is>
      </c>
      <c r="E391" s="6">
        <f>IF('Settings'!$B$11="Scenario",IFERROR(INDEX('Catalogue'!$E$3:$E$100,MATCH(C391,'Catalogue'!$B$3:$B$100,0)),F391),F391)</f>
        <v>89</v>
      </c>
      <c r="F391" s="8">
        <v>89</v>
      </c>
      <c r="G391" s="3">
        <v>1</v>
      </c>
      <c r="H391" s="6">
        <f>IF('Settings'!$B$11="Scenario",ROUND(E391*G391*IFERROR(SUMIF('Pricing &amp; promotions'!$A$6:$A$8,L391,'Pricing &amp; promotions'!$B$6:$B$8)/100,0),2),J391)</f>
        <v>0.0</v>
      </c>
      <c r="I391" s="6">
        <f>ROUND((E391*G391-H391)/IF(OR(K391=TRUE,K391="TRUE",K391="YES",K391=1),1+'Settings'!$B$6/100,1),2)</f>
        <v>73.55</v>
      </c>
      <c r="J391" s="8">
        <v>0.0</v>
      </c>
      <c r="K391" s="3" t="inlineStr">
        <is>
          <t xml:space="preserve">TRUE</t>
        </is>
      </c>
      <c r="L391" s="3"/>
      <c r="M391" s="6">
        <f>ROUND(E391*G391-H391,2)</f>
        <v>89.0</v>
      </c>
      <c r="N391" s="5">
        <f>IF(COUNTIF($A$3:A391,A391)=1,1,0)</f>
        <v>0</v>
      </c>
      <c r="O391" s="6">
        <f>IF(N391=1,ROUND((SUMIFS($M$3:$M$1200,$A$3:$A$1200,A391)+'Settings'!$B$13)*'Settings'!$B$14/100+'Settings'!$B$15,2),0)</f>
        <v>0</v>
      </c>
    </row>
    <row r="392">
      <c r="A392" s="3" t="inlineStr">
        <is>
          <t xml:space="preserve">#1285</t>
        </is>
      </c>
      <c r="B392" s="3" t="inlineStr">
        <is>
          <t xml:space="preserve">2026-02-10</t>
        </is>
      </c>
      <c r="C392" s="3" t="inlineStr">
        <is>
          <t xml:space="preserve">SKU-E</t>
        </is>
      </c>
      <c r="D392" s="3" t="inlineStr">
        <is>
          <t xml:space="preserve">Complete Ritual</t>
        </is>
      </c>
      <c r="E392" s="6">
        <f>IF('Settings'!$B$11="Scenario",IFERROR(INDEX('Catalogue'!$E$3:$E$100,MATCH(C392,'Catalogue'!$B$3:$B$100,0)),F392),F392)</f>
        <v>89</v>
      </c>
      <c r="F392" s="8">
        <v>89</v>
      </c>
      <c r="G392" s="3">
        <v>1</v>
      </c>
      <c r="H392" s="6">
        <f>IF('Settings'!$B$11="Scenario",ROUND(E392*G392*IFERROR(SUMIF('Pricing &amp; promotions'!$A$6:$A$8,L392,'Pricing &amp; promotions'!$B$6:$B$8)/100,0),2),J392)</f>
        <v>13.35</v>
      </c>
      <c r="I392" s="6">
        <f>ROUND((E392*G392-H392)/IF(OR(K392=TRUE,K392="TRUE",K392="YES",K392=1),1+'Settings'!$B$6/100,1),2)</f>
        <v>62.52</v>
      </c>
      <c r="J392" s="8">
        <v>13.35</v>
      </c>
      <c r="K392" s="3" t="inlineStr">
        <is>
          <t xml:space="preserve">TRUE</t>
        </is>
      </c>
      <c r="L392" s="3" t="inlineStr">
        <is>
          <t xml:space="preserve">SUMMER15</t>
        </is>
      </c>
      <c r="M392" s="6">
        <f>ROUND(E392*G392-H392,2)</f>
        <v>75.65</v>
      </c>
      <c r="N392" s="5">
        <f>IF(COUNTIF($A$3:A392,A392)=1,1,0)</f>
        <v>1</v>
      </c>
      <c r="O392" s="6">
        <f>IF(N392=1,ROUND((SUMIFS($M$3:$M$1200,$A$3:$A$1200,A392)+'Settings'!$B$13)*'Settings'!$B$14/100+'Settings'!$B$15,2),0)</f>
        <v>1.43</v>
      </c>
    </row>
    <row r="393">
      <c r="A393" s="3" t="inlineStr">
        <is>
          <t xml:space="preserve">#1286</t>
        </is>
      </c>
      <c r="B393" s="3" t="inlineStr">
        <is>
          <t xml:space="preserve">2026-02-10</t>
        </is>
      </c>
      <c r="C393" s="3" t="inlineStr">
        <is>
          <t xml:space="preserve">SKU-A</t>
        </is>
      </c>
      <c r="D393" s="3" t="inlineStr">
        <is>
          <t xml:space="preserve">Renewal Serum</t>
        </is>
      </c>
      <c r="E393" s="6">
        <f>IF('Settings'!$B$11="Scenario",IFERROR(INDEX('Catalogue'!$E$3:$E$100,MATCH(C393,'Catalogue'!$B$3:$B$100,0)),F393),F393)</f>
        <v>69.9</v>
      </c>
      <c r="F393" s="8">
        <v>69.9</v>
      </c>
      <c r="G393" s="3">
        <v>1</v>
      </c>
      <c r="H393" s="6">
        <f>IF('Settings'!$B$11="Scenario",ROUND(E393*G393*IFERROR(SUMIF('Pricing &amp; promotions'!$A$6:$A$8,L393,'Pricing &amp; promotions'!$B$6:$B$8)/100,0),2),J393)</f>
        <v>0.0</v>
      </c>
      <c r="I393" s="6">
        <f>ROUND((E393*G393-H393)/IF(OR(K393=TRUE,K393="TRUE",K393="YES",K393=1),1+'Settings'!$B$6/100,1),2)</f>
        <v>57.77</v>
      </c>
      <c r="J393" s="8">
        <v>0.0</v>
      </c>
      <c r="K393" s="3" t="inlineStr">
        <is>
          <t xml:space="preserve">TRUE</t>
        </is>
      </c>
      <c r="L393" s="3"/>
      <c r="M393" s="6">
        <f>ROUND(E393*G393-H393,2)</f>
        <v>69.9</v>
      </c>
      <c r="N393" s="5">
        <f>IF(COUNTIF($A$3:A393,A393)=1,1,0)</f>
        <v>1</v>
      </c>
      <c r="O393" s="6">
        <f>IF(N393=1,ROUND((SUMIFS($M$3:$M$1200,$A$3:$A$1200,A393)+'Settings'!$B$13)*'Settings'!$B$14/100+'Settings'!$B$15,2),0)</f>
        <v>1.34</v>
      </c>
    </row>
    <row r="394">
      <c r="A394" s="3" t="inlineStr">
        <is>
          <t xml:space="preserve">#1287</t>
        </is>
      </c>
      <c r="B394" s="3" t="inlineStr">
        <is>
          <t xml:space="preserve">2026-02-10</t>
        </is>
      </c>
      <c r="C394" s="3" t="inlineStr">
        <is>
          <t xml:space="preserve">SKU-A</t>
        </is>
      </c>
      <c r="D394" s="3" t="inlineStr">
        <is>
          <t xml:space="preserve">Renewal Serum</t>
        </is>
      </c>
      <c r="E394" s="6">
        <f>IF('Settings'!$B$11="Scenario",IFERROR(INDEX('Catalogue'!$E$3:$E$100,MATCH(C394,'Catalogue'!$B$3:$B$100,0)),F394),F394)</f>
        <v>69.9</v>
      </c>
      <c r="F394" s="8">
        <v>69.9</v>
      </c>
      <c r="G394" s="3">
        <v>1</v>
      </c>
      <c r="H394" s="6">
        <f>IF('Settings'!$B$11="Scenario",ROUND(E394*G394*IFERROR(SUMIF('Pricing &amp; promotions'!$A$6:$A$8,L394,'Pricing &amp; promotions'!$B$6:$B$8)/100,0),2),J394)</f>
        <v>0.0</v>
      </c>
      <c r="I394" s="6">
        <f>ROUND((E394*G394-H394)/IF(OR(K394=TRUE,K394="TRUE",K394="YES",K394=1),1+'Settings'!$B$6/100,1),2)</f>
        <v>57.77</v>
      </c>
      <c r="J394" s="8">
        <v>0.0</v>
      </c>
      <c r="K394" s="3" t="inlineStr">
        <is>
          <t xml:space="preserve">TRUE</t>
        </is>
      </c>
      <c r="L394" s="3"/>
      <c r="M394" s="6">
        <f>ROUND(E394*G394-H394,2)</f>
        <v>69.9</v>
      </c>
      <c r="N394" s="5">
        <f>IF(COUNTIF($A$3:A394,A394)=1,1,0)</f>
        <v>1</v>
      </c>
      <c r="O394" s="6">
        <f>IF(N394=1,ROUND((SUMIFS($M$3:$M$1200,$A$3:$A$1200,A394)+'Settings'!$B$13)*'Settings'!$B$14/100+'Settings'!$B$15,2),0)</f>
        <v>1.34</v>
      </c>
    </row>
    <row r="395">
      <c r="A395" s="3" t="inlineStr">
        <is>
          <t xml:space="preserve">#1288</t>
        </is>
      </c>
      <c r="B395" s="3" t="inlineStr">
        <is>
          <t xml:space="preserve">2026-02-11</t>
        </is>
      </c>
      <c r="C395" s="3" t="inlineStr">
        <is>
          <t xml:space="preserve">SKU-G</t>
        </is>
      </c>
      <c r="D395" s="3" t="inlineStr">
        <is>
          <t xml:space="preserve">Daily Reset Set</t>
        </is>
      </c>
      <c r="E395" s="6">
        <f>IF('Settings'!$B$11="Scenario",IFERROR(INDEX('Catalogue'!$E$3:$E$100,MATCH(C395,'Catalogue'!$B$3:$B$100,0)),F395),F395)</f>
        <v>69</v>
      </c>
      <c r="F395" s="8">
        <v>69</v>
      </c>
      <c r="G395" s="3">
        <v>1</v>
      </c>
      <c r="H395" s="6">
        <f>IF('Settings'!$B$11="Scenario",ROUND(E395*G395*IFERROR(SUMIF('Pricing &amp; promotions'!$A$6:$A$8,L395,'Pricing &amp; promotions'!$B$6:$B$8)/100,0),2),J395)</f>
        <v>6.9</v>
      </c>
      <c r="I395" s="6">
        <f>ROUND((E395*G395-H395)/IF(OR(K395=TRUE,K395="TRUE",K395="YES",K395=1),1+'Settings'!$B$6/100,1),2)</f>
        <v>51.32</v>
      </c>
      <c r="J395" s="8">
        <v>6.9</v>
      </c>
      <c r="K395" s="3" t="inlineStr">
        <is>
          <t xml:space="preserve">TRUE</t>
        </is>
      </c>
      <c r="L395" s="3" t="inlineStr">
        <is>
          <t xml:space="preserve">WELCOME10</t>
        </is>
      </c>
      <c r="M395" s="6">
        <f>ROUND(E395*G395-H395,2)</f>
        <v>62.1</v>
      </c>
      <c r="N395" s="5">
        <f>IF(COUNTIF($A$3:A395,A395)=1,1,0)</f>
        <v>1</v>
      </c>
      <c r="O395" s="6">
        <f>IF(N395=1,ROUND((SUMIFS($M$3:$M$1200,$A$3:$A$1200,A395)+'Settings'!$B$13)*'Settings'!$B$14/100+'Settings'!$B$15,2),0)</f>
        <v>2.29</v>
      </c>
    </row>
    <row r="396">
      <c r="A396" s="3" t="inlineStr">
        <is>
          <t xml:space="preserve">#1288</t>
        </is>
      </c>
      <c r="B396" s="3" t="inlineStr">
        <is>
          <t xml:space="preserve">2026-02-11</t>
        </is>
      </c>
      <c r="C396" s="3" t="inlineStr">
        <is>
          <t xml:space="preserve">SKU-D</t>
        </is>
      </c>
      <c r="D396" s="3" t="inlineStr">
        <is>
          <t xml:space="preserve">Daily Duo</t>
        </is>
      </c>
      <c r="E396" s="6">
        <f>IF('Settings'!$B$11="Scenario",IFERROR(INDEX('Catalogue'!$E$3:$E$100,MATCH(C396,'Catalogue'!$B$3:$B$100,0)),F396),F396)</f>
        <v>79</v>
      </c>
      <c r="F396" s="8">
        <v>79</v>
      </c>
      <c r="G396" s="3">
        <v>1</v>
      </c>
      <c r="H396" s="6">
        <f>IF('Settings'!$B$11="Scenario",ROUND(E396*G396*IFERROR(SUMIF('Pricing &amp; promotions'!$A$6:$A$8,L396,'Pricing &amp; promotions'!$B$6:$B$8)/100,0),2),J396)</f>
        <v>7.9</v>
      </c>
      <c r="I396" s="6">
        <f>ROUND((E396*G396-H396)/IF(OR(K396=TRUE,K396="TRUE",K396="YES",K396=1),1+'Settings'!$B$6/100,1),2)</f>
        <v>58.76</v>
      </c>
      <c r="J396" s="8">
        <v>7.9</v>
      </c>
      <c r="K396" s="3" t="inlineStr">
        <is>
          <t xml:space="preserve">TRUE</t>
        </is>
      </c>
      <c r="L396" s="3" t="inlineStr">
        <is>
          <t xml:space="preserve">WELCOME10</t>
        </is>
      </c>
      <c r="M396" s="6">
        <f>ROUND(E396*G396-H396,2)</f>
        <v>71.1</v>
      </c>
      <c r="N396" s="5">
        <f>IF(COUNTIF($A$3:A396,A396)=1,1,0)</f>
        <v>0</v>
      </c>
      <c r="O396" s="6">
        <f>IF(N396=1,ROUND((SUMIFS($M$3:$M$1200,$A$3:$A$1200,A396)+'Settings'!$B$13)*'Settings'!$B$14/100+'Settings'!$B$15,2),0)</f>
        <v>0</v>
      </c>
    </row>
    <row r="397">
      <c r="A397" s="3" t="inlineStr">
        <is>
          <t xml:space="preserve">#1289</t>
        </is>
      </c>
      <c r="B397" s="3" t="inlineStr">
        <is>
          <t xml:space="preserve">2026-02-11</t>
        </is>
      </c>
      <c r="C397" s="3" t="inlineStr">
        <is>
          <t xml:space="preserve">SKU-B</t>
        </is>
      </c>
      <c r="D397" s="3" t="inlineStr">
        <is>
          <t xml:space="preserve">Barrier Balm</t>
        </is>
      </c>
      <c r="E397" s="6">
        <f>IF('Settings'!$B$11="Scenario",IFERROR(INDEX('Catalogue'!$E$3:$E$100,MATCH(C397,'Catalogue'!$B$3:$B$100,0)),F397),F397)</f>
        <v>19</v>
      </c>
      <c r="F397" s="8">
        <v>18</v>
      </c>
      <c r="G397" s="3">
        <v>1</v>
      </c>
      <c r="H397" s="6">
        <f>IF('Settings'!$B$11="Scenario",ROUND(E397*G397*IFERROR(SUMIF('Pricing &amp; promotions'!$A$6:$A$8,L397,'Pricing &amp; promotions'!$B$6:$B$8)/100,0),2),J397)</f>
        <v>1.9</v>
      </c>
      <c r="I397" s="6">
        <f>ROUND((E397*G397-H397)/IF(OR(K397=TRUE,K397="TRUE",K397="YES",K397=1),1+'Settings'!$B$6/100,1),2)</f>
        <v>14.13</v>
      </c>
      <c r="J397" s="8">
        <v>1.8</v>
      </c>
      <c r="K397" s="3" t="inlineStr">
        <is>
          <t xml:space="preserve">TRUE</t>
        </is>
      </c>
      <c r="L397" s="3" t="inlineStr">
        <is>
          <t xml:space="preserve">WELCOME10</t>
        </is>
      </c>
      <c r="M397" s="6">
        <f>ROUND(E397*G397-H397,2)</f>
        <v>17.1</v>
      </c>
      <c r="N397" s="5">
        <f>IF(COUNTIF($A$3:A397,A397)=1,1,0)</f>
        <v>1</v>
      </c>
      <c r="O397" s="6">
        <f>IF(N397=1,ROUND((SUMIFS($M$3:$M$1200,$A$3:$A$1200,A397)+'Settings'!$B$13)*'Settings'!$B$14/100+'Settings'!$B$15,2),0)</f>
        <v>0.55</v>
      </c>
    </row>
    <row r="398">
      <c r="A398" s="3" t="inlineStr">
        <is>
          <t xml:space="preserve">#1290</t>
        </is>
      </c>
      <c r="B398" s="3" t="inlineStr">
        <is>
          <t xml:space="preserve">2026-02-12</t>
        </is>
      </c>
      <c r="C398" s="3" t="inlineStr">
        <is>
          <t xml:space="preserve">SKU-G</t>
        </is>
      </c>
      <c r="D398" s="3" t="inlineStr">
        <is>
          <t xml:space="preserve">Daily Reset Set</t>
        </is>
      </c>
      <c r="E398" s="6">
        <f>IF('Settings'!$B$11="Scenario",IFERROR(INDEX('Catalogue'!$E$3:$E$100,MATCH(C398,'Catalogue'!$B$3:$B$100,0)),F398),F398)</f>
        <v>69</v>
      </c>
      <c r="F398" s="8">
        <v>69</v>
      </c>
      <c r="G398" s="3">
        <v>1</v>
      </c>
      <c r="H398" s="6">
        <f>IF('Settings'!$B$11="Scenario",ROUND(E398*G398*IFERROR(SUMIF('Pricing &amp; promotions'!$A$6:$A$8,L398,'Pricing &amp; promotions'!$B$6:$B$8)/100,0),2),J398)</f>
        <v>0.0</v>
      </c>
      <c r="I398" s="6">
        <f>ROUND((E398*G398-H398)/IF(OR(K398=TRUE,K398="TRUE",K398="YES",K398=1),1+'Settings'!$B$6/100,1),2)</f>
        <v>57.02</v>
      </c>
      <c r="J398" s="8">
        <v>0.0</v>
      </c>
      <c r="K398" s="3" t="inlineStr">
        <is>
          <t xml:space="preserve">TRUE</t>
        </is>
      </c>
      <c r="L398" s="3"/>
      <c r="M398" s="6">
        <f>ROUND(E398*G398-H398,2)</f>
        <v>69.0</v>
      </c>
      <c r="N398" s="5">
        <f>IF(COUNTIF($A$3:A398,A398)=1,1,0)</f>
        <v>1</v>
      </c>
      <c r="O398" s="6">
        <f>IF(N398=1,ROUND((SUMIFS($M$3:$M$1200,$A$3:$A$1200,A398)+'Settings'!$B$13)*'Settings'!$B$14/100+'Settings'!$B$15,2),0)</f>
        <v>3.43</v>
      </c>
    </row>
    <row r="399">
      <c r="A399" s="3" t="inlineStr">
        <is>
          <t xml:space="preserve">#1290</t>
        </is>
      </c>
      <c r="B399" s="3" t="inlineStr">
        <is>
          <t xml:space="preserve">2026-02-12</t>
        </is>
      </c>
      <c r="C399" s="3" t="inlineStr">
        <is>
          <t xml:space="preserve">SKU-A</t>
        </is>
      </c>
      <c r="D399" s="3" t="inlineStr">
        <is>
          <t xml:space="preserve">Renewal Serum</t>
        </is>
      </c>
      <c r="E399" s="6">
        <f>IF('Settings'!$B$11="Scenario",IFERROR(INDEX('Catalogue'!$E$3:$E$100,MATCH(C399,'Catalogue'!$B$3:$B$100,0)),F399),F399)</f>
        <v>69.9</v>
      </c>
      <c r="F399" s="8">
        <v>69.9</v>
      </c>
      <c r="G399" s="3">
        <v>2</v>
      </c>
      <c r="H399" s="6">
        <f>IF('Settings'!$B$11="Scenario",ROUND(E399*G399*IFERROR(SUMIF('Pricing &amp; promotions'!$A$6:$A$8,L399,'Pricing &amp; promotions'!$B$6:$B$8)/100,0),2),J399)</f>
        <v>0.0</v>
      </c>
      <c r="I399" s="6">
        <f>ROUND((E399*G399-H399)/IF(OR(K399=TRUE,K399="TRUE",K399="YES",K399=1),1+'Settings'!$B$6/100,1),2)</f>
        <v>115.54</v>
      </c>
      <c r="J399" s="8">
        <v>0.0</v>
      </c>
      <c r="K399" s="3" t="inlineStr">
        <is>
          <t xml:space="preserve">TRUE</t>
        </is>
      </c>
      <c r="L399" s="3"/>
      <c r="M399" s="6">
        <f>ROUND(E399*G399-H399,2)</f>
        <v>139.8</v>
      </c>
      <c r="N399" s="5">
        <f>IF(COUNTIF($A$3:A399,A399)=1,1,0)</f>
        <v>0</v>
      </c>
      <c r="O399" s="6">
        <f>IF(N399=1,ROUND((SUMIFS($M$3:$M$1200,$A$3:$A$1200,A399)+'Settings'!$B$13)*'Settings'!$B$14/100+'Settings'!$B$15,2),0)</f>
        <v>0</v>
      </c>
    </row>
    <row r="400">
      <c r="A400" s="3" t="inlineStr">
        <is>
          <t xml:space="preserve">#1291</t>
        </is>
      </c>
      <c r="B400" s="3" t="inlineStr">
        <is>
          <t xml:space="preserve">2026-02-12</t>
        </is>
      </c>
      <c r="C400" s="3" t="inlineStr">
        <is>
          <t xml:space="preserve">SKU-B</t>
        </is>
      </c>
      <c r="D400" s="3" t="inlineStr">
        <is>
          <t xml:space="preserve">Barrier Balm</t>
        </is>
      </c>
      <c r="E400" s="6">
        <f>IF('Settings'!$B$11="Scenario",IFERROR(INDEX('Catalogue'!$E$3:$E$100,MATCH(C400,'Catalogue'!$B$3:$B$100,0)),F400),F400)</f>
        <v>19</v>
      </c>
      <c r="F400" s="8">
        <v>18</v>
      </c>
      <c r="G400" s="3">
        <v>1</v>
      </c>
      <c r="H400" s="6">
        <f>IF('Settings'!$B$11="Scenario",ROUND(E400*G400*IFERROR(SUMIF('Pricing &amp; promotions'!$A$6:$A$8,L400,'Pricing &amp; promotions'!$B$6:$B$8)/100,0),2),J400)</f>
        <v>0.0</v>
      </c>
      <c r="I400" s="6">
        <f>ROUND((E400*G400-H400)/IF(OR(K400=TRUE,K400="TRUE",K400="YES",K400=1),1+'Settings'!$B$6/100,1),2)</f>
        <v>15.7</v>
      </c>
      <c r="J400" s="8">
        <v>0.0</v>
      </c>
      <c r="K400" s="3" t="inlineStr">
        <is>
          <t xml:space="preserve">TRUE</t>
        </is>
      </c>
      <c r="L400" s="3"/>
      <c r="M400" s="6">
        <f>ROUND(E400*G400-H400,2)</f>
        <v>19.0</v>
      </c>
      <c r="N400" s="5">
        <f>IF(COUNTIF($A$3:A400,A400)=1,1,0)</f>
        <v>1</v>
      </c>
      <c r="O400" s="6">
        <f>IF(N400=1,ROUND((SUMIFS($M$3:$M$1200,$A$3:$A$1200,A400)+'Settings'!$B$13)*'Settings'!$B$14/100+'Settings'!$B$15,2),0)</f>
        <v>0.58</v>
      </c>
    </row>
    <row r="401">
      <c r="A401" s="3" t="inlineStr">
        <is>
          <t xml:space="preserve">#1292</t>
        </is>
      </c>
      <c r="B401" s="3" t="inlineStr">
        <is>
          <t xml:space="preserve">2026-02-13</t>
        </is>
      </c>
      <c r="C401" s="3" t="inlineStr">
        <is>
          <t xml:space="preserve">SKU-D</t>
        </is>
      </c>
      <c r="D401" s="3" t="inlineStr">
        <is>
          <t xml:space="preserve">Daily Duo</t>
        </is>
      </c>
      <c r="E401" s="6">
        <f>IF('Settings'!$B$11="Scenario",IFERROR(INDEX('Catalogue'!$E$3:$E$100,MATCH(C401,'Catalogue'!$B$3:$B$100,0)),F401),F401)</f>
        <v>79</v>
      </c>
      <c r="F401" s="8">
        <v>79</v>
      </c>
      <c r="G401" s="3">
        <v>1</v>
      </c>
      <c r="H401" s="6">
        <f>IF('Settings'!$B$11="Scenario",ROUND(E401*G401*IFERROR(SUMIF('Pricing &amp; promotions'!$A$6:$A$8,L401,'Pricing &amp; promotions'!$B$6:$B$8)/100,0),2),J401)</f>
        <v>7.9</v>
      </c>
      <c r="I401" s="6">
        <f>ROUND((E401*G401-H401)/IF(OR(K401=TRUE,K401="TRUE",K401="YES",K401=1),1+'Settings'!$B$6/100,1),2)</f>
        <v>58.76</v>
      </c>
      <c r="J401" s="8">
        <v>7.9</v>
      </c>
      <c r="K401" s="3" t="inlineStr">
        <is>
          <t xml:space="preserve">TRUE</t>
        </is>
      </c>
      <c r="L401" s="3" t="inlineStr">
        <is>
          <t xml:space="preserve">WELCOME10</t>
        </is>
      </c>
      <c r="M401" s="6">
        <f>ROUND(E401*G401-H401,2)</f>
        <v>71.1</v>
      </c>
      <c r="N401" s="5">
        <f>IF(COUNTIF($A$3:A401,A401)=1,1,0)</f>
        <v>1</v>
      </c>
      <c r="O401" s="6">
        <f>IF(N401=1,ROUND((SUMIFS($M$3:$M$1200,$A$3:$A$1200,A401)+'Settings'!$B$13)*'Settings'!$B$14/100+'Settings'!$B$15,2),0)</f>
        <v>3.25</v>
      </c>
    </row>
    <row r="402">
      <c r="A402" s="3" t="inlineStr">
        <is>
          <t xml:space="preserve">#1292</t>
        </is>
      </c>
      <c r="B402" s="3" t="inlineStr">
        <is>
          <t xml:space="preserve">2026-02-13</t>
        </is>
      </c>
      <c r="C402" s="3" t="inlineStr">
        <is>
          <t xml:space="preserve">SKU-A</t>
        </is>
      </c>
      <c r="D402" s="3" t="inlineStr">
        <is>
          <t xml:space="preserve">Renewal Serum</t>
        </is>
      </c>
      <c r="E402" s="6">
        <f>IF('Settings'!$B$11="Scenario",IFERROR(INDEX('Catalogue'!$E$3:$E$100,MATCH(C402,'Catalogue'!$B$3:$B$100,0)),F402),F402)</f>
        <v>69.9</v>
      </c>
      <c r="F402" s="8">
        <v>69.9</v>
      </c>
      <c r="G402" s="3">
        <v>2</v>
      </c>
      <c r="H402" s="6">
        <f>IF('Settings'!$B$11="Scenario",ROUND(E402*G402*IFERROR(SUMIF('Pricing &amp; promotions'!$A$6:$A$8,L402,'Pricing &amp; promotions'!$B$6:$B$8)/100,0),2),J402)</f>
        <v>13.98</v>
      </c>
      <c r="I402" s="6">
        <f>ROUND((E402*G402-H402)/IF(OR(K402=TRUE,K402="TRUE",K402="YES",K402=1),1+'Settings'!$B$6/100,1),2)</f>
        <v>103.98</v>
      </c>
      <c r="J402" s="8">
        <v>13.98</v>
      </c>
      <c r="K402" s="3" t="inlineStr">
        <is>
          <t xml:space="preserve">TRUE</t>
        </is>
      </c>
      <c r="L402" s="3" t="inlineStr">
        <is>
          <t xml:space="preserve">WELCOME10</t>
        </is>
      </c>
      <c r="M402" s="6">
        <f>ROUND(E402*G402-H402,2)</f>
        <v>125.82</v>
      </c>
      <c r="N402" s="5">
        <f>IF(COUNTIF($A$3:A402,A402)=1,1,0)</f>
        <v>0</v>
      </c>
      <c r="O402" s="6">
        <f>IF(N402=1,ROUND((SUMIFS($M$3:$M$1200,$A$3:$A$1200,A402)+'Settings'!$B$13)*'Settings'!$B$14/100+'Settings'!$B$15,2),0)</f>
        <v>0</v>
      </c>
    </row>
    <row r="403">
      <c r="A403" s="3" t="inlineStr">
        <is>
          <t xml:space="preserve">#1293</t>
        </is>
      </c>
      <c r="B403" s="3" t="inlineStr">
        <is>
          <t xml:space="preserve">2026-02-13</t>
        </is>
      </c>
      <c r="C403" s="3" t="inlineStr">
        <is>
          <t xml:space="preserve">SKU-G</t>
        </is>
      </c>
      <c r="D403" s="3" t="inlineStr">
        <is>
          <t xml:space="preserve">Daily Reset Set</t>
        </is>
      </c>
      <c r="E403" s="6">
        <f>IF('Settings'!$B$11="Scenario",IFERROR(INDEX('Catalogue'!$E$3:$E$100,MATCH(C403,'Catalogue'!$B$3:$B$100,0)),F403),F403)</f>
        <v>69</v>
      </c>
      <c r="F403" s="8">
        <v>69</v>
      </c>
      <c r="G403" s="3">
        <v>1</v>
      </c>
      <c r="H403" s="6">
        <f>IF('Settings'!$B$11="Scenario",ROUND(E403*G403*IFERROR(SUMIF('Pricing &amp; promotions'!$A$6:$A$8,L403,'Pricing &amp; promotions'!$B$6:$B$8)/100,0),2),J403)</f>
        <v>0.0</v>
      </c>
      <c r="I403" s="6">
        <f>ROUND((E403*G403-H403)/IF(OR(K403=TRUE,K403="TRUE",K403="YES",K403=1),1+'Settings'!$B$6/100,1),2)</f>
        <v>57.02</v>
      </c>
      <c r="J403" s="8">
        <v>0.0</v>
      </c>
      <c r="K403" s="3" t="inlineStr">
        <is>
          <t xml:space="preserve">TRUE</t>
        </is>
      </c>
      <c r="L403" s="3"/>
      <c r="M403" s="6">
        <f>ROUND(E403*G403-H403,2)</f>
        <v>69.0</v>
      </c>
      <c r="N403" s="5">
        <f>IF(COUNTIF($A$3:A403,A403)=1,1,0)</f>
        <v>1</v>
      </c>
      <c r="O403" s="6">
        <f>IF(N403=1,ROUND((SUMIFS($M$3:$M$1200,$A$3:$A$1200,A403)+'Settings'!$B$13)*'Settings'!$B$14/100+'Settings'!$B$15,2),0)</f>
        <v>1.33</v>
      </c>
    </row>
    <row r="404">
      <c r="A404" s="3" t="inlineStr">
        <is>
          <t xml:space="preserve">#1294</t>
        </is>
      </c>
      <c r="B404" s="3" t="inlineStr">
        <is>
          <t xml:space="preserve">2026-02-13</t>
        </is>
      </c>
      <c r="C404" s="3" t="inlineStr">
        <is>
          <t xml:space="preserve">SKU-A</t>
        </is>
      </c>
      <c r="D404" s="3" t="inlineStr">
        <is>
          <t xml:space="preserve">Renewal Serum</t>
        </is>
      </c>
      <c r="E404" s="6">
        <f>IF('Settings'!$B$11="Scenario",IFERROR(INDEX('Catalogue'!$E$3:$E$100,MATCH(C404,'Catalogue'!$B$3:$B$100,0)),F404),F404)</f>
        <v>69.9</v>
      </c>
      <c r="F404" s="8">
        <v>69.9</v>
      </c>
      <c r="G404" s="3">
        <v>1</v>
      </c>
      <c r="H404" s="6">
        <f>IF('Settings'!$B$11="Scenario",ROUND(E404*G404*IFERROR(SUMIF('Pricing &amp; promotions'!$A$6:$A$8,L404,'Pricing &amp; promotions'!$B$6:$B$8)/100,0),2),J404)</f>
        <v>0.0</v>
      </c>
      <c r="I404" s="6">
        <f>ROUND((E404*G404-H404)/IF(OR(K404=TRUE,K404="TRUE",K404="YES",K404=1),1+'Settings'!$B$6/100,1),2)</f>
        <v>57.77</v>
      </c>
      <c r="J404" s="8">
        <v>0.0</v>
      </c>
      <c r="K404" s="3" t="inlineStr">
        <is>
          <t xml:space="preserve">TRUE</t>
        </is>
      </c>
      <c r="L404" s="3"/>
      <c r="M404" s="6">
        <f>ROUND(E404*G404-H404,2)</f>
        <v>69.9</v>
      </c>
      <c r="N404" s="5">
        <f>IF(COUNTIF($A$3:A404,A404)=1,1,0)</f>
        <v>1</v>
      </c>
      <c r="O404" s="6">
        <f>IF(N404=1,ROUND((SUMIFS($M$3:$M$1200,$A$3:$A$1200,A404)+'Settings'!$B$13)*'Settings'!$B$14/100+'Settings'!$B$15,2),0)</f>
        <v>1.34</v>
      </c>
    </row>
    <row r="405">
      <c r="A405" s="3" t="inlineStr">
        <is>
          <t xml:space="preserve">#1295</t>
        </is>
      </c>
      <c r="B405" s="3" t="inlineStr">
        <is>
          <t xml:space="preserve">2026-02-14</t>
        </is>
      </c>
      <c r="C405" s="3" t="inlineStr">
        <is>
          <t xml:space="preserve">SKU-D</t>
        </is>
      </c>
      <c r="D405" s="3" t="inlineStr">
        <is>
          <t xml:space="preserve">Daily Duo</t>
        </is>
      </c>
      <c r="E405" s="6">
        <f>IF('Settings'!$B$11="Scenario",IFERROR(INDEX('Catalogue'!$E$3:$E$100,MATCH(C405,'Catalogue'!$B$3:$B$100,0)),F405),F405)</f>
        <v>79</v>
      </c>
      <c r="F405" s="8">
        <v>79</v>
      </c>
      <c r="G405" s="3">
        <v>1</v>
      </c>
      <c r="H405" s="6">
        <f>IF('Settings'!$B$11="Scenario",ROUND(E405*G405*IFERROR(SUMIF('Pricing &amp; promotions'!$A$6:$A$8,L405,'Pricing &amp; promotions'!$B$6:$B$8)/100,0),2),J405)</f>
        <v>0.0</v>
      </c>
      <c r="I405" s="6">
        <f>ROUND((E405*G405-H405)/IF(OR(K405=TRUE,K405="TRUE",K405="YES",K405=1),1+'Settings'!$B$6/100,1),2)</f>
        <v>65.29</v>
      </c>
      <c r="J405" s="8">
        <v>0.0</v>
      </c>
      <c r="K405" s="3" t="inlineStr">
        <is>
          <t xml:space="preserve">TRUE</t>
        </is>
      </c>
      <c r="L405" s="3"/>
      <c r="M405" s="6">
        <f>ROUND(E405*G405-H405,2)</f>
        <v>79.0</v>
      </c>
      <c r="N405" s="5">
        <f>IF(COUNTIF($A$3:A405,A405)=1,1,0)</f>
        <v>1</v>
      </c>
      <c r="O405" s="6">
        <f>IF(N405=1,ROUND((SUMIFS($M$3:$M$1200,$A$3:$A$1200,A405)+'Settings'!$B$13)*'Settings'!$B$14/100+'Settings'!$B$15,2),0)</f>
        <v>1.48</v>
      </c>
    </row>
    <row r="406">
      <c r="A406" s="3" t="inlineStr">
        <is>
          <t xml:space="preserve">#1296</t>
        </is>
      </c>
      <c r="B406" s="3" t="inlineStr">
        <is>
          <t xml:space="preserve">2026-02-15</t>
        </is>
      </c>
      <c r="C406" s="3" t="inlineStr">
        <is>
          <t xml:space="preserve">SKU-B</t>
        </is>
      </c>
      <c r="D406" s="3" t="inlineStr">
        <is>
          <t xml:space="preserve">Barrier Balm</t>
        </is>
      </c>
      <c r="E406" s="6">
        <f>IF('Settings'!$B$11="Scenario",IFERROR(INDEX('Catalogue'!$E$3:$E$100,MATCH(C406,'Catalogue'!$B$3:$B$100,0)),F406),F406)</f>
        <v>19</v>
      </c>
      <c r="F406" s="8">
        <v>18</v>
      </c>
      <c r="G406" s="3">
        <v>1</v>
      </c>
      <c r="H406" s="6">
        <f>IF('Settings'!$B$11="Scenario",ROUND(E406*G406*IFERROR(SUMIF('Pricing &amp; promotions'!$A$6:$A$8,L406,'Pricing &amp; promotions'!$B$6:$B$8)/100,0),2),J406)</f>
        <v>1.9</v>
      </c>
      <c r="I406" s="6">
        <f>ROUND((E406*G406-H406)/IF(OR(K406=TRUE,K406="TRUE",K406="YES",K406=1),1+'Settings'!$B$6/100,1),2)</f>
        <v>14.13</v>
      </c>
      <c r="J406" s="8">
        <v>1.8</v>
      </c>
      <c r="K406" s="3" t="inlineStr">
        <is>
          <t xml:space="preserve">TRUE</t>
        </is>
      </c>
      <c r="L406" s="3" t="inlineStr">
        <is>
          <t xml:space="preserve">WELCOME10</t>
        </is>
      </c>
      <c r="M406" s="6">
        <f>ROUND(E406*G406-H406,2)</f>
        <v>17.1</v>
      </c>
      <c r="N406" s="5">
        <f>IF(COUNTIF($A$3:A406,A406)=1,1,0)</f>
        <v>1</v>
      </c>
      <c r="O406" s="6">
        <f>IF(N406=1,ROUND((SUMIFS($M$3:$M$1200,$A$3:$A$1200,A406)+'Settings'!$B$13)*'Settings'!$B$14/100+'Settings'!$B$15,2),0)</f>
        <v>0.55</v>
      </c>
    </row>
    <row r="407">
      <c r="A407" s="3" t="inlineStr">
        <is>
          <t xml:space="preserve">#1297</t>
        </is>
      </c>
      <c r="B407" s="3" t="inlineStr">
        <is>
          <t xml:space="preserve">2026-02-16</t>
        </is>
      </c>
      <c r="C407" s="3" t="inlineStr">
        <is>
          <t xml:space="preserve">SKU-D</t>
        </is>
      </c>
      <c r="D407" s="3" t="inlineStr">
        <is>
          <t xml:space="preserve">Daily Duo</t>
        </is>
      </c>
      <c r="E407" s="6">
        <f>IF('Settings'!$B$11="Scenario",IFERROR(INDEX('Catalogue'!$E$3:$E$100,MATCH(C407,'Catalogue'!$B$3:$B$100,0)),F407),F407)</f>
        <v>79</v>
      </c>
      <c r="F407" s="8">
        <v>79</v>
      </c>
      <c r="G407" s="3">
        <v>1</v>
      </c>
      <c r="H407" s="6">
        <f>IF('Settings'!$B$11="Scenario",ROUND(E407*G407*IFERROR(SUMIF('Pricing &amp; promotions'!$A$6:$A$8,L407,'Pricing &amp; promotions'!$B$6:$B$8)/100,0),2),J407)</f>
        <v>0.0</v>
      </c>
      <c r="I407" s="6">
        <f>ROUND((E407*G407-H407)/IF(OR(K407=TRUE,K407="TRUE",K407="YES",K407=1),1+'Settings'!$B$6/100,1),2)</f>
        <v>65.29</v>
      </c>
      <c r="J407" s="8">
        <v>0.0</v>
      </c>
      <c r="K407" s="3" t="inlineStr">
        <is>
          <t xml:space="preserve">TRUE</t>
        </is>
      </c>
      <c r="L407" s="3"/>
      <c r="M407" s="6">
        <f>ROUND(E407*G407-H407,2)</f>
        <v>79.0</v>
      </c>
      <c r="N407" s="5">
        <f>IF(COUNTIF($A$3:A407,A407)=1,1,0)</f>
        <v>1</v>
      </c>
      <c r="O407" s="6">
        <f>IF(N407=1,ROUND((SUMIFS($M$3:$M$1200,$A$3:$A$1200,A407)+'Settings'!$B$13)*'Settings'!$B$14/100+'Settings'!$B$15,2),0)</f>
        <v>1.76</v>
      </c>
    </row>
    <row r="408">
      <c r="A408" s="3" t="inlineStr">
        <is>
          <t xml:space="preserve">#1297</t>
        </is>
      </c>
      <c r="B408" s="3" t="inlineStr">
        <is>
          <t xml:space="preserve">2026-02-16</t>
        </is>
      </c>
      <c r="C408" s="3" t="inlineStr">
        <is>
          <t xml:space="preserve">SKU-B</t>
        </is>
      </c>
      <c r="D408" s="3" t="inlineStr">
        <is>
          <t xml:space="preserve">Barrier Balm</t>
        </is>
      </c>
      <c r="E408" s="6">
        <f>IF('Settings'!$B$11="Scenario",IFERROR(INDEX('Catalogue'!$E$3:$E$100,MATCH(C408,'Catalogue'!$B$3:$B$100,0)),F408),F408)</f>
        <v>19</v>
      </c>
      <c r="F408" s="8">
        <v>18</v>
      </c>
      <c r="G408" s="3">
        <v>1</v>
      </c>
      <c r="H408" s="6">
        <f>IF('Settings'!$B$11="Scenario",ROUND(E408*G408*IFERROR(SUMIF('Pricing &amp; promotions'!$A$6:$A$8,L408,'Pricing &amp; promotions'!$B$6:$B$8)/100,0),2),J408)</f>
        <v>0.0</v>
      </c>
      <c r="I408" s="6">
        <f>ROUND((E408*G408-H408)/IF(OR(K408=TRUE,K408="TRUE",K408="YES",K408=1),1+'Settings'!$B$6/100,1),2)</f>
        <v>15.7</v>
      </c>
      <c r="J408" s="8">
        <v>0.0</v>
      </c>
      <c r="K408" s="3" t="inlineStr">
        <is>
          <t xml:space="preserve">TRUE</t>
        </is>
      </c>
      <c r="L408" s="3"/>
      <c r="M408" s="6">
        <f>ROUND(E408*G408-H408,2)</f>
        <v>19.0</v>
      </c>
      <c r="N408" s="5">
        <f>IF(COUNTIF($A$3:A408,A408)=1,1,0)</f>
        <v>0</v>
      </c>
      <c r="O408" s="6">
        <f>IF(N408=1,ROUND((SUMIFS($M$3:$M$1200,$A$3:$A$1200,A408)+'Settings'!$B$13)*'Settings'!$B$14/100+'Settings'!$B$15,2),0)</f>
        <v>0</v>
      </c>
    </row>
    <row r="409">
      <c r="A409" s="3" t="inlineStr">
        <is>
          <t xml:space="preserve">#1298</t>
        </is>
      </c>
      <c r="B409" s="3" t="inlineStr">
        <is>
          <t xml:space="preserve">2026-02-17</t>
        </is>
      </c>
      <c r="C409" s="3" t="inlineStr">
        <is>
          <t xml:space="preserve">SKU-D</t>
        </is>
      </c>
      <c r="D409" s="3" t="inlineStr">
        <is>
          <t xml:space="preserve">Daily Duo</t>
        </is>
      </c>
      <c r="E409" s="6">
        <f>IF('Settings'!$B$11="Scenario",IFERROR(INDEX('Catalogue'!$E$3:$E$100,MATCH(C409,'Catalogue'!$B$3:$B$100,0)),F409),F409)</f>
        <v>79</v>
      </c>
      <c r="F409" s="8">
        <v>79</v>
      </c>
      <c r="G409" s="3">
        <v>1</v>
      </c>
      <c r="H409" s="6">
        <f>IF('Settings'!$B$11="Scenario",ROUND(E409*G409*IFERROR(SUMIF('Pricing &amp; promotions'!$A$6:$A$8,L409,'Pricing &amp; promotions'!$B$6:$B$8)/100,0),2),J409)</f>
        <v>0.0</v>
      </c>
      <c r="I409" s="6">
        <f>ROUND((E409*G409-H409)/IF(OR(K409=TRUE,K409="TRUE",K409="YES",K409=1),1+'Settings'!$B$6/100,1),2)</f>
        <v>65.29</v>
      </c>
      <c r="J409" s="8">
        <v>0.0</v>
      </c>
      <c r="K409" s="3" t="inlineStr">
        <is>
          <t xml:space="preserve">TRUE</t>
        </is>
      </c>
      <c r="L409" s="3"/>
      <c r="M409" s="6">
        <f>ROUND(E409*G409-H409,2)</f>
        <v>79.0</v>
      </c>
      <c r="N409" s="5">
        <f>IF(COUNTIF($A$3:A409,A409)=1,1,0)</f>
        <v>1</v>
      </c>
      <c r="O409" s="6">
        <f>IF(N409=1,ROUND((SUMIFS($M$3:$M$1200,$A$3:$A$1200,A409)+'Settings'!$B$13)*'Settings'!$B$14/100+'Settings'!$B$15,2),0)</f>
        <v>1.48</v>
      </c>
    </row>
    <row r="410">
      <c r="A410" s="3" t="inlineStr">
        <is>
          <t xml:space="preserve">#1299</t>
        </is>
      </c>
      <c r="B410" s="3" t="inlineStr">
        <is>
          <t xml:space="preserve">2026-02-18</t>
        </is>
      </c>
      <c r="C410" s="3" t="inlineStr">
        <is>
          <t xml:space="preserve">SKU-F</t>
        </is>
      </c>
      <c r="D410" s="3" t="inlineStr">
        <is>
          <t xml:space="preserve">Cloud Cleanser</t>
        </is>
      </c>
      <c r="E410" s="6">
        <f>IF('Settings'!$B$11="Scenario",IFERROR(INDEX('Catalogue'!$E$3:$E$100,MATCH(C410,'Catalogue'!$B$3:$B$100,0)),F410),F410)</f>
        <v>34</v>
      </c>
      <c r="F410" s="8">
        <v>34</v>
      </c>
      <c r="G410" s="3">
        <v>1</v>
      </c>
      <c r="H410" s="6">
        <f>IF('Settings'!$B$11="Scenario",ROUND(E410*G410*IFERROR(SUMIF('Pricing &amp; promotions'!$A$6:$A$8,L410,'Pricing &amp; promotions'!$B$6:$B$8)/100,0),2),J410)</f>
        <v>0.0</v>
      </c>
      <c r="I410" s="6">
        <f>ROUND((E410*G410-H410)/IF(OR(K410=TRUE,K410="TRUE",K410="YES",K410=1),1+'Settings'!$B$6/100,1),2)</f>
        <v>28.1</v>
      </c>
      <c r="J410" s="8">
        <v>0.0</v>
      </c>
      <c r="K410" s="3" t="inlineStr">
        <is>
          <t xml:space="preserve">TRUE</t>
        </is>
      </c>
      <c r="L410" s="3"/>
      <c r="M410" s="6">
        <f>ROUND(E410*G410-H410,2)</f>
        <v>34.0</v>
      </c>
      <c r="N410" s="5">
        <f>IF(COUNTIF($A$3:A410,A410)=1,1,0)</f>
        <v>1</v>
      </c>
      <c r="O410" s="6">
        <f>IF(N410=1,ROUND((SUMIFS($M$3:$M$1200,$A$3:$A$1200,A410)+'Settings'!$B$13)*'Settings'!$B$14/100+'Settings'!$B$15,2),0)</f>
        <v>3.46</v>
      </c>
    </row>
    <row r="411">
      <c r="A411" s="3" t="inlineStr">
        <is>
          <t xml:space="preserve">#1299</t>
        </is>
      </c>
      <c r="B411" s="3" t="inlineStr">
        <is>
          <t xml:space="preserve">2026-02-18</t>
        </is>
      </c>
      <c r="C411" s="3" t="inlineStr">
        <is>
          <t xml:space="preserve">SKU-D</t>
        </is>
      </c>
      <c r="D411" s="3" t="inlineStr">
        <is>
          <t xml:space="preserve">Daily Duo</t>
        </is>
      </c>
      <c r="E411" s="6">
        <f>IF('Settings'!$B$11="Scenario",IFERROR(INDEX('Catalogue'!$E$3:$E$100,MATCH(C411,'Catalogue'!$B$3:$B$100,0)),F411),F411)</f>
        <v>79</v>
      </c>
      <c r="F411" s="8">
        <v>79</v>
      </c>
      <c r="G411" s="3">
        <v>2</v>
      </c>
      <c r="H411" s="6">
        <f>IF('Settings'!$B$11="Scenario",ROUND(E411*G411*IFERROR(SUMIF('Pricing &amp; promotions'!$A$6:$A$8,L411,'Pricing &amp; promotions'!$B$6:$B$8)/100,0),2),J411)</f>
        <v>0.0</v>
      </c>
      <c r="I411" s="6">
        <f>ROUND((E411*G411-H411)/IF(OR(K411=TRUE,K411="TRUE",K411="YES",K411=1),1+'Settings'!$B$6/100,1),2)</f>
        <v>130.58</v>
      </c>
      <c r="J411" s="8">
        <v>0.0</v>
      </c>
      <c r="K411" s="3" t="inlineStr">
        <is>
          <t xml:space="preserve">TRUE</t>
        </is>
      </c>
      <c r="L411" s="3"/>
      <c r="M411" s="6">
        <f>ROUND(E411*G411-H411,2)</f>
        <v>158.0</v>
      </c>
      <c r="N411" s="5">
        <f>IF(COUNTIF($A$3:A411,A411)=1,1,0)</f>
        <v>0</v>
      </c>
      <c r="O411" s="6">
        <f>IF(N411=1,ROUND((SUMIFS($M$3:$M$1200,$A$3:$A$1200,A411)+'Settings'!$B$13)*'Settings'!$B$14/100+'Settings'!$B$15,2),0)</f>
        <v>0</v>
      </c>
    </row>
    <row r="412">
      <c r="A412" s="3" t="inlineStr">
        <is>
          <t xml:space="preserve">#1299</t>
        </is>
      </c>
      <c r="B412" s="3" t="inlineStr">
        <is>
          <t xml:space="preserve">2026-02-18</t>
        </is>
      </c>
      <c r="C412" s="3" t="inlineStr">
        <is>
          <t xml:space="preserve">SKU-B</t>
        </is>
      </c>
      <c r="D412" s="3" t="inlineStr">
        <is>
          <t xml:space="preserve">Barrier Balm</t>
        </is>
      </c>
      <c r="E412" s="6">
        <f>IF('Settings'!$B$11="Scenario",IFERROR(INDEX('Catalogue'!$E$3:$E$100,MATCH(C412,'Catalogue'!$B$3:$B$100,0)),F412),F412)</f>
        <v>19</v>
      </c>
      <c r="F412" s="8">
        <v>18</v>
      </c>
      <c r="G412" s="3">
        <v>1</v>
      </c>
      <c r="H412" s="6">
        <f>IF('Settings'!$B$11="Scenario",ROUND(E412*G412*IFERROR(SUMIF('Pricing &amp; promotions'!$A$6:$A$8,L412,'Pricing &amp; promotions'!$B$6:$B$8)/100,0),2),J412)</f>
        <v>0.0</v>
      </c>
      <c r="I412" s="6">
        <f>ROUND((E412*G412-H412)/IF(OR(K412=TRUE,K412="TRUE",K412="YES",K412=1),1+'Settings'!$B$6/100,1),2)</f>
        <v>15.7</v>
      </c>
      <c r="J412" s="8">
        <v>0.0</v>
      </c>
      <c r="K412" s="3" t="inlineStr">
        <is>
          <t xml:space="preserve">TRUE</t>
        </is>
      </c>
      <c r="L412" s="3"/>
      <c r="M412" s="6">
        <f>ROUND(E412*G412-H412,2)</f>
        <v>19.0</v>
      </c>
      <c r="N412" s="5">
        <f>IF(COUNTIF($A$3:A412,A412)=1,1,0)</f>
        <v>0</v>
      </c>
      <c r="O412" s="6">
        <f>IF(N412=1,ROUND((SUMIFS($M$3:$M$1200,$A$3:$A$1200,A412)+'Settings'!$B$13)*'Settings'!$B$14/100+'Settings'!$B$15,2),0)</f>
        <v>0</v>
      </c>
    </row>
    <row r="413">
      <c r="A413" s="3" t="inlineStr">
        <is>
          <t xml:space="preserve">#1300</t>
        </is>
      </c>
      <c r="B413" s="3" t="inlineStr">
        <is>
          <t xml:space="preserve">2026-02-18</t>
        </is>
      </c>
      <c r="C413" s="3" t="inlineStr">
        <is>
          <t xml:space="preserve">SKU-D</t>
        </is>
      </c>
      <c r="D413" s="3" t="inlineStr">
        <is>
          <t xml:space="preserve">Daily Duo</t>
        </is>
      </c>
      <c r="E413" s="6">
        <f>IF('Settings'!$B$11="Scenario",IFERROR(INDEX('Catalogue'!$E$3:$E$100,MATCH(C413,'Catalogue'!$B$3:$B$100,0)),F413),F413)</f>
        <v>79</v>
      </c>
      <c r="F413" s="8">
        <v>79</v>
      </c>
      <c r="G413" s="3">
        <v>1</v>
      </c>
      <c r="H413" s="6">
        <f>IF('Settings'!$B$11="Scenario",ROUND(E413*G413*IFERROR(SUMIF('Pricing &amp; promotions'!$A$6:$A$8,L413,'Pricing &amp; promotions'!$B$6:$B$8)/100,0),2),J413)</f>
        <v>0.0</v>
      </c>
      <c r="I413" s="6">
        <f>ROUND((E413*G413-H413)/IF(OR(K413=TRUE,K413="TRUE",K413="YES",K413=1),1+'Settings'!$B$6/100,1),2)</f>
        <v>65.29</v>
      </c>
      <c r="J413" s="8">
        <v>0.0</v>
      </c>
      <c r="K413" s="3" t="inlineStr">
        <is>
          <t xml:space="preserve">TRUE</t>
        </is>
      </c>
      <c r="L413" s="3"/>
      <c r="M413" s="6">
        <f>ROUND(E413*G413-H413,2)</f>
        <v>79.0</v>
      </c>
      <c r="N413" s="5">
        <f>IF(COUNTIF($A$3:A413,A413)=1,1,0)</f>
        <v>1</v>
      </c>
      <c r="O413" s="6">
        <f>IF(N413=1,ROUND((SUMIFS($M$3:$M$1200,$A$3:$A$1200,A413)+'Settings'!$B$13)*'Settings'!$B$14/100+'Settings'!$B$15,2),0)</f>
        <v>1.48</v>
      </c>
    </row>
    <row r="414">
      <c r="A414" s="3" t="inlineStr">
        <is>
          <t xml:space="preserve">#1301</t>
        </is>
      </c>
      <c r="B414" s="3" t="inlineStr">
        <is>
          <t xml:space="preserve">2026-02-19</t>
        </is>
      </c>
      <c r="C414" s="3" t="inlineStr">
        <is>
          <t xml:space="preserve">SKU-A</t>
        </is>
      </c>
      <c r="D414" s="3" t="inlineStr">
        <is>
          <t xml:space="preserve">Renewal Serum</t>
        </is>
      </c>
      <c r="E414" s="6">
        <f>IF('Settings'!$B$11="Scenario",IFERROR(INDEX('Catalogue'!$E$3:$E$100,MATCH(C414,'Catalogue'!$B$3:$B$100,0)),F414),F414)</f>
        <v>69.9</v>
      </c>
      <c r="F414" s="8">
        <v>69.9</v>
      </c>
      <c r="G414" s="3">
        <v>1</v>
      </c>
      <c r="H414" s="6">
        <f>IF('Settings'!$B$11="Scenario",ROUND(E414*G414*IFERROR(SUMIF('Pricing &amp; promotions'!$A$6:$A$8,L414,'Pricing &amp; promotions'!$B$6:$B$8)/100,0),2),J414)</f>
        <v>10.49</v>
      </c>
      <c r="I414" s="6">
        <f>ROUND((E414*G414-H414)/IF(OR(K414=TRUE,K414="TRUE",K414="YES",K414=1),1+'Settings'!$B$6/100,1),2)</f>
        <v>49.1</v>
      </c>
      <c r="J414" s="8">
        <v>10.49</v>
      </c>
      <c r="K414" s="3" t="inlineStr">
        <is>
          <t xml:space="preserve">TRUE</t>
        </is>
      </c>
      <c r="L414" s="3" t="inlineStr">
        <is>
          <t xml:space="preserve">SUMMER15</t>
        </is>
      </c>
      <c r="M414" s="6">
        <f>ROUND(E414*G414-H414,2)</f>
        <v>59.41</v>
      </c>
      <c r="N414" s="5">
        <f>IF(COUNTIF($A$3:A414,A414)=1,1,0)</f>
        <v>1</v>
      </c>
      <c r="O414" s="6">
        <f>IF(N414=1,ROUND((SUMIFS($M$3:$M$1200,$A$3:$A$1200,A414)+'Settings'!$B$13)*'Settings'!$B$14/100+'Settings'!$B$15,2),0)</f>
        <v>1.19</v>
      </c>
    </row>
    <row r="415">
      <c r="A415" s="3" t="inlineStr">
        <is>
          <t xml:space="preserve">#1302</t>
        </is>
      </c>
      <c r="B415" s="3" t="inlineStr">
        <is>
          <t xml:space="preserve">2026-02-19</t>
        </is>
      </c>
      <c r="C415" s="3" t="inlineStr">
        <is>
          <t xml:space="preserve">SKU-E</t>
        </is>
      </c>
      <c r="D415" s="3" t="inlineStr">
        <is>
          <t xml:space="preserve">Complete Ritual</t>
        </is>
      </c>
      <c r="E415" s="6">
        <f>IF('Settings'!$B$11="Scenario",IFERROR(INDEX('Catalogue'!$E$3:$E$100,MATCH(C415,'Catalogue'!$B$3:$B$100,0)),F415),F415)</f>
        <v>89</v>
      </c>
      <c r="F415" s="8">
        <v>89</v>
      </c>
      <c r="G415" s="3">
        <v>1</v>
      </c>
      <c r="H415" s="6">
        <f>IF('Settings'!$B$11="Scenario",ROUND(E415*G415*IFERROR(SUMIF('Pricing &amp; promotions'!$A$6:$A$8,L415,'Pricing &amp; promotions'!$B$6:$B$8)/100,0),2),J415)</f>
        <v>0.0</v>
      </c>
      <c r="I415" s="6">
        <f>ROUND((E415*G415-H415)/IF(OR(K415=TRUE,K415="TRUE",K415="YES",K415=1),1+'Settings'!$B$6/100,1),2)</f>
        <v>73.55</v>
      </c>
      <c r="J415" s="8">
        <v>0.0</v>
      </c>
      <c r="K415" s="3" t="inlineStr">
        <is>
          <t xml:space="preserve">TRUE</t>
        </is>
      </c>
      <c r="L415" s="3"/>
      <c r="M415" s="6">
        <f>ROUND(E415*G415-H415,2)</f>
        <v>89.0</v>
      </c>
      <c r="N415" s="5">
        <f>IF(COUNTIF($A$3:A415,A415)=1,1,0)</f>
        <v>1</v>
      </c>
      <c r="O415" s="6">
        <f>IF(N415=1,ROUND((SUMIFS($M$3:$M$1200,$A$3:$A$1200,A415)+'Settings'!$B$13)*'Settings'!$B$14/100+'Settings'!$B$15,2),0)</f>
        <v>1.63</v>
      </c>
    </row>
    <row r="416">
      <c r="A416" s="3" t="inlineStr">
        <is>
          <t xml:space="preserve">#1303</t>
        </is>
      </c>
      <c r="B416" s="3" t="inlineStr">
        <is>
          <t xml:space="preserve">2026-02-20</t>
        </is>
      </c>
      <c r="C416" s="3" t="inlineStr">
        <is>
          <t xml:space="preserve">SKU-B</t>
        </is>
      </c>
      <c r="D416" s="3" t="inlineStr">
        <is>
          <t xml:space="preserve">Barrier Balm</t>
        </is>
      </c>
      <c r="E416" s="6">
        <f>IF('Settings'!$B$11="Scenario",IFERROR(INDEX('Catalogue'!$E$3:$E$100,MATCH(C416,'Catalogue'!$B$3:$B$100,0)),F416),F416)</f>
        <v>19</v>
      </c>
      <c r="F416" s="8">
        <v>18</v>
      </c>
      <c r="G416" s="3">
        <v>1</v>
      </c>
      <c r="H416" s="6">
        <f>IF('Settings'!$B$11="Scenario",ROUND(E416*G416*IFERROR(SUMIF('Pricing &amp; promotions'!$A$6:$A$8,L416,'Pricing &amp; promotions'!$B$6:$B$8)/100,0),2),J416)</f>
        <v>0.0</v>
      </c>
      <c r="I416" s="6">
        <f>ROUND((E416*G416-H416)/IF(OR(K416=TRUE,K416="TRUE",K416="YES",K416=1),1+'Settings'!$B$6/100,1),2)</f>
        <v>15.7</v>
      </c>
      <c r="J416" s="8">
        <v>0.0</v>
      </c>
      <c r="K416" s="3" t="inlineStr">
        <is>
          <t xml:space="preserve">TRUE</t>
        </is>
      </c>
      <c r="L416" s="3"/>
      <c r="M416" s="6">
        <f>ROUND(E416*G416-H416,2)</f>
        <v>19.0</v>
      </c>
      <c r="N416" s="5">
        <f>IF(COUNTIF($A$3:A416,A416)=1,1,0)</f>
        <v>1</v>
      </c>
      <c r="O416" s="6">
        <f>IF(N416=1,ROUND((SUMIFS($M$3:$M$1200,$A$3:$A$1200,A416)+'Settings'!$B$13)*'Settings'!$B$14/100+'Settings'!$B$15,2),0)</f>
        <v>0.58</v>
      </c>
    </row>
    <row r="417">
      <c r="A417" s="3" t="inlineStr">
        <is>
          <t xml:space="preserve">#1304</t>
        </is>
      </c>
      <c r="B417" s="3" t="inlineStr">
        <is>
          <t xml:space="preserve">2026-02-20</t>
        </is>
      </c>
      <c r="C417" s="3" t="inlineStr">
        <is>
          <t xml:space="preserve">SKU-D</t>
        </is>
      </c>
      <c r="D417" s="3" t="inlineStr">
        <is>
          <t xml:space="preserve">Daily Duo</t>
        </is>
      </c>
      <c r="E417" s="6">
        <f>IF('Settings'!$B$11="Scenario",IFERROR(INDEX('Catalogue'!$E$3:$E$100,MATCH(C417,'Catalogue'!$B$3:$B$100,0)),F417),F417)</f>
        <v>79</v>
      </c>
      <c r="F417" s="8">
        <v>79</v>
      </c>
      <c r="G417" s="3">
        <v>2</v>
      </c>
      <c r="H417" s="6">
        <f>IF('Settings'!$B$11="Scenario",ROUND(E417*G417*IFERROR(SUMIF('Pricing &amp; promotions'!$A$6:$A$8,L417,'Pricing &amp; promotions'!$B$6:$B$8)/100,0),2),J417)</f>
        <v>31.6</v>
      </c>
      <c r="I417" s="6">
        <f>ROUND((E417*G417-H417)/IF(OR(K417=TRUE,K417="TRUE",K417="YES",K417=1),1+'Settings'!$B$6/100,1),2)</f>
        <v>104.46</v>
      </c>
      <c r="J417" s="8">
        <v>31.6</v>
      </c>
      <c r="K417" s="3" t="inlineStr">
        <is>
          <t xml:space="preserve">TRUE</t>
        </is>
      </c>
      <c r="L417" s="3" t="inlineStr">
        <is>
          <t xml:space="preserve">VIP20</t>
        </is>
      </c>
      <c r="M417" s="6">
        <f>ROUND(E417*G417-H417,2)</f>
        <v>126.4</v>
      </c>
      <c r="N417" s="5">
        <f>IF(COUNTIF($A$3:A417,A417)=1,1,0)</f>
        <v>1</v>
      </c>
      <c r="O417" s="6">
        <f>IF(N417=1,ROUND((SUMIFS($M$3:$M$1200,$A$3:$A$1200,A417)+'Settings'!$B$13)*'Settings'!$B$14/100+'Settings'!$B$15,2),0)</f>
        <v>2.19</v>
      </c>
    </row>
    <row r="418">
      <c r="A418" s="3" t="inlineStr">
        <is>
          <t xml:space="preserve">#1305</t>
        </is>
      </c>
      <c r="B418" s="3" t="inlineStr">
        <is>
          <t xml:space="preserve">2026-02-21</t>
        </is>
      </c>
      <c r="C418" s="3" t="inlineStr">
        <is>
          <t xml:space="preserve">SKU-E</t>
        </is>
      </c>
      <c r="D418" s="3" t="inlineStr">
        <is>
          <t xml:space="preserve">Complete Ritual</t>
        </is>
      </c>
      <c r="E418" s="6">
        <f>IF('Settings'!$B$11="Scenario",IFERROR(INDEX('Catalogue'!$E$3:$E$100,MATCH(C418,'Catalogue'!$B$3:$B$100,0)),F418),F418)</f>
        <v>89</v>
      </c>
      <c r="F418" s="8">
        <v>89</v>
      </c>
      <c r="G418" s="3">
        <v>1</v>
      </c>
      <c r="H418" s="6">
        <f>IF('Settings'!$B$11="Scenario",ROUND(E418*G418*IFERROR(SUMIF('Pricing &amp; promotions'!$A$6:$A$8,L418,'Pricing &amp; promotions'!$B$6:$B$8)/100,0),2),J418)</f>
        <v>0.0</v>
      </c>
      <c r="I418" s="6">
        <f>ROUND((E418*G418-H418)/IF(OR(K418=TRUE,K418="TRUE",K418="YES",K418=1),1+'Settings'!$B$6/100,1),2)</f>
        <v>73.55</v>
      </c>
      <c r="J418" s="8">
        <v>0.0</v>
      </c>
      <c r="K418" s="3" t="inlineStr">
        <is>
          <t xml:space="preserve">TRUE</t>
        </is>
      </c>
      <c r="L418" s="3"/>
      <c r="M418" s="6">
        <f>ROUND(E418*G418-H418,2)</f>
        <v>89.0</v>
      </c>
      <c r="N418" s="5">
        <f>IF(COUNTIF($A$3:A418,A418)=1,1,0)</f>
        <v>1</v>
      </c>
      <c r="O418" s="6">
        <f>IF(N418=1,ROUND((SUMIFS($M$3:$M$1200,$A$3:$A$1200,A418)+'Settings'!$B$13)*'Settings'!$B$14/100+'Settings'!$B$15,2),0)</f>
        <v>1.63</v>
      </c>
    </row>
    <row r="419">
      <c r="A419" s="3" t="inlineStr">
        <is>
          <t xml:space="preserve">#1306</t>
        </is>
      </c>
      <c r="B419" s="3" t="inlineStr">
        <is>
          <t xml:space="preserve">2026-02-21</t>
        </is>
      </c>
      <c r="C419" s="3" t="inlineStr">
        <is>
          <t xml:space="preserve">SKU-D</t>
        </is>
      </c>
      <c r="D419" s="3" t="inlineStr">
        <is>
          <t xml:space="preserve">Daily Duo</t>
        </is>
      </c>
      <c r="E419" s="6">
        <f>IF('Settings'!$B$11="Scenario",IFERROR(INDEX('Catalogue'!$E$3:$E$100,MATCH(C419,'Catalogue'!$B$3:$B$100,0)),F419),F419)</f>
        <v>79</v>
      </c>
      <c r="F419" s="8">
        <v>79</v>
      </c>
      <c r="G419" s="3">
        <v>1</v>
      </c>
      <c r="H419" s="6">
        <f>IF('Settings'!$B$11="Scenario",ROUND(E419*G419*IFERROR(SUMIF('Pricing &amp; promotions'!$A$6:$A$8,L419,'Pricing &amp; promotions'!$B$6:$B$8)/100,0),2),J419)</f>
        <v>0.0</v>
      </c>
      <c r="I419" s="6">
        <f>ROUND((E419*G419-H419)/IF(OR(K419=TRUE,K419="TRUE",K419="YES",K419=1),1+'Settings'!$B$6/100,1),2)</f>
        <v>65.29</v>
      </c>
      <c r="J419" s="8">
        <v>0.0</v>
      </c>
      <c r="K419" s="3" t="inlineStr">
        <is>
          <t xml:space="preserve">TRUE</t>
        </is>
      </c>
      <c r="L419" s="3"/>
      <c r="M419" s="6">
        <f>ROUND(E419*G419-H419,2)</f>
        <v>79.0</v>
      </c>
      <c r="N419" s="5">
        <f>IF(COUNTIF($A$3:A419,A419)=1,1,0)</f>
        <v>1</v>
      </c>
      <c r="O419" s="6">
        <f>IF(N419=1,ROUND((SUMIFS($M$3:$M$1200,$A$3:$A$1200,A419)+'Settings'!$B$13)*'Settings'!$B$14/100+'Settings'!$B$15,2),0)</f>
        <v>2.53</v>
      </c>
    </row>
    <row r="420">
      <c r="A420" s="3" t="inlineStr">
        <is>
          <t xml:space="preserve">#1306</t>
        </is>
      </c>
      <c r="B420" s="3" t="inlineStr">
        <is>
          <t xml:space="preserve">2026-02-21</t>
        </is>
      </c>
      <c r="C420" s="3" t="inlineStr">
        <is>
          <t xml:space="preserve">SKU-A</t>
        </is>
      </c>
      <c r="D420" s="3" t="inlineStr">
        <is>
          <t xml:space="preserve">Renewal Serum</t>
        </is>
      </c>
      <c r="E420" s="6">
        <f>IF('Settings'!$B$11="Scenario",IFERROR(INDEX('Catalogue'!$E$3:$E$100,MATCH(C420,'Catalogue'!$B$3:$B$100,0)),F420),F420)</f>
        <v>69.9</v>
      </c>
      <c r="F420" s="8">
        <v>69.9</v>
      </c>
      <c r="G420" s="3">
        <v>1</v>
      </c>
      <c r="H420" s="6">
        <f>IF('Settings'!$B$11="Scenario",ROUND(E420*G420*IFERROR(SUMIF('Pricing &amp; promotions'!$A$6:$A$8,L420,'Pricing &amp; promotions'!$B$6:$B$8)/100,0),2),J420)</f>
        <v>0.0</v>
      </c>
      <c r="I420" s="6">
        <f>ROUND((E420*G420-H420)/IF(OR(K420=TRUE,K420="TRUE",K420="YES",K420=1),1+'Settings'!$B$6/100,1),2)</f>
        <v>57.77</v>
      </c>
      <c r="J420" s="8">
        <v>0.0</v>
      </c>
      <c r="K420" s="3" t="inlineStr">
        <is>
          <t xml:space="preserve">TRUE</t>
        </is>
      </c>
      <c r="L420" s="3"/>
      <c r="M420" s="6">
        <f>ROUND(E420*G420-H420,2)</f>
        <v>69.9</v>
      </c>
      <c r="N420" s="5">
        <f>IF(COUNTIF($A$3:A420,A420)=1,1,0)</f>
        <v>0</v>
      </c>
      <c r="O420" s="6">
        <f>IF(N420=1,ROUND((SUMIFS($M$3:$M$1200,$A$3:$A$1200,A420)+'Settings'!$B$13)*'Settings'!$B$14/100+'Settings'!$B$15,2),0)</f>
        <v>0</v>
      </c>
    </row>
    <row r="421">
      <c r="A421" s="3" t="inlineStr">
        <is>
          <t xml:space="preserve">#1307</t>
        </is>
      </c>
      <c r="B421" s="3" t="inlineStr">
        <is>
          <t xml:space="preserve">2026-02-22</t>
        </is>
      </c>
      <c r="C421" s="3" t="inlineStr">
        <is>
          <t xml:space="preserve">SKU-A</t>
        </is>
      </c>
      <c r="D421" s="3" t="inlineStr">
        <is>
          <t xml:space="preserve">Renewal Serum</t>
        </is>
      </c>
      <c r="E421" s="6">
        <f>IF('Settings'!$B$11="Scenario",IFERROR(INDEX('Catalogue'!$E$3:$E$100,MATCH(C421,'Catalogue'!$B$3:$B$100,0)),F421),F421)</f>
        <v>69.9</v>
      </c>
      <c r="F421" s="8">
        <v>69.9</v>
      </c>
      <c r="G421" s="3">
        <v>1</v>
      </c>
      <c r="H421" s="6">
        <f>IF('Settings'!$B$11="Scenario",ROUND(E421*G421*IFERROR(SUMIF('Pricing &amp; promotions'!$A$6:$A$8,L421,'Pricing &amp; promotions'!$B$6:$B$8)/100,0),2),J421)</f>
        <v>0.0</v>
      </c>
      <c r="I421" s="6">
        <f>ROUND((E421*G421-H421)/IF(OR(K421=TRUE,K421="TRUE",K421="YES",K421=1),1+'Settings'!$B$6/100,1),2)</f>
        <v>57.77</v>
      </c>
      <c r="J421" s="8">
        <v>0.0</v>
      </c>
      <c r="K421" s="3" t="inlineStr">
        <is>
          <t xml:space="preserve">TRUE</t>
        </is>
      </c>
      <c r="L421" s="3"/>
      <c r="M421" s="6">
        <f>ROUND(E421*G421-H421,2)</f>
        <v>69.9</v>
      </c>
      <c r="N421" s="5">
        <f>IF(COUNTIF($A$3:A421,A421)=1,1,0)</f>
        <v>1</v>
      </c>
      <c r="O421" s="6">
        <f>IF(N421=1,ROUND((SUMIFS($M$3:$M$1200,$A$3:$A$1200,A421)+'Settings'!$B$13)*'Settings'!$B$14/100+'Settings'!$B$15,2),0)</f>
        <v>1.34</v>
      </c>
    </row>
    <row r="422">
      <c r="A422" s="3" t="inlineStr">
        <is>
          <t xml:space="preserve">#1308</t>
        </is>
      </c>
      <c r="B422" s="3" t="inlineStr">
        <is>
          <t xml:space="preserve">2026-02-22</t>
        </is>
      </c>
      <c r="C422" s="3" t="inlineStr">
        <is>
          <t xml:space="preserve">SKU-A</t>
        </is>
      </c>
      <c r="D422" s="3" t="inlineStr">
        <is>
          <t xml:space="preserve">Renewal Serum</t>
        </is>
      </c>
      <c r="E422" s="6">
        <f>IF('Settings'!$B$11="Scenario",IFERROR(INDEX('Catalogue'!$E$3:$E$100,MATCH(C422,'Catalogue'!$B$3:$B$100,0)),F422),F422)</f>
        <v>69.9</v>
      </c>
      <c r="F422" s="8">
        <v>69.9</v>
      </c>
      <c r="G422" s="3">
        <v>1</v>
      </c>
      <c r="H422" s="6">
        <f>IF('Settings'!$B$11="Scenario",ROUND(E422*G422*IFERROR(SUMIF('Pricing &amp; promotions'!$A$6:$A$8,L422,'Pricing &amp; promotions'!$B$6:$B$8)/100,0),2),J422)</f>
        <v>6.99</v>
      </c>
      <c r="I422" s="6">
        <f>ROUND((E422*G422-H422)/IF(OR(K422=TRUE,K422="TRUE",K422="YES",K422=1),1+'Settings'!$B$6/100,1),2)</f>
        <v>51.99</v>
      </c>
      <c r="J422" s="8">
        <v>6.99</v>
      </c>
      <c r="K422" s="3" t="inlineStr">
        <is>
          <t xml:space="preserve">TRUE</t>
        </is>
      </c>
      <c r="L422" s="3" t="inlineStr">
        <is>
          <t xml:space="preserve">WELCOME10</t>
        </is>
      </c>
      <c r="M422" s="6">
        <f>ROUND(E422*G422-H422,2)</f>
        <v>62.91</v>
      </c>
      <c r="N422" s="5">
        <f>IF(COUNTIF($A$3:A422,A422)=1,1,0)</f>
        <v>1</v>
      </c>
      <c r="O422" s="6">
        <f>IF(N422=1,ROUND((SUMIFS($M$3:$M$1200,$A$3:$A$1200,A422)+'Settings'!$B$13)*'Settings'!$B$14/100+'Settings'!$B$15,2),0)</f>
        <v>1.24</v>
      </c>
    </row>
    <row r="423">
      <c r="A423" s="3" t="inlineStr">
        <is>
          <t xml:space="preserve">#1309</t>
        </is>
      </c>
      <c r="B423" s="3" t="inlineStr">
        <is>
          <t xml:space="preserve">2026-02-24</t>
        </is>
      </c>
      <c r="C423" s="3" t="inlineStr">
        <is>
          <t xml:space="preserve">SKU-B</t>
        </is>
      </c>
      <c r="D423" s="3" t="inlineStr">
        <is>
          <t xml:space="preserve">Barrier Balm</t>
        </is>
      </c>
      <c r="E423" s="6">
        <f>IF('Settings'!$B$11="Scenario",IFERROR(INDEX('Catalogue'!$E$3:$E$100,MATCH(C423,'Catalogue'!$B$3:$B$100,0)),F423),F423)</f>
        <v>19</v>
      </c>
      <c r="F423" s="8">
        <v>18</v>
      </c>
      <c r="G423" s="3">
        <v>1</v>
      </c>
      <c r="H423" s="6">
        <f>IF('Settings'!$B$11="Scenario",ROUND(E423*G423*IFERROR(SUMIF('Pricing &amp; promotions'!$A$6:$A$8,L423,'Pricing &amp; promotions'!$B$6:$B$8)/100,0),2),J423)</f>
        <v>3.8</v>
      </c>
      <c r="I423" s="6">
        <f>ROUND((E423*G423-H423)/IF(OR(K423=TRUE,K423="TRUE",K423="YES",K423=1),1+'Settings'!$B$6/100,1),2)</f>
        <v>12.56</v>
      </c>
      <c r="J423" s="8">
        <v>3.6</v>
      </c>
      <c r="K423" s="3" t="inlineStr">
        <is>
          <t xml:space="preserve">TRUE</t>
        </is>
      </c>
      <c r="L423" s="3" t="inlineStr">
        <is>
          <t xml:space="preserve">VIP20</t>
        </is>
      </c>
      <c r="M423" s="6">
        <f>ROUND(E423*G423-H423,2)</f>
        <v>15.2</v>
      </c>
      <c r="N423" s="5">
        <f>IF(COUNTIF($A$3:A423,A423)=1,1,0)</f>
        <v>1</v>
      </c>
      <c r="O423" s="6">
        <f>IF(N423=1,ROUND((SUMIFS($M$3:$M$1200,$A$3:$A$1200,A423)+'Settings'!$B$13)*'Settings'!$B$14/100+'Settings'!$B$15,2),0)</f>
        <v>0.52</v>
      </c>
    </row>
    <row r="424">
      <c r="A424" s="3" t="inlineStr">
        <is>
          <t xml:space="preserve">#1310</t>
        </is>
      </c>
      <c r="B424" s="3" t="inlineStr">
        <is>
          <t xml:space="preserve">2026-02-24</t>
        </is>
      </c>
      <c r="C424" s="3" t="inlineStr">
        <is>
          <t xml:space="preserve">SKU-E</t>
        </is>
      </c>
      <c r="D424" s="3" t="inlineStr">
        <is>
          <t xml:space="preserve">Complete Ritual</t>
        </is>
      </c>
      <c r="E424" s="6">
        <f>IF('Settings'!$B$11="Scenario",IFERROR(INDEX('Catalogue'!$E$3:$E$100,MATCH(C424,'Catalogue'!$B$3:$B$100,0)),F424),F424)</f>
        <v>89</v>
      </c>
      <c r="F424" s="8">
        <v>89</v>
      </c>
      <c r="G424" s="3">
        <v>2</v>
      </c>
      <c r="H424" s="6">
        <f>IF('Settings'!$B$11="Scenario",ROUND(E424*G424*IFERROR(SUMIF('Pricing &amp; promotions'!$A$6:$A$8,L424,'Pricing &amp; promotions'!$B$6:$B$8)/100,0),2),J424)</f>
        <v>0.0</v>
      </c>
      <c r="I424" s="6">
        <f>ROUND((E424*G424-H424)/IF(OR(K424=TRUE,K424="TRUE",K424="YES",K424=1),1+'Settings'!$B$6/100,1),2)</f>
        <v>147.11</v>
      </c>
      <c r="J424" s="8">
        <v>0.0</v>
      </c>
      <c r="K424" s="3" t="inlineStr">
        <is>
          <t xml:space="preserve">TRUE</t>
        </is>
      </c>
      <c r="L424" s="3"/>
      <c r="M424" s="6">
        <f>ROUND(E424*G424-H424,2)</f>
        <v>178.0</v>
      </c>
      <c r="N424" s="5">
        <f>IF(COUNTIF($A$3:A424,A424)=1,1,0)</f>
        <v>1</v>
      </c>
      <c r="O424" s="6">
        <f>IF(N424=1,ROUND((SUMIFS($M$3:$M$1200,$A$3:$A$1200,A424)+'Settings'!$B$13)*'Settings'!$B$14/100+'Settings'!$B$15,2),0)</f>
        <v>2.96</v>
      </c>
    </row>
    <row r="425">
      <c r="A425" s="3" t="inlineStr">
        <is>
          <t xml:space="preserve">#1311</t>
        </is>
      </c>
      <c r="B425" s="3" t="inlineStr">
        <is>
          <t xml:space="preserve">2026-02-24</t>
        </is>
      </c>
      <c r="C425" s="3" t="inlineStr">
        <is>
          <t xml:space="preserve">SKU-A</t>
        </is>
      </c>
      <c r="D425" s="3" t="inlineStr">
        <is>
          <t xml:space="preserve">Renewal Serum</t>
        </is>
      </c>
      <c r="E425" s="6">
        <f>IF('Settings'!$B$11="Scenario",IFERROR(INDEX('Catalogue'!$E$3:$E$100,MATCH(C425,'Catalogue'!$B$3:$B$100,0)),F425),F425)</f>
        <v>69.9</v>
      </c>
      <c r="F425" s="8">
        <v>69.9</v>
      </c>
      <c r="G425" s="3">
        <v>1</v>
      </c>
      <c r="H425" s="6">
        <f>IF('Settings'!$B$11="Scenario",ROUND(E425*G425*IFERROR(SUMIF('Pricing &amp; promotions'!$A$6:$A$8,L425,'Pricing &amp; promotions'!$B$6:$B$8)/100,0),2),J425)</f>
        <v>10.49</v>
      </c>
      <c r="I425" s="6">
        <f>ROUND((E425*G425-H425)/IF(OR(K425=TRUE,K425="TRUE",K425="YES",K425=1),1+'Settings'!$B$6/100,1),2)</f>
        <v>49.1</v>
      </c>
      <c r="J425" s="8">
        <v>10.49</v>
      </c>
      <c r="K425" s="3" t="inlineStr">
        <is>
          <t xml:space="preserve">TRUE</t>
        </is>
      </c>
      <c r="L425" s="3" t="inlineStr">
        <is>
          <t xml:space="preserve">SUMMER15</t>
        </is>
      </c>
      <c r="M425" s="6">
        <f>ROUND(E425*G425-H425,2)</f>
        <v>59.41</v>
      </c>
      <c r="N425" s="5">
        <f>IF(COUNTIF($A$3:A425,A425)=1,1,0)</f>
        <v>1</v>
      </c>
      <c r="O425" s="6">
        <f>IF(N425=1,ROUND((SUMIFS($M$3:$M$1200,$A$3:$A$1200,A425)+'Settings'!$B$13)*'Settings'!$B$14/100+'Settings'!$B$15,2),0)</f>
        <v>1.19</v>
      </c>
    </row>
    <row r="426">
      <c r="A426" s="3" t="inlineStr">
        <is>
          <t xml:space="preserve">#1312</t>
        </is>
      </c>
      <c r="B426" s="3" t="inlineStr">
        <is>
          <t xml:space="preserve">2026-02-25</t>
        </is>
      </c>
      <c r="C426" s="3" t="inlineStr">
        <is>
          <t xml:space="preserve">SKU-A</t>
        </is>
      </c>
      <c r="D426" s="3" t="inlineStr">
        <is>
          <t xml:space="preserve">Renewal Serum</t>
        </is>
      </c>
      <c r="E426" s="6">
        <f>IF('Settings'!$B$11="Scenario",IFERROR(INDEX('Catalogue'!$E$3:$E$100,MATCH(C426,'Catalogue'!$B$3:$B$100,0)),F426),F426)</f>
        <v>69.9</v>
      </c>
      <c r="F426" s="8">
        <v>69.9</v>
      </c>
      <c r="G426" s="3">
        <v>2</v>
      </c>
      <c r="H426" s="6">
        <f>IF('Settings'!$B$11="Scenario",ROUND(E426*G426*IFERROR(SUMIF('Pricing &amp; promotions'!$A$6:$A$8,L426,'Pricing &amp; promotions'!$B$6:$B$8)/100,0),2),J426)</f>
        <v>13.98</v>
      </c>
      <c r="I426" s="6">
        <f>ROUND((E426*G426-H426)/IF(OR(K426=TRUE,K426="TRUE",K426="YES",K426=1),1+'Settings'!$B$6/100,1),2)</f>
        <v>103.98</v>
      </c>
      <c r="J426" s="8">
        <v>13.98</v>
      </c>
      <c r="K426" s="3" t="inlineStr">
        <is>
          <t xml:space="preserve">TRUE</t>
        </is>
      </c>
      <c r="L426" s="3" t="inlineStr">
        <is>
          <t xml:space="preserve">WELCOME10</t>
        </is>
      </c>
      <c r="M426" s="6">
        <f>ROUND(E426*G426-H426,2)</f>
        <v>125.82</v>
      </c>
      <c r="N426" s="5">
        <f>IF(COUNTIF($A$3:A426,A426)=1,1,0)</f>
        <v>1</v>
      </c>
      <c r="O426" s="6">
        <f>IF(N426=1,ROUND((SUMIFS($M$3:$M$1200,$A$3:$A$1200,A426)+'Settings'!$B$13)*'Settings'!$B$14/100+'Settings'!$B$15,2),0)</f>
        <v>2.18</v>
      </c>
    </row>
    <row r="427">
      <c r="A427" s="3" t="inlineStr">
        <is>
          <t xml:space="preserve">#1313</t>
        </is>
      </c>
      <c r="B427" s="3" t="inlineStr">
        <is>
          <t xml:space="preserve">2026-02-25</t>
        </is>
      </c>
      <c r="C427" s="3" t="inlineStr">
        <is>
          <t xml:space="preserve">SKU-B</t>
        </is>
      </c>
      <c r="D427" s="3" t="inlineStr">
        <is>
          <t xml:space="preserve">Barrier Balm</t>
        </is>
      </c>
      <c r="E427" s="6">
        <f>IF('Settings'!$B$11="Scenario",IFERROR(INDEX('Catalogue'!$E$3:$E$100,MATCH(C427,'Catalogue'!$B$3:$B$100,0)),F427),F427)</f>
        <v>19</v>
      </c>
      <c r="F427" s="8">
        <v>18</v>
      </c>
      <c r="G427" s="3">
        <v>1</v>
      </c>
      <c r="H427" s="6">
        <f>IF('Settings'!$B$11="Scenario",ROUND(E427*G427*IFERROR(SUMIF('Pricing &amp; promotions'!$A$6:$A$8,L427,'Pricing &amp; promotions'!$B$6:$B$8)/100,0),2),J427)</f>
        <v>1.9</v>
      </c>
      <c r="I427" s="6">
        <f>ROUND((E427*G427-H427)/IF(OR(K427=TRUE,K427="TRUE",K427="YES",K427=1),1+'Settings'!$B$6/100,1),2)</f>
        <v>14.13</v>
      </c>
      <c r="J427" s="8">
        <v>1.8</v>
      </c>
      <c r="K427" s="3" t="inlineStr">
        <is>
          <t xml:space="preserve">TRUE</t>
        </is>
      </c>
      <c r="L427" s="3" t="inlineStr">
        <is>
          <t xml:space="preserve">WELCOME10</t>
        </is>
      </c>
      <c r="M427" s="6">
        <f>ROUND(E427*G427-H427,2)</f>
        <v>17.1</v>
      </c>
      <c r="N427" s="5">
        <f>IF(COUNTIF($A$3:A427,A427)=1,1,0)</f>
        <v>1</v>
      </c>
      <c r="O427" s="6">
        <f>IF(N427=1,ROUND((SUMIFS($M$3:$M$1200,$A$3:$A$1200,A427)+'Settings'!$B$13)*'Settings'!$B$14/100+'Settings'!$B$15,2),0)</f>
        <v>0.55</v>
      </c>
    </row>
    <row r="428">
      <c r="A428" s="3" t="inlineStr">
        <is>
          <t xml:space="preserve">#1314</t>
        </is>
      </c>
      <c r="B428" s="3" t="inlineStr">
        <is>
          <t xml:space="preserve">2026-02-26</t>
        </is>
      </c>
      <c r="C428" s="3" t="inlineStr">
        <is>
          <t xml:space="preserve">SKU-A</t>
        </is>
      </c>
      <c r="D428" s="3" t="inlineStr">
        <is>
          <t xml:space="preserve">Renewal Serum</t>
        </is>
      </c>
      <c r="E428" s="6">
        <f>IF('Settings'!$B$11="Scenario",IFERROR(INDEX('Catalogue'!$E$3:$E$100,MATCH(C428,'Catalogue'!$B$3:$B$100,0)),F428),F428)</f>
        <v>69.9</v>
      </c>
      <c r="F428" s="8">
        <v>69.9</v>
      </c>
      <c r="G428" s="3">
        <v>1</v>
      </c>
      <c r="H428" s="6">
        <f>IF('Settings'!$B$11="Scenario",ROUND(E428*G428*IFERROR(SUMIF('Pricing &amp; promotions'!$A$6:$A$8,L428,'Pricing &amp; promotions'!$B$6:$B$8)/100,0),2),J428)</f>
        <v>0.0</v>
      </c>
      <c r="I428" s="6">
        <f>ROUND((E428*G428-H428)/IF(OR(K428=TRUE,K428="TRUE",K428="YES",K428=1),1+'Settings'!$B$6/100,1),2)</f>
        <v>57.77</v>
      </c>
      <c r="J428" s="8">
        <v>0.0</v>
      </c>
      <c r="K428" s="3" t="inlineStr">
        <is>
          <t xml:space="preserve">TRUE</t>
        </is>
      </c>
      <c r="L428" s="3"/>
      <c r="M428" s="6">
        <f>ROUND(E428*G428-H428,2)</f>
        <v>69.9</v>
      </c>
      <c r="N428" s="5">
        <f>IF(COUNTIF($A$3:A428,A428)=1,1,0)</f>
        <v>1</v>
      </c>
      <c r="O428" s="6">
        <f>IF(N428=1,ROUND((SUMIFS($M$3:$M$1200,$A$3:$A$1200,A428)+'Settings'!$B$13)*'Settings'!$B$14/100+'Settings'!$B$15,2),0)</f>
        <v>1.34</v>
      </c>
    </row>
    <row r="429">
      <c r="A429" s="3" t="inlineStr">
        <is>
          <t xml:space="preserve">#1315</t>
        </is>
      </c>
      <c r="B429" s="3" t="inlineStr">
        <is>
          <t xml:space="preserve">2026-02-28</t>
        </is>
      </c>
      <c r="C429" s="3" t="inlineStr">
        <is>
          <t xml:space="preserve">SKU-E</t>
        </is>
      </c>
      <c r="D429" s="3" t="inlineStr">
        <is>
          <t xml:space="preserve">Complete Ritual</t>
        </is>
      </c>
      <c r="E429" s="6">
        <f>IF('Settings'!$B$11="Scenario",IFERROR(INDEX('Catalogue'!$E$3:$E$100,MATCH(C429,'Catalogue'!$B$3:$B$100,0)),F429),F429)</f>
        <v>89</v>
      </c>
      <c r="F429" s="8">
        <v>89</v>
      </c>
      <c r="G429" s="3">
        <v>1</v>
      </c>
      <c r="H429" s="6">
        <f>IF('Settings'!$B$11="Scenario",ROUND(E429*G429*IFERROR(SUMIF('Pricing &amp; promotions'!$A$6:$A$8,L429,'Pricing &amp; promotions'!$B$6:$B$8)/100,0),2),J429)</f>
        <v>8.9</v>
      </c>
      <c r="I429" s="6">
        <f>ROUND((E429*G429-H429)/IF(OR(K429=TRUE,K429="TRUE",K429="YES",K429=1),1+'Settings'!$B$6/100,1),2)</f>
        <v>66.2</v>
      </c>
      <c r="J429" s="8">
        <v>8.9</v>
      </c>
      <c r="K429" s="3" t="inlineStr">
        <is>
          <t xml:space="preserve">TRUE</t>
        </is>
      </c>
      <c r="L429" s="3" t="inlineStr">
        <is>
          <t xml:space="preserve">WELCOME10</t>
        </is>
      </c>
      <c r="M429" s="6">
        <f>ROUND(E429*G429-H429,2)</f>
        <v>80.1</v>
      </c>
      <c r="N429" s="5">
        <f>IF(COUNTIF($A$3:A429,A429)=1,1,0)</f>
        <v>1</v>
      </c>
      <c r="O429" s="6">
        <f>IF(N429=1,ROUND((SUMIFS($M$3:$M$1200,$A$3:$A$1200,A429)+'Settings'!$B$13)*'Settings'!$B$14/100+'Settings'!$B$15,2),0)</f>
        <v>2.95</v>
      </c>
    </row>
    <row r="430">
      <c r="A430" s="3" t="inlineStr">
        <is>
          <t xml:space="preserve">#1315</t>
        </is>
      </c>
      <c r="B430" s="3" t="inlineStr">
        <is>
          <t xml:space="preserve">2026-02-28</t>
        </is>
      </c>
      <c r="C430" s="3" t="inlineStr">
        <is>
          <t xml:space="preserve">SKU-D</t>
        </is>
      </c>
      <c r="D430" s="3" t="inlineStr">
        <is>
          <t xml:space="preserve">Daily Duo</t>
        </is>
      </c>
      <c r="E430" s="6">
        <f>IF('Settings'!$B$11="Scenario",IFERROR(INDEX('Catalogue'!$E$3:$E$100,MATCH(C430,'Catalogue'!$B$3:$B$100,0)),F430),F430)</f>
        <v>79</v>
      </c>
      <c r="F430" s="8">
        <v>79</v>
      </c>
      <c r="G430" s="3">
        <v>1</v>
      </c>
      <c r="H430" s="6">
        <f>IF('Settings'!$B$11="Scenario",ROUND(E430*G430*IFERROR(SUMIF('Pricing &amp; promotions'!$A$6:$A$8,L430,'Pricing &amp; promotions'!$B$6:$B$8)/100,0),2),J430)</f>
        <v>7.9</v>
      </c>
      <c r="I430" s="6">
        <f>ROUND((E430*G430-H430)/IF(OR(K430=TRUE,K430="TRUE",K430="YES",K430=1),1+'Settings'!$B$6/100,1),2)</f>
        <v>58.76</v>
      </c>
      <c r="J430" s="8">
        <v>7.9</v>
      </c>
      <c r="K430" s="3" t="inlineStr">
        <is>
          <t xml:space="preserve">TRUE</t>
        </is>
      </c>
      <c r="L430" s="3" t="inlineStr">
        <is>
          <t xml:space="preserve">WELCOME10</t>
        </is>
      </c>
      <c r="M430" s="6">
        <f>ROUND(E430*G430-H430,2)</f>
        <v>71.1</v>
      </c>
      <c r="N430" s="5">
        <f>IF(COUNTIF($A$3:A430,A430)=1,1,0)</f>
        <v>0</v>
      </c>
      <c r="O430" s="6">
        <f>IF(N430=1,ROUND((SUMIFS($M$3:$M$1200,$A$3:$A$1200,A430)+'Settings'!$B$13)*'Settings'!$B$14/100+'Settings'!$B$15,2),0)</f>
        <v>0</v>
      </c>
    </row>
    <row r="431">
      <c r="A431" s="3" t="inlineStr">
        <is>
          <t xml:space="preserve">#1315</t>
        </is>
      </c>
      <c r="B431" s="3" t="inlineStr">
        <is>
          <t xml:space="preserve">2026-02-28</t>
        </is>
      </c>
      <c r="C431" s="3" t="inlineStr">
        <is>
          <t xml:space="preserve">SKU-C</t>
        </is>
      </c>
      <c r="D431" s="3" t="inlineStr">
        <is>
          <t xml:space="preserve">Contour Stone</t>
        </is>
      </c>
      <c r="E431" s="6">
        <f>IF('Settings'!$B$11="Scenario",IFERROR(INDEX('Catalogue'!$E$3:$E$100,MATCH(C431,'Catalogue'!$B$3:$B$100,0)),F431),F431)</f>
        <v>29</v>
      </c>
      <c r="F431" s="8">
        <v>29</v>
      </c>
      <c r="G431" s="3">
        <v>1</v>
      </c>
      <c r="H431" s="6">
        <f>IF('Settings'!$B$11="Scenario",ROUND(E431*G431*IFERROR(SUMIF('Pricing &amp; promotions'!$A$6:$A$8,L431,'Pricing &amp; promotions'!$B$6:$B$8)/100,0),2),J431)</f>
        <v>2.9</v>
      </c>
      <c r="I431" s="6">
        <f>ROUND((E431*G431-H431)/IF(OR(K431=TRUE,K431="TRUE",K431="YES",K431=1),1+'Settings'!$B$6/100,1),2)</f>
        <v>21.57</v>
      </c>
      <c r="J431" s="8">
        <v>2.9</v>
      </c>
      <c r="K431" s="3" t="inlineStr">
        <is>
          <t xml:space="preserve">TRUE</t>
        </is>
      </c>
      <c r="L431" s="3" t="inlineStr">
        <is>
          <t xml:space="preserve">WELCOME10</t>
        </is>
      </c>
      <c r="M431" s="6">
        <f>ROUND(E431*G431-H431,2)</f>
        <v>26.1</v>
      </c>
      <c r="N431" s="5">
        <f>IF(COUNTIF($A$3:A431,A431)=1,1,0)</f>
        <v>0</v>
      </c>
      <c r="O431" s="6">
        <f>IF(N431=1,ROUND((SUMIFS($M$3:$M$1200,$A$3:$A$1200,A431)+'Settings'!$B$13)*'Settings'!$B$14/100+'Settings'!$B$15,2),0)</f>
        <v>0</v>
      </c>
    </row>
    <row r="432">
      <c r="A432" s="3" t="inlineStr">
        <is>
          <t xml:space="preserve">#1316</t>
        </is>
      </c>
      <c r="B432" s="3" t="inlineStr">
        <is>
          <t xml:space="preserve">2026-02-28</t>
        </is>
      </c>
      <c r="C432" s="3" t="inlineStr">
        <is>
          <t xml:space="preserve">SKU-D</t>
        </is>
      </c>
      <c r="D432" s="3" t="inlineStr">
        <is>
          <t xml:space="preserve">Daily Duo</t>
        </is>
      </c>
      <c r="E432" s="6">
        <f>IF('Settings'!$B$11="Scenario",IFERROR(INDEX('Catalogue'!$E$3:$E$100,MATCH(C432,'Catalogue'!$B$3:$B$100,0)),F432),F432)</f>
        <v>79</v>
      </c>
      <c r="F432" s="8">
        <v>79</v>
      </c>
      <c r="G432" s="3">
        <v>1</v>
      </c>
      <c r="H432" s="6">
        <f>IF('Settings'!$B$11="Scenario",ROUND(E432*G432*IFERROR(SUMIF('Pricing &amp; promotions'!$A$6:$A$8,L432,'Pricing &amp; promotions'!$B$6:$B$8)/100,0),2),J432)</f>
        <v>7.9</v>
      </c>
      <c r="I432" s="6">
        <f>ROUND((E432*G432-H432)/IF(OR(K432=TRUE,K432="TRUE",K432="YES",K432=1),1+'Settings'!$B$6/100,1),2)</f>
        <v>58.76</v>
      </c>
      <c r="J432" s="8">
        <v>7.9</v>
      </c>
      <c r="K432" s="3" t="inlineStr">
        <is>
          <t xml:space="preserve">TRUE</t>
        </is>
      </c>
      <c r="L432" s="3" t="inlineStr">
        <is>
          <t xml:space="preserve">WELCOME10</t>
        </is>
      </c>
      <c r="M432" s="6">
        <f>ROUND(E432*G432-H432,2)</f>
        <v>71.1</v>
      </c>
      <c r="N432" s="5">
        <f>IF(COUNTIF($A$3:A432,A432)=1,1,0)</f>
        <v>1</v>
      </c>
      <c r="O432" s="6">
        <f>IF(N432=1,ROUND((SUMIFS($M$3:$M$1200,$A$3:$A$1200,A432)+'Settings'!$B$13)*'Settings'!$B$14/100+'Settings'!$B$15,2),0)</f>
        <v>1.36</v>
      </c>
    </row>
    <row r="433">
      <c r="A433" s="3" t="inlineStr">
        <is>
          <t xml:space="preserve">#1317</t>
        </is>
      </c>
      <c r="B433" s="3" t="inlineStr">
        <is>
          <t xml:space="preserve">2026-03-01</t>
        </is>
      </c>
      <c r="C433" s="3" t="inlineStr">
        <is>
          <t xml:space="preserve">SKU-E</t>
        </is>
      </c>
      <c r="D433" s="3" t="inlineStr">
        <is>
          <t xml:space="preserve">Complete Ritual</t>
        </is>
      </c>
      <c r="E433" s="6">
        <f>IF('Settings'!$B$11="Scenario",IFERROR(INDEX('Catalogue'!$E$3:$E$100,MATCH(C433,'Catalogue'!$B$3:$B$100,0)),F433),F433)</f>
        <v>89</v>
      </c>
      <c r="F433" s="8">
        <v>89</v>
      </c>
      <c r="G433" s="3">
        <v>1</v>
      </c>
      <c r="H433" s="6">
        <f>IF('Settings'!$B$11="Scenario",ROUND(E433*G433*IFERROR(SUMIF('Pricing &amp; promotions'!$A$6:$A$8,L433,'Pricing &amp; promotions'!$B$6:$B$8)/100,0),2),J433)</f>
        <v>0.0</v>
      </c>
      <c r="I433" s="6">
        <f>ROUND((E433*G433-H433)/IF(OR(K433=TRUE,K433="TRUE",K433="YES",K433=1),1+'Settings'!$B$6/100,1),2)</f>
        <v>73.55</v>
      </c>
      <c r="J433" s="8">
        <v>0.0</v>
      </c>
      <c r="K433" s="3" t="inlineStr">
        <is>
          <t xml:space="preserve">TRUE</t>
        </is>
      </c>
      <c r="L433" s="3"/>
      <c r="M433" s="6">
        <f>ROUND(E433*G433-H433,2)</f>
        <v>89.0</v>
      </c>
      <c r="N433" s="5">
        <f>IF(COUNTIF($A$3:A433,A433)=1,1,0)</f>
        <v>1</v>
      </c>
      <c r="O433" s="6">
        <f>IF(N433=1,ROUND((SUMIFS($M$3:$M$1200,$A$3:$A$1200,A433)+'Settings'!$B$13)*'Settings'!$B$14/100+'Settings'!$B$15,2),0)</f>
        <v>1.63</v>
      </c>
    </row>
    <row r="434">
      <c r="A434" s="3" t="inlineStr">
        <is>
          <t xml:space="preserve">#1318</t>
        </is>
      </c>
      <c r="B434" s="3" t="inlineStr">
        <is>
          <t xml:space="preserve">2026-03-01</t>
        </is>
      </c>
      <c r="C434" s="3" t="inlineStr">
        <is>
          <t xml:space="preserve">SKU-A</t>
        </is>
      </c>
      <c r="D434" s="3" t="inlineStr">
        <is>
          <t xml:space="preserve">Renewal Serum</t>
        </is>
      </c>
      <c r="E434" s="6">
        <f>IF('Settings'!$B$11="Scenario",IFERROR(INDEX('Catalogue'!$E$3:$E$100,MATCH(C434,'Catalogue'!$B$3:$B$100,0)),F434),F434)</f>
        <v>69.9</v>
      </c>
      <c r="F434" s="8">
        <v>69.9</v>
      </c>
      <c r="G434" s="3">
        <v>1</v>
      </c>
      <c r="H434" s="6">
        <f>IF('Settings'!$B$11="Scenario",ROUND(E434*G434*IFERROR(SUMIF('Pricing &amp; promotions'!$A$6:$A$8,L434,'Pricing &amp; promotions'!$B$6:$B$8)/100,0),2),J434)</f>
        <v>6.99</v>
      </c>
      <c r="I434" s="6">
        <f>ROUND((E434*G434-H434)/IF(OR(K434=TRUE,K434="TRUE",K434="YES",K434=1),1+'Settings'!$B$6/100,1),2)</f>
        <v>51.99</v>
      </c>
      <c r="J434" s="8">
        <v>6.99</v>
      </c>
      <c r="K434" s="3" t="inlineStr">
        <is>
          <t xml:space="preserve">TRUE</t>
        </is>
      </c>
      <c r="L434" s="3" t="inlineStr">
        <is>
          <t xml:space="preserve">WELCOME10</t>
        </is>
      </c>
      <c r="M434" s="6">
        <f>ROUND(E434*G434-H434,2)</f>
        <v>62.91</v>
      </c>
      <c r="N434" s="5">
        <f>IF(COUNTIF($A$3:A434,A434)=1,1,0)</f>
        <v>1</v>
      </c>
      <c r="O434" s="6">
        <f>IF(N434=1,ROUND((SUMIFS($M$3:$M$1200,$A$3:$A$1200,A434)+'Settings'!$B$13)*'Settings'!$B$14/100+'Settings'!$B$15,2),0)</f>
        <v>1.24</v>
      </c>
    </row>
    <row r="435">
      <c r="A435" s="3" t="inlineStr">
        <is>
          <t xml:space="preserve">#1319</t>
        </is>
      </c>
      <c r="B435" s="3" t="inlineStr">
        <is>
          <t xml:space="preserve">2026-03-01</t>
        </is>
      </c>
      <c r="C435" s="3" t="inlineStr">
        <is>
          <t xml:space="preserve">SKU-G</t>
        </is>
      </c>
      <c r="D435" s="3" t="inlineStr">
        <is>
          <t xml:space="preserve">Daily Reset Set</t>
        </is>
      </c>
      <c r="E435" s="6">
        <f>IF('Settings'!$B$11="Scenario",IFERROR(INDEX('Catalogue'!$E$3:$E$100,MATCH(C435,'Catalogue'!$B$3:$B$100,0)),F435),F435)</f>
        <v>69</v>
      </c>
      <c r="F435" s="8">
        <v>69</v>
      </c>
      <c r="G435" s="3">
        <v>1</v>
      </c>
      <c r="H435" s="6">
        <f>IF('Settings'!$B$11="Scenario",ROUND(E435*G435*IFERROR(SUMIF('Pricing &amp; promotions'!$A$6:$A$8,L435,'Pricing &amp; promotions'!$B$6:$B$8)/100,0),2),J435)</f>
        <v>0.0</v>
      </c>
      <c r="I435" s="6">
        <f>ROUND((E435*G435-H435)/IF(OR(K435=TRUE,K435="TRUE",K435="YES",K435=1),1+'Settings'!$B$6/100,1),2)</f>
        <v>57.02</v>
      </c>
      <c r="J435" s="8">
        <v>0.0</v>
      </c>
      <c r="K435" s="3" t="inlineStr">
        <is>
          <t xml:space="preserve">TRUE</t>
        </is>
      </c>
      <c r="L435" s="3"/>
      <c r="M435" s="6">
        <f>ROUND(E435*G435-H435,2)</f>
        <v>69.0</v>
      </c>
      <c r="N435" s="5">
        <f>IF(COUNTIF($A$3:A435,A435)=1,1,0)</f>
        <v>1</v>
      </c>
      <c r="O435" s="6">
        <f>IF(N435=1,ROUND((SUMIFS($M$3:$M$1200,$A$3:$A$1200,A435)+'Settings'!$B$13)*'Settings'!$B$14/100+'Settings'!$B$15,2),0)</f>
        <v>1.33</v>
      </c>
    </row>
    <row r="436">
      <c r="A436" s="3" t="inlineStr">
        <is>
          <t xml:space="preserve">#1320</t>
        </is>
      </c>
      <c r="B436" s="3" t="inlineStr">
        <is>
          <t xml:space="preserve">2026-03-01</t>
        </is>
      </c>
      <c r="C436" s="3" t="inlineStr">
        <is>
          <t xml:space="preserve">SKU-F</t>
        </is>
      </c>
      <c r="D436" s="3" t="inlineStr">
        <is>
          <t xml:space="preserve">Cloud Cleanser</t>
        </is>
      </c>
      <c r="E436" s="6">
        <f>IF('Settings'!$B$11="Scenario",IFERROR(INDEX('Catalogue'!$E$3:$E$100,MATCH(C436,'Catalogue'!$B$3:$B$100,0)),F436),F436)</f>
        <v>34</v>
      </c>
      <c r="F436" s="8">
        <v>34</v>
      </c>
      <c r="G436" s="3">
        <v>2</v>
      </c>
      <c r="H436" s="6">
        <f>IF('Settings'!$B$11="Scenario",ROUND(E436*G436*IFERROR(SUMIF('Pricing &amp; promotions'!$A$6:$A$8,L436,'Pricing &amp; promotions'!$B$6:$B$8)/100,0),2),J436)</f>
        <v>10.2</v>
      </c>
      <c r="I436" s="6">
        <f>ROUND((E436*G436-H436)/IF(OR(K436=TRUE,K436="TRUE",K436="YES",K436=1),1+'Settings'!$B$6/100,1),2)</f>
        <v>47.77</v>
      </c>
      <c r="J436" s="8">
        <v>10.2</v>
      </c>
      <c r="K436" s="3" t="inlineStr">
        <is>
          <t xml:space="preserve">TRUE</t>
        </is>
      </c>
      <c r="L436" s="3" t="inlineStr">
        <is>
          <t xml:space="preserve">SUMMER15</t>
        </is>
      </c>
      <c r="M436" s="6">
        <f>ROUND(E436*G436-H436,2)</f>
        <v>57.8</v>
      </c>
      <c r="N436" s="5">
        <f>IF(COUNTIF($A$3:A436,A436)=1,1,0)</f>
        <v>1</v>
      </c>
      <c r="O436" s="6">
        <f>IF(N436=1,ROUND((SUMIFS($M$3:$M$1200,$A$3:$A$1200,A436)+'Settings'!$B$13)*'Settings'!$B$14/100+'Settings'!$B$15,2),0)</f>
        <v>1.16</v>
      </c>
    </row>
    <row r="437">
      <c r="A437" s="3" t="inlineStr">
        <is>
          <t xml:space="preserve">#1321</t>
        </is>
      </c>
      <c r="B437" s="3" t="inlineStr">
        <is>
          <t xml:space="preserve">2026-03-02</t>
        </is>
      </c>
      <c r="C437" s="3" t="inlineStr">
        <is>
          <t xml:space="preserve">SKU-E</t>
        </is>
      </c>
      <c r="D437" s="3" t="inlineStr">
        <is>
          <t xml:space="preserve">Complete Ritual</t>
        </is>
      </c>
      <c r="E437" s="6">
        <f>IF('Settings'!$B$11="Scenario",IFERROR(INDEX('Catalogue'!$E$3:$E$100,MATCH(C437,'Catalogue'!$B$3:$B$100,0)),F437),F437)</f>
        <v>89</v>
      </c>
      <c r="F437" s="8">
        <v>89</v>
      </c>
      <c r="G437" s="3">
        <v>1</v>
      </c>
      <c r="H437" s="6">
        <f>IF('Settings'!$B$11="Scenario",ROUND(E437*G437*IFERROR(SUMIF('Pricing &amp; promotions'!$A$6:$A$8,L437,'Pricing &amp; promotions'!$B$6:$B$8)/100,0),2),J437)</f>
        <v>8.9</v>
      </c>
      <c r="I437" s="6">
        <f>ROUND((E437*G437-H437)/IF(OR(K437=TRUE,K437="TRUE",K437="YES",K437=1),1+'Settings'!$B$6/100,1),2)</f>
        <v>66.2</v>
      </c>
      <c r="J437" s="8">
        <v>8.9</v>
      </c>
      <c r="K437" s="3" t="inlineStr">
        <is>
          <t xml:space="preserve">TRUE</t>
        </is>
      </c>
      <c r="L437" s="3" t="inlineStr">
        <is>
          <t xml:space="preserve">WELCOME10</t>
        </is>
      </c>
      <c r="M437" s="6">
        <f>ROUND(E437*G437-H437,2)</f>
        <v>80.1</v>
      </c>
      <c r="N437" s="5">
        <f>IF(COUNTIF($A$3:A437,A437)=1,1,0)</f>
        <v>1</v>
      </c>
      <c r="O437" s="6">
        <f>IF(N437=1,ROUND((SUMIFS($M$3:$M$1200,$A$3:$A$1200,A437)+'Settings'!$B$13)*'Settings'!$B$14/100+'Settings'!$B$15,2),0)</f>
        <v>1.5</v>
      </c>
    </row>
    <row r="438">
      <c r="A438" s="3" t="inlineStr">
        <is>
          <t xml:space="preserve">#1322</t>
        </is>
      </c>
      <c r="B438" s="3" t="inlineStr">
        <is>
          <t xml:space="preserve">2026-03-02</t>
        </is>
      </c>
      <c r="C438" s="3" t="inlineStr">
        <is>
          <t xml:space="preserve">SKU-D</t>
        </is>
      </c>
      <c r="D438" s="3" t="inlineStr">
        <is>
          <t xml:space="preserve">Daily Duo</t>
        </is>
      </c>
      <c r="E438" s="6">
        <f>IF('Settings'!$B$11="Scenario",IFERROR(INDEX('Catalogue'!$E$3:$E$100,MATCH(C438,'Catalogue'!$B$3:$B$100,0)),F438),F438)</f>
        <v>79</v>
      </c>
      <c r="F438" s="8">
        <v>79</v>
      </c>
      <c r="G438" s="3">
        <v>1</v>
      </c>
      <c r="H438" s="6">
        <f>IF('Settings'!$B$11="Scenario",ROUND(E438*G438*IFERROR(SUMIF('Pricing &amp; promotions'!$A$6:$A$8,L438,'Pricing &amp; promotions'!$B$6:$B$8)/100,0),2),J438)</f>
        <v>0.0</v>
      </c>
      <c r="I438" s="6">
        <f>ROUND((E438*G438-H438)/IF(OR(K438=TRUE,K438="TRUE",K438="YES",K438=1),1+'Settings'!$B$6/100,1),2)</f>
        <v>65.29</v>
      </c>
      <c r="J438" s="8">
        <v>0.0</v>
      </c>
      <c r="K438" s="3" t="inlineStr">
        <is>
          <t xml:space="preserve">TRUE</t>
        </is>
      </c>
      <c r="L438" s="3"/>
      <c r="M438" s="6">
        <f>ROUND(E438*G438-H438,2)</f>
        <v>79.0</v>
      </c>
      <c r="N438" s="5">
        <f>IF(COUNTIF($A$3:A438,A438)=1,1,0)</f>
        <v>1</v>
      </c>
      <c r="O438" s="6">
        <f>IF(N438=1,ROUND((SUMIFS($M$3:$M$1200,$A$3:$A$1200,A438)+'Settings'!$B$13)*'Settings'!$B$14/100+'Settings'!$B$15,2),0)</f>
        <v>1.48</v>
      </c>
    </row>
    <row r="439">
      <c r="A439" s="3" t="inlineStr">
        <is>
          <t xml:space="preserve">#1323</t>
        </is>
      </c>
      <c r="B439" s="3" t="inlineStr">
        <is>
          <t xml:space="preserve">2026-03-02</t>
        </is>
      </c>
      <c r="C439" s="3" t="inlineStr">
        <is>
          <t xml:space="preserve">SKU-A</t>
        </is>
      </c>
      <c r="D439" s="3" t="inlineStr">
        <is>
          <t xml:space="preserve">Renewal Serum</t>
        </is>
      </c>
      <c r="E439" s="6">
        <f>IF('Settings'!$B$11="Scenario",IFERROR(INDEX('Catalogue'!$E$3:$E$100,MATCH(C439,'Catalogue'!$B$3:$B$100,0)),F439),F439)</f>
        <v>69.9</v>
      </c>
      <c r="F439" s="8">
        <v>69.9</v>
      </c>
      <c r="G439" s="3">
        <v>2</v>
      </c>
      <c r="H439" s="6">
        <f>IF('Settings'!$B$11="Scenario",ROUND(E439*G439*IFERROR(SUMIF('Pricing &amp; promotions'!$A$6:$A$8,L439,'Pricing &amp; promotions'!$B$6:$B$8)/100,0),2),J439)</f>
        <v>0.0</v>
      </c>
      <c r="I439" s="6">
        <f>ROUND((E439*G439-H439)/IF(OR(K439=TRUE,K439="TRUE",K439="YES",K439=1),1+'Settings'!$B$6/100,1),2)</f>
        <v>115.54</v>
      </c>
      <c r="J439" s="8">
        <v>0.0</v>
      </c>
      <c r="K439" s="3" t="inlineStr">
        <is>
          <t xml:space="preserve">TRUE</t>
        </is>
      </c>
      <c r="L439" s="3"/>
      <c r="M439" s="6">
        <f>ROUND(E439*G439-H439,2)</f>
        <v>139.8</v>
      </c>
      <c r="N439" s="5">
        <f>IF(COUNTIF($A$3:A439,A439)=1,1,0)</f>
        <v>1</v>
      </c>
      <c r="O439" s="6">
        <f>IF(N439=1,ROUND((SUMIFS($M$3:$M$1200,$A$3:$A$1200,A439)+'Settings'!$B$13)*'Settings'!$B$14/100+'Settings'!$B$15,2),0)</f>
        <v>3.43</v>
      </c>
    </row>
    <row r="440">
      <c r="A440" s="3" t="inlineStr">
        <is>
          <t xml:space="preserve">#1323</t>
        </is>
      </c>
      <c r="B440" s="3" t="inlineStr">
        <is>
          <t xml:space="preserve">2026-03-02</t>
        </is>
      </c>
      <c r="C440" s="3" t="inlineStr">
        <is>
          <t xml:space="preserve">SKU-G</t>
        </is>
      </c>
      <c r="D440" s="3" t="inlineStr">
        <is>
          <t xml:space="preserve">Daily Reset Set</t>
        </is>
      </c>
      <c r="E440" s="6">
        <f>IF('Settings'!$B$11="Scenario",IFERROR(INDEX('Catalogue'!$E$3:$E$100,MATCH(C440,'Catalogue'!$B$3:$B$100,0)),F440),F440)</f>
        <v>69</v>
      </c>
      <c r="F440" s="8">
        <v>69</v>
      </c>
      <c r="G440" s="3">
        <v>1</v>
      </c>
      <c r="H440" s="6">
        <f>IF('Settings'!$B$11="Scenario",ROUND(E440*G440*IFERROR(SUMIF('Pricing &amp; promotions'!$A$6:$A$8,L440,'Pricing &amp; promotions'!$B$6:$B$8)/100,0),2),J440)</f>
        <v>0.0</v>
      </c>
      <c r="I440" s="6">
        <f>ROUND((E440*G440-H440)/IF(OR(K440=TRUE,K440="TRUE",K440="YES",K440=1),1+'Settings'!$B$6/100,1),2)</f>
        <v>57.02</v>
      </c>
      <c r="J440" s="8">
        <v>0.0</v>
      </c>
      <c r="K440" s="3" t="inlineStr">
        <is>
          <t xml:space="preserve">TRUE</t>
        </is>
      </c>
      <c r="L440" s="3"/>
      <c r="M440" s="6">
        <f>ROUND(E440*G440-H440,2)</f>
        <v>69.0</v>
      </c>
      <c r="N440" s="5">
        <f>IF(COUNTIF($A$3:A440,A440)=1,1,0)</f>
        <v>0</v>
      </c>
      <c r="O440" s="6">
        <f>IF(N440=1,ROUND((SUMIFS($M$3:$M$1200,$A$3:$A$1200,A440)+'Settings'!$B$13)*'Settings'!$B$14/100+'Settings'!$B$15,2),0)</f>
        <v>0</v>
      </c>
    </row>
    <row r="441">
      <c r="A441" s="3" t="inlineStr">
        <is>
          <t xml:space="preserve">#1324</t>
        </is>
      </c>
      <c r="B441" s="3" t="inlineStr">
        <is>
          <t xml:space="preserve">2026-03-03</t>
        </is>
      </c>
      <c r="C441" s="3" t="inlineStr">
        <is>
          <t xml:space="preserve">SKU-F</t>
        </is>
      </c>
      <c r="D441" s="3" t="inlineStr">
        <is>
          <t xml:space="preserve">Cloud Cleanser</t>
        </is>
      </c>
      <c r="E441" s="6">
        <f>IF('Settings'!$B$11="Scenario",IFERROR(INDEX('Catalogue'!$E$3:$E$100,MATCH(C441,'Catalogue'!$B$3:$B$100,0)),F441),F441)</f>
        <v>34</v>
      </c>
      <c r="F441" s="8">
        <v>34</v>
      </c>
      <c r="G441" s="3">
        <v>1</v>
      </c>
      <c r="H441" s="6">
        <f>IF('Settings'!$B$11="Scenario",ROUND(E441*G441*IFERROR(SUMIF('Pricing &amp; promotions'!$A$6:$A$8,L441,'Pricing &amp; promotions'!$B$6:$B$8)/100,0),2),J441)</f>
        <v>0.0</v>
      </c>
      <c r="I441" s="6">
        <f>ROUND((E441*G441-H441)/IF(OR(K441=TRUE,K441="TRUE",K441="YES",K441=1),1+'Settings'!$B$6/100,1),2)</f>
        <v>28.1</v>
      </c>
      <c r="J441" s="8">
        <v>0.0</v>
      </c>
      <c r="K441" s="3" t="inlineStr">
        <is>
          <t xml:space="preserve">TRUE</t>
        </is>
      </c>
      <c r="L441" s="3"/>
      <c r="M441" s="6">
        <f>ROUND(E441*G441-H441,2)</f>
        <v>34.0</v>
      </c>
      <c r="N441" s="5">
        <f>IF(COUNTIF($A$3:A441,A441)=1,1,0)</f>
        <v>1</v>
      </c>
      <c r="O441" s="6">
        <f>IF(N441=1,ROUND((SUMIFS($M$3:$M$1200,$A$3:$A$1200,A441)+'Settings'!$B$13)*'Settings'!$B$14/100+'Settings'!$B$15,2),0)</f>
        <v>0.8</v>
      </c>
    </row>
    <row r="442">
      <c r="A442" s="3" t="inlineStr">
        <is>
          <t xml:space="preserve">#1325</t>
        </is>
      </c>
      <c r="B442" s="3" t="inlineStr">
        <is>
          <t xml:space="preserve">2026-03-03</t>
        </is>
      </c>
      <c r="C442" s="3" t="inlineStr">
        <is>
          <t xml:space="preserve">SKU-B</t>
        </is>
      </c>
      <c r="D442" s="3" t="inlineStr">
        <is>
          <t xml:space="preserve">Barrier Balm</t>
        </is>
      </c>
      <c r="E442" s="6">
        <f>IF('Settings'!$B$11="Scenario",IFERROR(INDEX('Catalogue'!$E$3:$E$100,MATCH(C442,'Catalogue'!$B$3:$B$100,0)),F442),F442)</f>
        <v>19</v>
      </c>
      <c r="F442" s="8">
        <v>19</v>
      </c>
      <c r="G442" s="3">
        <v>1</v>
      </c>
      <c r="H442" s="6">
        <f>IF('Settings'!$B$11="Scenario",ROUND(E442*G442*IFERROR(SUMIF('Pricing &amp; promotions'!$A$6:$A$8,L442,'Pricing &amp; promotions'!$B$6:$B$8)/100,0),2),J442)</f>
        <v>0.0</v>
      </c>
      <c r="I442" s="6">
        <f>ROUND((E442*G442-H442)/IF(OR(K442=TRUE,K442="TRUE",K442="YES",K442=1),1+'Settings'!$B$6/100,1),2)</f>
        <v>15.7</v>
      </c>
      <c r="J442" s="8">
        <v>0.0</v>
      </c>
      <c r="K442" s="3" t="inlineStr">
        <is>
          <t xml:space="preserve">TRUE</t>
        </is>
      </c>
      <c r="L442" s="3"/>
      <c r="M442" s="6">
        <f>ROUND(E442*G442-H442,2)</f>
        <v>19.0</v>
      </c>
      <c r="N442" s="5">
        <f>IF(COUNTIF($A$3:A442,A442)=1,1,0)</f>
        <v>1</v>
      </c>
      <c r="O442" s="6">
        <f>IF(N442=1,ROUND((SUMIFS($M$3:$M$1200,$A$3:$A$1200,A442)+'Settings'!$B$13)*'Settings'!$B$14/100+'Settings'!$B$15,2),0)</f>
        <v>0.58</v>
      </c>
    </row>
    <row r="443">
      <c r="A443" s="3" t="inlineStr">
        <is>
          <t xml:space="preserve">#1326</t>
        </is>
      </c>
      <c r="B443" s="3" t="inlineStr">
        <is>
          <t xml:space="preserve">2026-03-04</t>
        </is>
      </c>
      <c r="C443" s="3" t="inlineStr">
        <is>
          <t xml:space="preserve">SKU-G</t>
        </is>
      </c>
      <c r="D443" s="3" t="inlineStr">
        <is>
          <t xml:space="preserve">Daily Reset Set</t>
        </is>
      </c>
      <c r="E443" s="6">
        <f>IF('Settings'!$B$11="Scenario",IFERROR(INDEX('Catalogue'!$E$3:$E$100,MATCH(C443,'Catalogue'!$B$3:$B$100,0)),F443),F443)</f>
        <v>69</v>
      </c>
      <c r="F443" s="8">
        <v>69</v>
      </c>
      <c r="G443" s="3">
        <v>1</v>
      </c>
      <c r="H443" s="6">
        <f>IF('Settings'!$B$11="Scenario",ROUND(E443*G443*IFERROR(SUMIF('Pricing &amp; promotions'!$A$6:$A$8,L443,'Pricing &amp; promotions'!$B$6:$B$8)/100,0),2),J443)</f>
        <v>10.35</v>
      </c>
      <c r="I443" s="6">
        <f>ROUND((E443*G443-H443)/IF(OR(K443=TRUE,K443="TRUE",K443="YES",K443=1),1+'Settings'!$B$6/100,1),2)</f>
        <v>48.47</v>
      </c>
      <c r="J443" s="8">
        <v>10.35</v>
      </c>
      <c r="K443" s="3" t="inlineStr">
        <is>
          <t xml:space="preserve">TRUE</t>
        </is>
      </c>
      <c r="L443" s="3" t="inlineStr">
        <is>
          <t xml:space="preserve">SUMMER15</t>
        </is>
      </c>
      <c r="M443" s="6">
        <f>ROUND(E443*G443-H443,2)</f>
        <v>58.65</v>
      </c>
      <c r="N443" s="5">
        <f>IF(COUNTIF($A$3:A443,A443)=1,1,0)</f>
        <v>1</v>
      </c>
      <c r="O443" s="6">
        <f>IF(N443=1,ROUND((SUMIFS($M$3:$M$1200,$A$3:$A$1200,A443)+'Settings'!$B$13)*'Settings'!$B$14/100+'Settings'!$B$15,2),0)</f>
        <v>1.17</v>
      </c>
    </row>
    <row r="444">
      <c r="A444" s="3" t="inlineStr">
        <is>
          <t xml:space="preserve">#1327</t>
        </is>
      </c>
      <c r="B444" s="3" t="inlineStr">
        <is>
          <t xml:space="preserve">2026-03-04</t>
        </is>
      </c>
      <c r="C444" s="3" t="inlineStr">
        <is>
          <t xml:space="preserve">SKU-A</t>
        </is>
      </c>
      <c r="D444" s="3" t="inlineStr">
        <is>
          <t xml:space="preserve">Renewal Serum</t>
        </is>
      </c>
      <c r="E444" s="6">
        <f>IF('Settings'!$B$11="Scenario",IFERROR(INDEX('Catalogue'!$E$3:$E$100,MATCH(C444,'Catalogue'!$B$3:$B$100,0)),F444),F444)</f>
        <v>69.9</v>
      </c>
      <c r="F444" s="8">
        <v>69.9</v>
      </c>
      <c r="G444" s="3">
        <v>1</v>
      </c>
      <c r="H444" s="6">
        <f>IF('Settings'!$B$11="Scenario",ROUND(E444*G444*IFERROR(SUMIF('Pricing &amp; promotions'!$A$6:$A$8,L444,'Pricing &amp; promotions'!$B$6:$B$8)/100,0),2),J444)</f>
        <v>0.0</v>
      </c>
      <c r="I444" s="6">
        <f>ROUND((E444*G444-H444)/IF(OR(K444=TRUE,K444="TRUE",K444="YES",K444=1),1+'Settings'!$B$6/100,1),2)</f>
        <v>57.77</v>
      </c>
      <c r="J444" s="8">
        <v>0.0</v>
      </c>
      <c r="K444" s="3" t="inlineStr">
        <is>
          <t xml:space="preserve">TRUE</t>
        </is>
      </c>
      <c r="L444" s="3"/>
      <c r="M444" s="6">
        <f>ROUND(E444*G444-H444,2)</f>
        <v>69.9</v>
      </c>
      <c r="N444" s="5">
        <f>IF(COUNTIF($A$3:A444,A444)=1,1,0)</f>
        <v>1</v>
      </c>
      <c r="O444" s="6">
        <f>IF(N444=1,ROUND((SUMIFS($M$3:$M$1200,$A$3:$A$1200,A444)+'Settings'!$B$13)*'Settings'!$B$14/100+'Settings'!$B$15,2),0)</f>
        <v>1.78</v>
      </c>
    </row>
    <row r="445">
      <c r="A445" s="3" t="inlineStr">
        <is>
          <t xml:space="preserve">#1327</t>
        </is>
      </c>
      <c r="B445" s="3" t="inlineStr">
        <is>
          <t xml:space="preserve">2026-03-04</t>
        </is>
      </c>
      <c r="C445" s="3" t="inlineStr">
        <is>
          <t xml:space="preserve">SKU-C</t>
        </is>
      </c>
      <c r="D445" s="3" t="inlineStr">
        <is>
          <t xml:space="preserve">Contour Stone</t>
        </is>
      </c>
      <c r="E445" s="6">
        <f>IF('Settings'!$B$11="Scenario",IFERROR(INDEX('Catalogue'!$E$3:$E$100,MATCH(C445,'Catalogue'!$B$3:$B$100,0)),F445),F445)</f>
        <v>29</v>
      </c>
      <c r="F445" s="8">
        <v>29</v>
      </c>
      <c r="G445" s="3">
        <v>1</v>
      </c>
      <c r="H445" s="6">
        <f>IF('Settings'!$B$11="Scenario",ROUND(E445*G445*IFERROR(SUMIF('Pricing &amp; promotions'!$A$6:$A$8,L445,'Pricing &amp; promotions'!$B$6:$B$8)/100,0),2),J445)</f>
        <v>0.0</v>
      </c>
      <c r="I445" s="6">
        <f>ROUND((E445*G445-H445)/IF(OR(K445=TRUE,K445="TRUE",K445="YES",K445=1),1+'Settings'!$B$6/100,1),2)</f>
        <v>23.97</v>
      </c>
      <c r="J445" s="8">
        <v>0.0</v>
      </c>
      <c r="K445" s="3" t="inlineStr">
        <is>
          <t xml:space="preserve">TRUE</t>
        </is>
      </c>
      <c r="L445" s="3"/>
      <c r="M445" s="6">
        <f>ROUND(E445*G445-H445,2)</f>
        <v>29.0</v>
      </c>
      <c r="N445" s="5">
        <f>IF(COUNTIF($A$3:A445,A445)=1,1,0)</f>
        <v>0</v>
      </c>
      <c r="O445" s="6">
        <f>IF(N445=1,ROUND((SUMIFS($M$3:$M$1200,$A$3:$A$1200,A445)+'Settings'!$B$13)*'Settings'!$B$14/100+'Settings'!$B$15,2),0)</f>
        <v>0</v>
      </c>
    </row>
    <row r="446">
      <c r="A446" s="3" t="inlineStr">
        <is>
          <t xml:space="preserve">#1328</t>
        </is>
      </c>
      <c r="B446" s="3" t="inlineStr">
        <is>
          <t xml:space="preserve">2026-03-04</t>
        </is>
      </c>
      <c r="C446" s="3" t="inlineStr">
        <is>
          <t xml:space="preserve">SKU-E</t>
        </is>
      </c>
      <c r="D446" s="3" t="inlineStr">
        <is>
          <t xml:space="preserve">Complete Ritual</t>
        </is>
      </c>
      <c r="E446" s="6">
        <f>IF('Settings'!$B$11="Scenario",IFERROR(INDEX('Catalogue'!$E$3:$E$100,MATCH(C446,'Catalogue'!$B$3:$B$100,0)),F446),F446)</f>
        <v>89</v>
      </c>
      <c r="F446" s="8">
        <v>89</v>
      </c>
      <c r="G446" s="3">
        <v>1</v>
      </c>
      <c r="H446" s="6">
        <f>IF('Settings'!$B$11="Scenario",ROUND(E446*G446*IFERROR(SUMIF('Pricing &amp; promotions'!$A$6:$A$8,L446,'Pricing &amp; promotions'!$B$6:$B$8)/100,0),2),J446)</f>
        <v>0.0</v>
      </c>
      <c r="I446" s="6">
        <f>ROUND((E446*G446-H446)/IF(OR(K446=TRUE,K446="TRUE",K446="YES",K446=1),1+'Settings'!$B$6/100,1),2)</f>
        <v>73.55</v>
      </c>
      <c r="J446" s="8">
        <v>0.0</v>
      </c>
      <c r="K446" s="3" t="inlineStr">
        <is>
          <t xml:space="preserve">TRUE</t>
        </is>
      </c>
      <c r="L446" s="3"/>
      <c r="M446" s="6">
        <f>ROUND(E446*G446-H446,2)</f>
        <v>89.0</v>
      </c>
      <c r="N446" s="5">
        <f>IF(COUNTIF($A$3:A446,A446)=1,1,0)</f>
        <v>1</v>
      </c>
      <c r="O446" s="6">
        <f>IF(N446=1,ROUND((SUMIFS($M$3:$M$1200,$A$3:$A$1200,A446)+'Settings'!$B$13)*'Settings'!$B$14/100+'Settings'!$B$15,2),0)</f>
        <v>2.14</v>
      </c>
    </row>
    <row r="447">
      <c r="A447" s="3" t="inlineStr">
        <is>
          <t xml:space="preserve">#1328</t>
        </is>
      </c>
      <c r="B447" s="3" t="inlineStr">
        <is>
          <t xml:space="preserve">2026-03-04</t>
        </is>
      </c>
      <c r="C447" s="3" t="inlineStr">
        <is>
          <t xml:space="preserve">SKU-F</t>
        </is>
      </c>
      <c r="D447" s="3" t="inlineStr">
        <is>
          <t xml:space="preserve">Cloud Cleanser</t>
        </is>
      </c>
      <c r="E447" s="6">
        <f>IF('Settings'!$B$11="Scenario",IFERROR(INDEX('Catalogue'!$E$3:$E$100,MATCH(C447,'Catalogue'!$B$3:$B$100,0)),F447),F447)</f>
        <v>34</v>
      </c>
      <c r="F447" s="8">
        <v>34</v>
      </c>
      <c r="G447" s="3">
        <v>1</v>
      </c>
      <c r="H447" s="6">
        <f>IF('Settings'!$B$11="Scenario",ROUND(E447*G447*IFERROR(SUMIF('Pricing &amp; promotions'!$A$6:$A$8,L447,'Pricing &amp; promotions'!$B$6:$B$8)/100,0),2),J447)</f>
        <v>0.0</v>
      </c>
      <c r="I447" s="6">
        <f>ROUND((E447*G447-H447)/IF(OR(K447=TRUE,K447="TRUE",K447="YES",K447=1),1+'Settings'!$B$6/100,1),2)</f>
        <v>28.1</v>
      </c>
      <c r="J447" s="8">
        <v>0.0</v>
      </c>
      <c r="K447" s="3" t="inlineStr">
        <is>
          <t xml:space="preserve">TRUE</t>
        </is>
      </c>
      <c r="L447" s="3"/>
      <c r="M447" s="6">
        <f>ROUND(E447*G447-H447,2)</f>
        <v>34.0</v>
      </c>
      <c r="N447" s="5">
        <f>IF(COUNTIF($A$3:A447,A447)=1,1,0)</f>
        <v>0</v>
      </c>
      <c r="O447" s="6">
        <f>IF(N447=1,ROUND((SUMIFS($M$3:$M$1200,$A$3:$A$1200,A447)+'Settings'!$B$13)*'Settings'!$B$14/100+'Settings'!$B$15,2),0)</f>
        <v>0</v>
      </c>
    </row>
    <row r="448">
      <c r="A448" s="3" t="inlineStr">
        <is>
          <t xml:space="preserve">#1329</t>
        </is>
      </c>
      <c r="B448" s="3" t="inlineStr">
        <is>
          <t xml:space="preserve">2026-03-04</t>
        </is>
      </c>
      <c r="C448" s="3" t="inlineStr">
        <is>
          <t xml:space="preserve">SKU-G</t>
        </is>
      </c>
      <c r="D448" s="3" t="inlineStr">
        <is>
          <t xml:space="preserve">Daily Reset Set</t>
        </is>
      </c>
      <c r="E448" s="6">
        <f>IF('Settings'!$B$11="Scenario",IFERROR(INDEX('Catalogue'!$E$3:$E$100,MATCH(C448,'Catalogue'!$B$3:$B$100,0)),F448),F448)</f>
        <v>69</v>
      </c>
      <c r="F448" s="8">
        <v>69</v>
      </c>
      <c r="G448" s="3">
        <v>1</v>
      </c>
      <c r="H448" s="6">
        <f>IF('Settings'!$B$11="Scenario",ROUND(E448*G448*IFERROR(SUMIF('Pricing &amp; promotions'!$A$6:$A$8,L448,'Pricing &amp; promotions'!$B$6:$B$8)/100,0),2),J448)</f>
        <v>6.9</v>
      </c>
      <c r="I448" s="6">
        <f>ROUND((E448*G448-H448)/IF(OR(K448=TRUE,K448="TRUE",K448="YES",K448=1),1+'Settings'!$B$6/100,1),2)</f>
        <v>51.32</v>
      </c>
      <c r="J448" s="8">
        <v>6.9</v>
      </c>
      <c r="K448" s="3" t="inlineStr">
        <is>
          <t xml:space="preserve">TRUE</t>
        </is>
      </c>
      <c r="L448" s="3" t="inlineStr">
        <is>
          <t xml:space="preserve">WELCOME10</t>
        </is>
      </c>
      <c r="M448" s="6">
        <f>ROUND(E448*G448-H448,2)</f>
        <v>62.1</v>
      </c>
      <c r="N448" s="5">
        <f>IF(COUNTIF($A$3:A448,A448)=1,1,0)</f>
        <v>1</v>
      </c>
      <c r="O448" s="6">
        <f>IF(N448=1,ROUND((SUMIFS($M$3:$M$1200,$A$3:$A$1200,A448)+'Settings'!$B$13)*'Settings'!$B$14/100+'Settings'!$B$15,2),0)</f>
        <v>1.23</v>
      </c>
    </row>
    <row r="449">
      <c r="A449" s="3" t="inlineStr">
        <is>
          <t xml:space="preserve">#1330</t>
        </is>
      </c>
      <c r="B449" s="3" t="inlineStr">
        <is>
          <t xml:space="preserve">2026-03-05</t>
        </is>
      </c>
      <c r="C449" s="3" t="inlineStr">
        <is>
          <t xml:space="preserve">SKU-A</t>
        </is>
      </c>
      <c r="D449" s="3" t="inlineStr">
        <is>
          <t xml:space="preserve">Renewal Serum</t>
        </is>
      </c>
      <c r="E449" s="6">
        <f>IF('Settings'!$B$11="Scenario",IFERROR(INDEX('Catalogue'!$E$3:$E$100,MATCH(C449,'Catalogue'!$B$3:$B$100,0)),F449),F449)</f>
        <v>69.9</v>
      </c>
      <c r="F449" s="8">
        <v>69.9</v>
      </c>
      <c r="G449" s="3">
        <v>1</v>
      </c>
      <c r="H449" s="6">
        <f>IF('Settings'!$B$11="Scenario",ROUND(E449*G449*IFERROR(SUMIF('Pricing &amp; promotions'!$A$6:$A$8,L449,'Pricing &amp; promotions'!$B$6:$B$8)/100,0),2),J449)</f>
        <v>0.0</v>
      </c>
      <c r="I449" s="6">
        <f>ROUND((E449*G449-H449)/IF(OR(K449=TRUE,K449="TRUE",K449="YES",K449=1),1+'Settings'!$B$6/100,1),2)</f>
        <v>57.77</v>
      </c>
      <c r="J449" s="8">
        <v>0.0</v>
      </c>
      <c r="K449" s="3" t="inlineStr">
        <is>
          <t xml:space="preserve">TRUE</t>
        </is>
      </c>
      <c r="L449" s="3"/>
      <c r="M449" s="6">
        <f>ROUND(E449*G449-H449,2)</f>
        <v>69.9</v>
      </c>
      <c r="N449" s="5">
        <f>IF(COUNTIF($A$3:A449,A449)=1,1,0)</f>
        <v>1</v>
      </c>
      <c r="O449" s="6">
        <f>IF(N449=1,ROUND((SUMIFS($M$3:$M$1200,$A$3:$A$1200,A449)+'Settings'!$B$13)*'Settings'!$B$14/100+'Settings'!$B$15,2),0)</f>
        <v>1.63</v>
      </c>
    </row>
    <row r="450">
      <c r="A450" s="3" t="inlineStr">
        <is>
          <t xml:space="preserve">#1330</t>
        </is>
      </c>
      <c r="B450" s="3" t="inlineStr">
        <is>
          <t xml:space="preserve">2026-03-05</t>
        </is>
      </c>
      <c r="C450" s="3" t="inlineStr">
        <is>
          <t xml:space="preserve">SKU-B</t>
        </is>
      </c>
      <c r="D450" s="3" t="inlineStr">
        <is>
          <t xml:space="preserve">Barrier Balm</t>
        </is>
      </c>
      <c r="E450" s="6">
        <f>IF('Settings'!$B$11="Scenario",IFERROR(INDEX('Catalogue'!$E$3:$E$100,MATCH(C450,'Catalogue'!$B$3:$B$100,0)),F450),F450)</f>
        <v>19</v>
      </c>
      <c r="F450" s="8">
        <v>19</v>
      </c>
      <c r="G450" s="3">
        <v>1</v>
      </c>
      <c r="H450" s="6">
        <f>IF('Settings'!$B$11="Scenario",ROUND(E450*G450*IFERROR(SUMIF('Pricing &amp; promotions'!$A$6:$A$8,L450,'Pricing &amp; promotions'!$B$6:$B$8)/100,0),2),J450)</f>
        <v>0.0</v>
      </c>
      <c r="I450" s="6">
        <f>ROUND((E450*G450-H450)/IF(OR(K450=TRUE,K450="TRUE",K450="YES",K450=1),1+'Settings'!$B$6/100,1),2)</f>
        <v>15.7</v>
      </c>
      <c r="J450" s="8">
        <v>0.0</v>
      </c>
      <c r="K450" s="3" t="inlineStr">
        <is>
          <t xml:space="preserve">TRUE</t>
        </is>
      </c>
      <c r="L450" s="3"/>
      <c r="M450" s="6">
        <f>ROUND(E450*G450-H450,2)</f>
        <v>19.0</v>
      </c>
      <c r="N450" s="5">
        <f>IF(COUNTIF($A$3:A450,A450)=1,1,0)</f>
        <v>0</v>
      </c>
      <c r="O450" s="6">
        <f>IF(N450=1,ROUND((SUMIFS($M$3:$M$1200,$A$3:$A$1200,A450)+'Settings'!$B$13)*'Settings'!$B$14/100+'Settings'!$B$15,2),0)</f>
        <v>0</v>
      </c>
    </row>
    <row r="451">
      <c r="A451" s="3" t="inlineStr">
        <is>
          <t xml:space="preserve">#1331</t>
        </is>
      </c>
      <c r="B451" s="3" t="inlineStr">
        <is>
          <t xml:space="preserve">2026-03-05</t>
        </is>
      </c>
      <c r="C451" s="3" t="inlineStr">
        <is>
          <t xml:space="preserve">SKU-D</t>
        </is>
      </c>
      <c r="D451" s="3" t="inlineStr">
        <is>
          <t xml:space="preserve">Daily Duo</t>
        </is>
      </c>
      <c r="E451" s="6">
        <f>IF('Settings'!$B$11="Scenario",IFERROR(INDEX('Catalogue'!$E$3:$E$100,MATCH(C451,'Catalogue'!$B$3:$B$100,0)),F451),F451)</f>
        <v>79</v>
      </c>
      <c r="F451" s="8">
        <v>79</v>
      </c>
      <c r="G451" s="3">
        <v>1</v>
      </c>
      <c r="H451" s="6">
        <f>IF('Settings'!$B$11="Scenario",ROUND(E451*G451*IFERROR(SUMIF('Pricing &amp; promotions'!$A$6:$A$8,L451,'Pricing &amp; promotions'!$B$6:$B$8)/100,0),2),J451)</f>
        <v>0.0</v>
      </c>
      <c r="I451" s="6">
        <f>ROUND((E451*G451-H451)/IF(OR(K451=TRUE,K451="TRUE",K451="YES",K451=1),1+'Settings'!$B$6/100,1),2)</f>
        <v>65.29</v>
      </c>
      <c r="J451" s="8">
        <v>0.0</v>
      </c>
      <c r="K451" s="3" t="inlineStr">
        <is>
          <t xml:space="preserve">TRUE</t>
        </is>
      </c>
      <c r="L451" s="3"/>
      <c r="M451" s="6">
        <f>ROUND(E451*G451-H451,2)</f>
        <v>79.0</v>
      </c>
      <c r="N451" s="5">
        <f>IF(COUNTIF($A$3:A451,A451)=1,1,0)</f>
        <v>1</v>
      </c>
      <c r="O451" s="6">
        <f>IF(N451=1,ROUND((SUMIFS($M$3:$M$1200,$A$3:$A$1200,A451)+'Settings'!$B$13)*'Settings'!$B$14/100+'Settings'!$B$15,2),0)</f>
        <v>1.48</v>
      </c>
    </row>
    <row r="452">
      <c r="A452" s="3" t="inlineStr">
        <is>
          <t xml:space="preserve">#1332</t>
        </is>
      </c>
      <c r="B452" s="3" t="inlineStr">
        <is>
          <t xml:space="preserve">2026-03-05</t>
        </is>
      </c>
      <c r="C452" s="3" t="inlineStr">
        <is>
          <t xml:space="preserve">SKU-D</t>
        </is>
      </c>
      <c r="D452" s="3" t="inlineStr">
        <is>
          <t xml:space="preserve">Daily Duo</t>
        </is>
      </c>
      <c r="E452" s="6">
        <f>IF('Settings'!$B$11="Scenario",IFERROR(INDEX('Catalogue'!$E$3:$E$100,MATCH(C452,'Catalogue'!$B$3:$B$100,0)),F452),F452)</f>
        <v>79</v>
      </c>
      <c r="F452" s="8">
        <v>79</v>
      </c>
      <c r="G452" s="3">
        <v>1</v>
      </c>
      <c r="H452" s="6">
        <f>IF('Settings'!$B$11="Scenario",ROUND(E452*G452*IFERROR(SUMIF('Pricing &amp; promotions'!$A$6:$A$8,L452,'Pricing &amp; promotions'!$B$6:$B$8)/100,0),2),J452)</f>
        <v>0.0</v>
      </c>
      <c r="I452" s="6">
        <f>ROUND((E452*G452-H452)/IF(OR(K452=TRUE,K452="TRUE",K452="YES",K452=1),1+'Settings'!$B$6/100,1),2)</f>
        <v>65.29</v>
      </c>
      <c r="J452" s="8">
        <v>0.0</v>
      </c>
      <c r="K452" s="3" t="inlineStr">
        <is>
          <t xml:space="preserve">TRUE</t>
        </is>
      </c>
      <c r="L452" s="3"/>
      <c r="M452" s="6">
        <f>ROUND(E452*G452-H452,2)</f>
        <v>79.0</v>
      </c>
      <c r="N452" s="5">
        <f>IF(COUNTIF($A$3:A452,A452)=1,1,0)</f>
        <v>1</v>
      </c>
      <c r="O452" s="6">
        <f>IF(N452=1,ROUND((SUMIFS($M$3:$M$1200,$A$3:$A$1200,A452)+'Settings'!$B$13)*'Settings'!$B$14/100+'Settings'!$B$15,2),0)</f>
        <v>4.15</v>
      </c>
    </row>
    <row r="453">
      <c r="A453" s="3" t="inlineStr">
        <is>
          <t xml:space="preserve">#1332</t>
        </is>
      </c>
      <c r="B453" s="3" t="inlineStr">
        <is>
          <t xml:space="preserve">2026-03-05</t>
        </is>
      </c>
      <c r="C453" s="3" t="inlineStr">
        <is>
          <t xml:space="preserve">SKU-E</t>
        </is>
      </c>
      <c r="D453" s="3" t="inlineStr">
        <is>
          <t xml:space="preserve">Complete Ritual</t>
        </is>
      </c>
      <c r="E453" s="6">
        <f>IF('Settings'!$B$11="Scenario",IFERROR(INDEX('Catalogue'!$E$3:$E$100,MATCH(C453,'Catalogue'!$B$3:$B$100,0)),F453),F453)</f>
        <v>89</v>
      </c>
      <c r="F453" s="8">
        <v>89</v>
      </c>
      <c r="G453" s="3">
        <v>2</v>
      </c>
      <c r="H453" s="6">
        <f>IF('Settings'!$B$11="Scenario",ROUND(E453*G453*IFERROR(SUMIF('Pricing &amp; promotions'!$A$6:$A$8,L453,'Pricing &amp; promotions'!$B$6:$B$8)/100,0),2),J453)</f>
        <v>0.0</v>
      </c>
      <c r="I453" s="6">
        <f>ROUND((E453*G453-H453)/IF(OR(K453=TRUE,K453="TRUE",K453="YES",K453=1),1+'Settings'!$B$6/100,1),2)</f>
        <v>147.11</v>
      </c>
      <c r="J453" s="8">
        <v>0.0</v>
      </c>
      <c r="K453" s="3" t="inlineStr">
        <is>
          <t xml:space="preserve">TRUE</t>
        </is>
      </c>
      <c r="L453" s="3"/>
      <c r="M453" s="6">
        <f>ROUND(E453*G453-H453,2)</f>
        <v>178.0</v>
      </c>
      <c r="N453" s="5">
        <f>IF(COUNTIF($A$3:A453,A453)=1,1,0)</f>
        <v>0</v>
      </c>
      <c r="O453" s="6">
        <f>IF(N453=1,ROUND((SUMIFS($M$3:$M$1200,$A$3:$A$1200,A453)+'Settings'!$B$13)*'Settings'!$B$14/100+'Settings'!$B$15,2),0)</f>
        <v>0</v>
      </c>
    </row>
    <row r="454">
      <c r="A454" s="3" t="inlineStr">
        <is>
          <t xml:space="preserve">#1333</t>
        </is>
      </c>
      <c r="B454" s="3" t="inlineStr">
        <is>
          <t xml:space="preserve">2026-03-06</t>
        </is>
      </c>
      <c r="C454" s="3" t="inlineStr">
        <is>
          <t xml:space="preserve">SKU-A</t>
        </is>
      </c>
      <c r="D454" s="3" t="inlineStr">
        <is>
          <t xml:space="preserve">Renewal Serum</t>
        </is>
      </c>
      <c r="E454" s="6">
        <f>IF('Settings'!$B$11="Scenario",IFERROR(INDEX('Catalogue'!$E$3:$E$100,MATCH(C454,'Catalogue'!$B$3:$B$100,0)),F454),F454)</f>
        <v>69.9</v>
      </c>
      <c r="F454" s="8">
        <v>69.9</v>
      </c>
      <c r="G454" s="3">
        <v>1</v>
      </c>
      <c r="H454" s="6">
        <f>IF('Settings'!$B$11="Scenario",ROUND(E454*G454*IFERROR(SUMIF('Pricing &amp; promotions'!$A$6:$A$8,L454,'Pricing &amp; promotions'!$B$6:$B$8)/100,0),2),J454)</f>
        <v>0.0</v>
      </c>
      <c r="I454" s="6">
        <f>ROUND((E454*G454-H454)/IF(OR(K454=TRUE,K454="TRUE",K454="YES",K454=1),1+'Settings'!$B$6/100,1),2)</f>
        <v>57.77</v>
      </c>
      <c r="J454" s="8">
        <v>0.0</v>
      </c>
      <c r="K454" s="3" t="inlineStr">
        <is>
          <t xml:space="preserve">TRUE</t>
        </is>
      </c>
      <c r="L454" s="3"/>
      <c r="M454" s="6">
        <f>ROUND(E454*G454-H454,2)</f>
        <v>69.9</v>
      </c>
      <c r="N454" s="5">
        <f>IF(COUNTIF($A$3:A454,A454)=1,1,0)</f>
        <v>1</v>
      </c>
      <c r="O454" s="6">
        <f>IF(N454=1,ROUND((SUMIFS($M$3:$M$1200,$A$3:$A$1200,A454)+'Settings'!$B$13)*'Settings'!$B$14/100+'Settings'!$B$15,2),0)</f>
        <v>1.34</v>
      </c>
    </row>
    <row r="455">
      <c r="A455" s="3" t="inlineStr">
        <is>
          <t xml:space="preserve">#1334</t>
        </is>
      </c>
      <c r="B455" s="3" t="inlineStr">
        <is>
          <t xml:space="preserve">2026-03-06</t>
        </is>
      </c>
      <c r="C455" s="3" t="inlineStr">
        <is>
          <t xml:space="preserve">SKU-C</t>
        </is>
      </c>
      <c r="D455" s="3" t="inlineStr">
        <is>
          <t xml:space="preserve">Contour Stone</t>
        </is>
      </c>
      <c r="E455" s="6">
        <f>IF('Settings'!$B$11="Scenario",IFERROR(INDEX('Catalogue'!$E$3:$E$100,MATCH(C455,'Catalogue'!$B$3:$B$100,0)),F455),F455)</f>
        <v>29</v>
      </c>
      <c r="F455" s="8">
        <v>29</v>
      </c>
      <c r="G455" s="3">
        <v>1</v>
      </c>
      <c r="H455" s="6">
        <f>IF('Settings'!$B$11="Scenario",ROUND(E455*G455*IFERROR(SUMIF('Pricing &amp; promotions'!$A$6:$A$8,L455,'Pricing &amp; promotions'!$B$6:$B$8)/100,0),2),J455)</f>
        <v>0.0</v>
      </c>
      <c r="I455" s="6">
        <f>ROUND((E455*G455-H455)/IF(OR(K455=TRUE,K455="TRUE",K455="YES",K455=1),1+'Settings'!$B$6/100,1),2)</f>
        <v>23.97</v>
      </c>
      <c r="J455" s="8">
        <v>0.0</v>
      </c>
      <c r="K455" s="3" t="inlineStr">
        <is>
          <t xml:space="preserve">TRUE</t>
        </is>
      </c>
      <c r="L455" s="3"/>
      <c r="M455" s="6">
        <f>ROUND(E455*G455-H455,2)</f>
        <v>29.0</v>
      </c>
      <c r="N455" s="5">
        <f>IF(COUNTIF($A$3:A455,A455)=1,1,0)</f>
        <v>1</v>
      </c>
      <c r="O455" s="6">
        <f>IF(N455=1,ROUND((SUMIFS($M$3:$M$1200,$A$3:$A$1200,A455)+'Settings'!$B$13)*'Settings'!$B$14/100+'Settings'!$B$15,2),0)</f>
        <v>0.73</v>
      </c>
    </row>
    <row r="456">
      <c r="A456" s="3" t="inlineStr">
        <is>
          <t xml:space="preserve">#1335</t>
        </is>
      </c>
      <c r="B456" s="3" t="inlineStr">
        <is>
          <t xml:space="preserve">2026-03-06</t>
        </is>
      </c>
      <c r="C456" s="3" t="inlineStr">
        <is>
          <t xml:space="preserve">SKU-G</t>
        </is>
      </c>
      <c r="D456" s="3" t="inlineStr">
        <is>
          <t xml:space="preserve">Daily Reset Set</t>
        </is>
      </c>
      <c r="E456" s="6">
        <f>IF('Settings'!$B$11="Scenario",IFERROR(INDEX('Catalogue'!$E$3:$E$100,MATCH(C456,'Catalogue'!$B$3:$B$100,0)),F456),F456)</f>
        <v>69</v>
      </c>
      <c r="F456" s="8">
        <v>69</v>
      </c>
      <c r="G456" s="3">
        <v>1</v>
      </c>
      <c r="H456" s="6">
        <f>IF('Settings'!$B$11="Scenario",ROUND(E456*G456*IFERROR(SUMIF('Pricing &amp; promotions'!$A$6:$A$8,L456,'Pricing &amp; promotions'!$B$6:$B$8)/100,0),2),J456)</f>
        <v>10.35</v>
      </c>
      <c r="I456" s="6">
        <f>ROUND((E456*G456-H456)/IF(OR(K456=TRUE,K456="TRUE",K456="YES",K456=1),1+'Settings'!$B$6/100,1),2)</f>
        <v>48.47</v>
      </c>
      <c r="J456" s="8">
        <v>10.35</v>
      </c>
      <c r="K456" s="3" t="inlineStr">
        <is>
          <t xml:space="preserve">TRUE</t>
        </is>
      </c>
      <c r="L456" s="3" t="inlineStr">
        <is>
          <t xml:space="preserve">SUMMER15</t>
        </is>
      </c>
      <c r="M456" s="6">
        <f>ROUND(E456*G456-H456,2)</f>
        <v>58.65</v>
      </c>
      <c r="N456" s="5">
        <f>IF(COUNTIF($A$3:A456,A456)=1,1,0)</f>
        <v>1</v>
      </c>
      <c r="O456" s="6">
        <f>IF(N456=1,ROUND((SUMIFS($M$3:$M$1200,$A$3:$A$1200,A456)+'Settings'!$B$13)*'Settings'!$B$14/100+'Settings'!$B$15,2),0)</f>
        <v>1.17</v>
      </c>
    </row>
    <row r="457">
      <c r="A457" s="3" t="inlineStr">
        <is>
          <t xml:space="preserve">#1336</t>
        </is>
      </c>
      <c r="B457" s="3" t="inlineStr">
        <is>
          <t xml:space="preserve">2026-03-07</t>
        </is>
      </c>
      <c r="C457" s="3" t="inlineStr">
        <is>
          <t xml:space="preserve">SKU-A</t>
        </is>
      </c>
      <c r="D457" s="3" t="inlineStr">
        <is>
          <t xml:space="preserve">Renewal Serum</t>
        </is>
      </c>
      <c r="E457" s="6">
        <f>IF('Settings'!$B$11="Scenario",IFERROR(INDEX('Catalogue'!$E$3:$E$100,MATCH(C457,'Catalogue'!$B$3:$B$100,0)),F457),F457)</f>
        <v>69.9</v>
      </c>
      <c r="F457" s="8">
        <v>69.9</v>
      </c>
      <c r="G457" s="3">
        <v>1</v>
      </c>
      <c r="H457" s="6">
        <f>IF('Settings'!$B$11="Scenario",ROUND(E457*G457*IFERROR(SUMIF('Pricing &amp; promotions'!$A$6:$A$8,L457,'Pricing &amp; promotions'!$B$6:$B$8)/100,0),2),J457)</f>
        <v>10.49</v>
      </c>
      <c r="I457" s="6">
        <f>ROUND((E457*G457-H457)/IF(OR(K457=TRUE,K457="TRUE",K457="YES",K457=1),1+'Settings'!$B$6/100,1),2)</f>
        <v>49.1</v>
      </c>
      <c r="J457" s="8">
        <v>10.49</v>
      </c>
      <c r="K457" s="3" t="inlineStr">
        <is>
          <t xml:space="preserve">TRUE</t>
        </is>
      </c>
      <c r="L457" s="3" t="inlineStr">
        <is>
          <t xml:space="preserve">SUMMER15</t>
        </is>
      </c>
      <c r="M457" s="6">
        <f>ROUND(E457*G457-H457,2)</f>
        <v>59.41</v>
      </c>
      <c r="N457" s="5">
        <f>IF(COUNTIF($A$3:A457,A457)=1,1,0)</f>
        <v>1</v>
      </c>
      <c r="O457" s="6">
        <f>IF(N457=1,ROUND((SUMIFS($M$3:$M$1200,$A$3:$A$1200,A457)+'Settings'!$B$13)*'Settings'!$B$14/100+'Settings'!$B$15,2),0)</f>
        <v>1.19</v>
      </c>
    </row>
    <row r="458">
      <c r="A458" s="3" t="inlineStr">
        <is>
          <t xml:space="preserve">#1337</t>
        </is>
      </c>
      <c r="B458" s="3" t="inlineStr">
        <is>
          <t xml:space="preserve">2026-03-08</t>
        </is>
      </c>
      <c r="C458" s="3" t="inlineStr">
        <is>
          <t xml:space="preserve">SKU-E</t>
        </is>
      </c>
      <c r="D458" s="3" t="inlineStr">
        <is>
          <t xml:space="preserve">Complete Ritual</t>
        </is>
      </c>
      <c r="E458" s="6">
        <f>IF('Settings'!$B$11="Scenario",IFERROR(INDEX('Catalogue'!$E$3:$E$100,MATCH(C458,'Catalogue'!$B$3:$B$100,0)),F458),F458)</f>
        <v>89</v>
      </c>
      <c r="F458" s="8">
        <v>89</v>
      </c>
      <c r="G458" s="3">
        <v>1</v>
      </c>
      <c r="H458" s="6">
        <f>IF('Settings'!$B$11="Scenario",ROUND(E458*G458*IFERROR(SUMIF('Pricing &amp; promotions'!$A$6:$A$8,L458,'Pricing &amp; promotions'!$B$6:$B$8)/100,0),2),J458)</f>
        <v>0.0</v>
      </c>
      <c r="I458" s="6">
        <f>ROUND((E458*G458-H458)/IF(OR(K458=TRUE,K458="TRUE",K458="YES",K458=1),1+'Settings'!$B$6/100,1),2)</f>
        <v>73.55</v>
      </c>
      <c r="J458" s="8">
        <v>0.0</v>
      </c>
      <c r="K458" s="3" t="inlineStr">
        <is>
          <t xml:space="preserve">TRUE</t>
        </is>
      </c>
      <c r="L458" s="3"/>
      <c r="M458" s="6">
        <f>ROUND(E458*G458-H458,2)</f>
        <v>89.0</v>
      </c>
      <c r="N458" s="5">
        <f>IF(COUNTIF($A$3:A458,A458)=1,1,0)</f>
        <v>1</v>
      </c>
      <c r="O458" s="6">
        <f>IF(N458=1,ROUND((SUMIFS($M$3:$M$1200,$A$3:$A$1200,A458)+'Settings'!$B$13)*'Settings'!$B$14/100+'Settings'!$B$15,2),0)</f>
        <v>1.63</v>
      </c>
    </row>
    <row r="459">
      <c r="A459" s="3" t="inlineStr">
        <is>
          <t xml:space="preserve">#1338</t>
        </is>
      </c>
      <c r="B459" s="3" t="inlineStr">
        <is>
          <t xml:space="preserve">2026-03-08</t>
        </is>
      </c>
      <c r="C459" s="3" t="inlineStr">
        <is>
          <t xml:space="preserve">SKU-D</t>
        </is>
      </c>
      <c r="D459" s="3" t="inlineStr">
        <is>
          <t xml:space="preserve">Daily Duo</t>
        </is>
      </c>
      <c r="E459" s="6">
        <f>IF('Settings'!$B$11="Scenario",IFERROR(INDEX('Catalogue'!$E$3:$E$100,MATCH(C459,'Catalogue'!$B$3:$B$100,0)),F459),F459)</f>
        <v>79</v>
      </c>
      <c r="F459" s="8">
        <v>79</v>
      </c>
      <c r="G459" s="3">
        <v>1</v>
      </c>
      <c r="H459" s="6">
        <f>IF('Settings'!$B$11="Scenario",ROUND(E459*G459*IFERROR(SUMIF('Pricing &amp; promotions'!$A$6:$A$8,L459,'Pricing &amp; promotions'!$B$6:$B$8)/100,0),2),J459)</f>
        <v>0.0</v>
      </c>
      <c r="I459" s="6">
        <f>ROUND((E459*G459-H459)/IF(OR(K459=TRUE,K459="TRUE",K459="YES",K459=1),1+'Settings'!$B$6/100,1),2)</f>
        <v>65.29</v>
      </c>
      <c r="J459" s="8">
        <v>0.0</v>
      </c>
      <c r="K459" s="3" t="inlineStr">
        <is>
          <t xml:space="preserve">TRUE</t>
        </is>
      </c>
      <c r="L459" s="3"/>
      <c r="M459" s="6">
        <f>ROUND(E459*G459-H459,2)</f>
        <v>79.0</v>
      </c>
      <c r="N459" s="5">
        <f>IF(COUNTIF($A$3:A459,A459)=1,1,0)</f>
        <v>1</v>
      </c>
      <c r="O459" s="6">
        <f>IF(N459=1,ROUND((SUMIFS($M$3:$M$1200,$A$3:$A$1200,A459)+'Settings'!$B$13)*'Settings'!$B$14/100+'Settings'!$B$15,2),0)</f>
        <v>1.48</v>
      </c>
    </row>
    <row r="460">
      <c r="A460" s="3" t="inlineStr">
        <is>
          <t xml:space="preserve">#1339</t>
        </is>
      </c>
      <c r="B460" s="3" t="inlineStr">
        <is>
          <t xml:space="preserve">2026-03-09</t>
        </is>
      </c>
      <c r="C460" s="3" t="inlineStr">
        <is>
          <t xml:space="preserve">SKU-G</t>
        </is>
      </c>
      <c r="D460" s="3" t="inlineStr">
        <is>
          <t xml:space="preserve">Daily Reset Set</t>
        </is>
      </c>
      <c r="E460" s="6">
        <f>IF('Settings'!$B$11="Scenario",IFERROR(INDEX('Catalogue'!$E$3:$E$100,MATCH(C460,'Catalogue'!$B$3:$B$100,0)),F460),F460)</f>
        <v>69</v>
      </c>
      <c r="F460" s="8">
        <v>69</v>
      </c>
      <c r="G460" s="3">
        <v>1</v>
      </c>
      <c r="H460" s="6">
        <f>IF('Settings'!$B$11="Scenario",ROUND(E460*G460*IFERROR(SUMIF('Pricing &amp; promotions'!$A$6:$A$8,L460,'Pricing &amp; promotions'!$B$6:$B$8)/100,0),2),J460)</f>
        <v>0.0</v>
      </c>
      <c r="I460" s="6">
        <f>ROUND((E460*G460-H460)/IF(OR(K460=TRUE,K460="TRUE",K460="YES",K460=1),1+'Settings'!$B$6/100,1),2)</f>
        <v>57.02</v>
      </c>
      <c r="J460" s="8">
        <v>0.0</v>
      </c>
      <c r="K460" s="3" t="inlineStr">
        <is>
          <t xml:space="preserve">TRUE</t>
        </is>
      </c>
      <c r="L460" s="3"/>
      <c r="M460" s="6">
        <f>ROUND(E460*G460-H460,2)</f>
        <v>69.0</v>
      </c>
      <c r="N460" s="5">
        <f>IF(COUNTIF($A$3:A460,A460)=1,1,0)</f>
        <v>1</v>
      </c>
      <c r="O460" s="6">
        <f>IF(N460=1,ROUND((SUMIFS($M$3:$M$1200,$A$3:$A$1200,A460)+'Settings'!$B$13)*'Settings'!$B$14/100+'Settings'!$B$15,2),0)</f>
        <v>1.33</v>
      </c>
    </row>
    <row r="461">
      <c r="A461" s="3" t="inlineStr">
        <is>
          <t xml:space="preserve">#1340</t>
        </is>
      </c>
      <c r="B461" s="3" t="inlineStr">
        <is>
          <t xml:space="preserve">2026-03-09</t>
        </is>
      </c>
      <c r="C461" s="3" t="inlineStr">
        <is>
          <t xml:space="preserve">SKU-B</t>
        </is>
      </c>
      <c r="D461" s="3" t="inlineStr">
        <is>
          <t xml:space="preserve">Barrier Balm</t>
        </is>
      </c>
      <c r="E461" s="6">
        <f>IF('Settings'!$B$11="Scenario",IFERROR(INDEX('Catalogue'!$E$3:$E$100,MATCH(C461,'Catalogue'!$B$3:$B$100,0)),F461),F461)</f>
        <v>19</v>
      </c>
      <c r="F461" s="8">
        <v>19</v>
      </c>
      <c r="G461" s="3">
        <v>1</v>
      </c>
      <c r="H461" s="6">
        <f>IF('Settings'!$B$11="Scenario",ROUND(E461*G461*IFERROR(SUMIF('Pricing &amp; promotions'!$A$6:$A$8,L461,'Pricing &amp; promotions'!$B$6:$B$8)/100,0),2),J461)</f>
        <v>2.85</v>
      </c>
      <c r="I461" s="6">
        <f>ROUND((E461*G461-H461)/IF(OR(K461=TRUE,K461="TRUE",K461="YES",K461=1),1+'Settings'!$B$6/100,1),2)</f>
        <v>13.35</v>
      </c>
      <c r="J461" s="8">
        <v>2.85</v>
      </c>
      <c r="K461" s="3" t="inlineStr">
        <is>
          <t xml:space="preserve">TRUE</t>
        </is>
      </c>
      <c r="L461" s="3" t="inlineStr">
        <is>
          <t xml:space="preserve">SUMMER15</t>
        </is>
      </c>
      <c r="M461" s="6">
        <f>ROUND(E461*G461-H461,2)</f>
        <v>16.15</v>
      </c>
      <c r="N461" s="5">
        <f>IF(COUNTIF($A$3:A461,A461)=1,1,0)</f>
        <v>1</v>
      </c>
      <c r="O461" s="6">
        <f>IF(N461=1,ROUND((SUMIFS($M$3:$M$1200,$A$3:$A$1200,A461)+'Settings'!$B$13)*'Settings'!$B$14/100+'Settings'!$B$15,2),0)</f>
        <v>0.54</v>
      </c>
    </row>
    <row r="462">
      <c r="A462" s="3" t="inlineStr">
        <is>
          <t xml:space="preserve">#1341</t>
        </is>
      </c>
      <c r="B462" s="3" t="inlineStr">
        <is>
          <t xml:space="preserve">2026-03-10</t>
        </is>
      </c>
      <c r="C462" s="3" t="inlineStr">
        <is>
          <t xml:space="preserve">SKU-E</t>
        </is>
      </c>
      <c r="D462" s="3" t="inlineStr">
        <is>
          <t xml:space="preserve">Complete Ritual</t>
        </is>
      </c>
      <c r="E462" s="6">
        <f>IF('Settings'!$B$11="Scenario",IFERROR(INDEX('Catalogue'!$E$3:$E$100,MATCH(C462,'Catalogue'!$B$3:$B$100,0)),F462),F462)</f>
        <v>89</v>
      </c>
      <c r="F462" s="8">
        <v>89</v>
      </c>
      <c r="G462" s="3">
        <v>2</v>
      </c>
      <c r="H462" s="6">
        <f>IF('Settings'!$B$11="Scenario",ROUND(E462*G462*IFERROR(SUMIF('Pricing &amp; promotions'!$A$6:$A$8,L462,'Pricing &amp; promotions'!$B$6:$B$8)/100,0),2),J462)</f>
        <v>0.0</v>
      </c>
      <c r="I462" s="6">
        <f>ROUND((E462*G462-H462)/IF(OR(K462=TRUE,K462="TRUE",K462="YES",K462=1),1+'Settings'!$B$6/100,1),2)</f>
        <v>147.11</v>
      </c>
      <c r="J462" s="8">
        <v>0.0</v>
      </c>
      <c r="K462" s="3" t="inlineStr">
        <is>
          <t xml:space="preserve">TRUE</t>
        </is>
      </c>
      <c r="L462" s="3"/>
      <c r="M462" s="6">
        <f>ROUND(E462*G462-H462,2)</f>
        <v>178.0</v>
      </c>
      <c r="N462" s="5">
        <f>IF(COUNTIF($A$3:A462,A462)=1,1,0)</f>
        <v>1</v>
      </c>
      <c r="O462" s="6">
        <f>IF(N462=1,ROUND((SUMIFS($M$3:$M$1200,$A$3:$A$1200,A462)+'Settings'!$B$13)*'Settings'!$B$14/100+'Settings'!$B$15,2),0)</f>
        <v>2.96</v>
      </c>
    </row>
    <row r="463">
      <c r="A463" s="3" t="inlineStr">
        <is>
          <t xml:space="preserve">#1342</t>
        </is>
      </c>
      <c r="B463" s="3" t="inlineStr">
        <is>
          <t xml:space="preserve">2026-03-10</t>
        </is>
      </c>
      <c r="C463" s="3" t="inlineStr">
        <is>
          <t xml:space="preserve">SKU-D</t>
        </is>
      </c>
      <c r="D463" s="3" t="inlineStr">
        <is>
          <t xml:space="preserve">Daily Duo</t>
        </is>
      </c>
      <c r="E463" s="6">
        <f>IF('Settings'!$B$11="Scenario",IFERROR(INDEX('Catalogue'!$E$3:$E$100,MATCH(C463,'Catalogue'!$B$3:$B$100,0)),F463),F463)</f>
        <v>79</v>
      </c>
      <c r="F463" s="8">
        <v>79</v>
      </c>
      <c r="G463" s="3">
        <v>1</v>
      </c>
      <c r="H463" s="6">
        <f>IF('Settings'!$B$11="Scenario",ROUND(E463*G463*IFERROR(SUMIF('Pricing &amp; promotions'!$A$6:$A$8,L463,'Pricing &amp; promotions'!$B$6:$B$8)/100,0),2),J463)</f>
        <v>11.85</v>
      </c>
      <c r="I463" s="6">
        <f>ROUND((E463*G463-H463)/IF(OR(K463=TRUE,K463="TRUE",K463="YES",K463=1),1+'Settings'!$B$6/100,1),2)</f>
        <v>55.5</v>
      </c>
      <c r="J463" s="8">
        <v>11.85</v>
      </c>
      <c r="K463" s="3" t="inlineStr">
        <is>
          <t xml:space="preserve">TRUE</t>
        </is>
      </c>
      <c r="L463" s="3" t="inlineStr">
        <is>
          <t xml:space="preserve">SUMMER15</t>
        </is>
      </c>
      <c r="M463" s="6">
        <f>ROUND(E463*G463-H463,2)</f>
        <v>67.15</v>
      </c>
      <c r="N463" s="5">
        <f>IF(COUNTIF($A$3:A463,A463)=1,1,0)</f>
        <v>1</v>
      </c>
      <c r="O463" s="6">
        <f>IF(N463=1,ROUND((SUMIFS($M$3:$M$1200,$A$3:$A$1200,A463)+'Settings'!$B$13)*'Settings'!$B$14/100+'Settings'!$B$15,2),0)</f>
        <v>1.3</v>
      </c>
    </row>
    <row r="464">
      <c r="A464" s="3" t="inlineStr">
        <is>
          <t xml:space="preserve">#1343</t>
        </is>
      </c>
      <c r="B464" s="3" t="inlineStr">
        <is>
          <t xml:space="preserve">2026-03-11</t>
        </is>
      </c>
      <c r="C464" s="3" t="inlineStr">
        <is>
          <t xml:space="preserve">SKU-G</t>
        </is>
      </c>
      <c r="D464" s="3" t="inlineStr">
        <is>
          <t xml:space="preserve">Daily Reset Set</t>
        </is>
      </c>
      <c r="E464" s="6">
        <f>IF('Settings'!$B$11="Scenario",IFERROR(INDEX('Catalogue'!$E$3:$E$100,MATCH(C464,'Catalogue'!$B$3:$B$100,0)),F464),F464)</f>
        <v>69</v>
      </c>
      <c r="F464" s="8">
        <v>69</v>
      </c>
      <c r="G464" s="3">
        <v>1</v>
      </c>
      <c r="H464" s="6">
        <f>IF('Settings'!$B$11="Scenario",ROUND(E464*G464*IFERROR(SUMIF('Pricing &amp; promotions'!$A$6:$A$8,L464,'Pricing &amp; promotions'!$B$6:$B$8)/100,0),2),J464)</f>
        <v>0.0</v>
      </c>
      <c r="I464" s="6">
        <f>ROUND((E464*G464-H464)/IF(OR(K464=TRUE,K464="TRUE",K464="YES",K464=1),1+'Settings'!$B$6/100,1),2)</f>
        <v>57.02</v>
      </c>
      <c r="J464" s="8">
        <v>0.0</v>
      </c>
      <c r="K464" s="3" t="inlineStr">
        <is>
          <t xml:space="preserve">TRUE</t>
        </is>
      </c>
      <c r="L464" s="3"/>
      <c r="M464" s="6">
        <f>ROUND(E464*G464-H464,2)</f>
        <v>69.0</v>
      </c>
      <c r="N464" s="5">
        <f>IF(COUNTIF($A$3:A464,A464)=1,1,0)</f>
        <v>1</v>
      </c>
      <c r="O464" s="6">
        <f>IF(N464=1,ROUND((SUMIFS($M$3:$M$1200,$A$3:$A$1200,A464)+'Settings'!$B$13)*'Settings'!$B$14/100+'Settings'!$B$15,2),0)</f>
        <v>1.33</v>
      </c>
    </row>
    <row r="465">
      <c r="A465" s="3" t="inlineStr">
        <is>
          <t xml:space="preserve">#1344</t>
        </is>
      </c>
      <c r="B465" s="3" t="inlineStr">
        <is>
          <t xml:space="preserve">2026-03-11</t>
        </is>
      </c>
      <c r="C465" s="3" t="inlineStr">
        <is>
          <t xml:space="preserve">SKU-A</t>
        </is>
      </c>
      <c r="D465" s="3" t="inlineStr">
        <is>
          <t xml:space="preserve">Renewal Serum</t>
        </is>
      </c>
      <c r="E465" s="6">
        <f>IF('Settings'!$B$11="Scenario",IFERROR(INDEX('Catalogue'!$E$3:$E$100,MATCH(C465,'Catalogue'!$B$3:$B$100,0)),F465),F465)</f>
        <v>69.9</v>
      </c>
      <c r="F465" s="8">
        <v>69.9</v>
      </c>
      <c r="G465" s="3">
        <v>1</v>
      </c>
      <c r="H465" s="6">
        <f>IF('Settings'!$B$11="Scenario",ROUND(E465*G465*IFERROR(SUMIF('Pricing &amp; promotions'!$A$6:$A$8,L465,'Pricing &amp; promotions'!$B$6:$B$8)/100,0),2),J465)</f>
        <v>0.0</v>
      </c>
      <c r="I465" s="6">
        <f>ROUND((E465*G465-H465)/IF(OR(K465=TRUE,K465="TRUE",K465="YES",K465=1),1+'Settings'!$B$6/100,1),2)</f>
        <v>57.77</v>
      </c>
      <c r="J465" s="8">
        <v>0.0</v>
      </c>
      <c r="K465" s="3" t="inlineStr">
        <is>
          <t xml:space="preserve">TRUE</t>
        </is>
      </c>
      <c r="L465" s="3"/>
      <c r="M465" s="6">
        <f>ROUND(E465*G465-H465,2)</f>
        <v>69.9</v>
      </c>
      <c r="N465" s="5">
        <f>IF(COUNTIF($A$3:A465,A465)=1,1,0)</f>
        <v>1</v>
      </c>
      <c r="O465" s="6">
        <f>IF(N465=1,ROUND((SUMIFS($M$3:$M$1200,$A$3:$A$1200,A465)+'Settings'!$B$13)*'Settings'!$B$14/100+'Settings'!$B$15,2),0)</f>
        <v>1.34</v>
      </c>
    </row>
    <row r="466">
      <c r="A466" s="3" t="inlineStr">
        <is>
          <t xml:space="preserve">#1345</t>
        </is>
      </c>
      <c r="B466" s="3" t="inlineStr">
        <is>
          <t xml:space="preserve">2026-03-12</t>
        </is>
      </c>
      <c r="C466" s="3" t="inlineStr">
        <is>
          <t xml:space="preserve">SKU-G</t>
        </is>
      </c>
      <c r="D466" s="3" t="inlineStr">
        <is>
          <t xml:space="preserve">Daily Reset Set</t>
        </is>
      </c>
      <c r="E466" s="6">
        <f>IF('Settings'!$B$11="Scenario",IFERROR(INDEX('Catalogue'!$E$3:$E$100,MATCH(C466,'Catalogue'!$B$3:$B$100,0)),F466),F466)</f>
        <v>69</v>
      </c>
      <c r="F466" s="8">
        <v>69</v>
      </c>
      <c r="G466" s="3">
        <v>1</v>
      </c>
      <c r="H466" s="6">
        <f>IF('Settings'!$B$11="Scenario",ROUND(E466*G466*IFERROR(SUMIF('Pricing &amp; promotions'!$A$6:$A$8,L466,'Pricing &amp; promotions'!$B$6:$B$8)/100,0),2),J466)</f>
        <v>6.9</v>
      </c>
      <c r="I466" s="6">
        <f>ROUND((E466*G466-H466)/IF(OR(K466=TRUE,K466="TRUE",K466="YES",K466=1),1+'Settings'!$B$6/100,1),2)</f>
        <v>51.32</v>
      </c>
      <c r="J466" s="8">
        <v>6.9</v>
      </c>
      <c r="K466" s="3" t="inlineStr">
        <is>
          <t xml:space="preserve">TRUE</t>
        </is>
      </c>
      <c r="L466" s="3" t="inlineStr">
        <is>
          <t xml:space="preserve">WELCOME10</t>
        </is>
      </c>
      <c r="M466" s="6">
        <f>ROUND(E466*G466-H466,2)</f>
        <v>62.1</v>
      </c>
      <c r="N466" s="5">
        <f>IF(COUNTIF($A$3:A466,A466)=1,1,0)</f>
        <v>1</v>
      </c>
      <c r="O466" s="6">
        <f>IF(N466=1,ROUND((SUMIFS($M$3:$M$1200,$A$3:$A$1200,A466)+'Settings'!$B$13)*'Settings'!$B$14/100+'Settings'!$B$15,2),0)</f>
        <v>2.17</v>
      </c>
    </row>
    <row r="467">
      <c r="A467" s="3" t="inlineStr">
        <is>
          <t xml:space="preserve">#1345</t>
        </is>
      </c>
      <c r="B467" s="3" t="inlineStr">
        <is>
          <t xml:space="preserve">2026-03-12</t>
        </is>
      </c>
      <c r="C467" s="3" t="inlineStr">
        <is>
          <t xml:space="preserve">SKU-A</t>
        </is>
      </c>
      <c r="D467" s="3" t="inlineStr">
        <is>
          <t xml:space="preserve">Renewal Serum</t>
        </is>
      </c>
      <c r="E467" s="6">
        <f>IF('Settings'!$B$11="Scenario",IFERROR(INDEX('Catalogue'!$E$3:$E$100,MATCH(C467,'Catalogue'!$B$3:$B$100,0)),F467),F467)</f>
        <v>69.9</v>
      </c>
      <c r="F467" s="8">
        <v>69.9</v>
      </c>
      <c r="G467" s="3">
        <v>1</v>
      </c>
      <c r="H467" s="6">
        <f>IF('Settings'!$B$11="Scenario",ROUND(E467*G467*IFERROR(SUMIF('Pricing &amp; promotions'!$A$6:$A$8,L467,'Pricing &amp; promotions'!$B$6:$B$8)/100,0),2),J467)</f>
        <v>6.99</v>
      </c>
      <c r="I467" s="6">
        <f>ROUND((E467*G467-H467)/IF(OR(K467=TRUE,K467="TRUE",K467="YES",K467=1),1+'Settings'!$B$6/100,1),2)</f>
        <v>51.99</v>
      </c>
      <c r="J467" s="8">
        <v>6.99</v>
      </c>
      <c r="K467" s="3" t="inlineStr">
        <is>
          <t xml:space="preserve">TRUE</t>
        </is>
      </c>
      <c r="L467" s="3" t="inlineStr">
        <is>
          <t xml:space="preserve">WELCOME10</t>
        </is>
      </c>
      <c r="M467" s="6">
        <f>ROUND(E467*G467-H467,2)</f>
        <v>62.91</v>
      </c>
      <c r="N467" s="5">
        <f>IF(COUNTIF($A$3:A467,A467)=1,1,0)</f>
        <v>0</v>
      </c>
      <c r="O467" s="6">
        <f>IF(N467=1,ROUND((SUMIFS($M$3:$M$1200,$A$3:$A$1200,A467)+'Settings'!$B$13)*'Settings'!$B$14/100+'Settings'!$B$15,2),0)</f>
        <v>0</v>
      </c>
    </row>
    <row r="468">
      <c r="A468" s="3" t="inlineStr">
        <is>
          <t xml:space="preserve">#1346</t>
        </is>
      </c>
      <c r="B468" s="3" t="inlineStr">
        <is>
          <t xml:space="preserve">2026-03-12</t>
        </is>
      </c>
      <c r="C468" s="3" t="inlineStr">
        <is>
          <t xml:space="preserve">SKU-B</t>
        </is>
      </c>
      <c r="D468" s="3" t="inlineStr">
        <is>
          <t xml:space="preserve">Barrier Balm</t>
        </is>
      </c>
      <c r="E468" s="6">
        <f>IF('Settings'!$B$11="Scenario",IFERROR(INDEX('Catalogue'!$E$3:$E$100,MATCH(C468,'Catalogue'!$B$3:$B$100,0)),F468),F468)</f>
        <v>19</v>
      </c>
      <c r="F468" s="8">
        <v>19</v>
      </c>
      <c r="G468" s="3">
        <v>1</v>
      </c>
      <c r="H468" s="6">
        <f>IF('Settings'!$B$11="Scenario",ROUND(E468*G468*IFERROR(SUMIF('Pricing &amp; promotions'!$A$6:$A$8,L468,'Pricing &amp; promotions'!$B$6:$B$8)/100,0),2),J468)</f>
        <v>0.0</v>
      </c>
      <c r="I468" s="6">
        <f>ROUND((E468*G468-H468)/IF(OR(K468=TRUE,K468="TRUE",K468="YES",K468=1),1+'Settings'!$B$6/100,1),2)</f>
        <v>15.7</v>
      </c>
      <c r="J468" s="8">
        <v>0.0</v>
      </c>
      <c r="K468" s="3" t="inlineStr">
        <is>
          <t xml:space="preserve">TRUE</t>
        </is>
      </c>
      <c r="L468" s="3"/>
      <c r="M468" s="6">
        <f>ROUND(E468*G468-H468,2)</f>
        <v>19.0</v>
      </c>
      <c r="N468" s="5">
        <f>IF(COUNTIF($A$3:A468,A468)=1,1,0)</f>
        <v>1</v>
      </c>
      <c r="O468" s="6">
        <f>IF(N468=1,ROUND((SUMIFS($M$3:$M$1200,$A$3:$A$1200,A468)+'Settings'!$B$13)*'Settings'!$B$14/100+'Settings'!$B$15,2),0)</f>
        <v>1.45</v>
      </c>
    </row>
    <row r="469">
      <c r="A469" s="3" t="inlineStr">
        <is>
          <t xml:space="preserve">#1346</t>
        </is>
      </c>
      <c r="B469" s="3" t="inlineStr">
        <is>
          <t xml:space="preserve">2026-03-12</t>
        </is>
      </c>
      <c r="C469" s="3" t="inlineStr">
        <is>
          <t xml:space="preserve">SKU-C</t>
        </is>
      </c>
      <c r="D469" s="3" t="inlineStr">
        <is>
          <t xml:space="preserve">Contour Stone</t>
        </is>
      </c>
      <c r="E469" s="6">
        <f>IF('Settings'!$B$11="Scenario",IFERROR(INDEX('Catalogue'!$E$3:$E$100,MATCH(C469,'Catalogue'!$B$3:$B$100,0)),F469),F469)</f>
        <v>29</v>
      </c>
      <c r="F469" s="8">
        <v>29</v>
      </c>
      <c r="G469" s="3">
        <v>2</v>
      </c>
      <c r="H469" s="6">
        <f>IF('Settings'!$B$11="Scenario",ROUND(E469*G469*IFERROR(SUMIF('Pricing &amp; promotions'!$A$6:$A$8,L469,'Pricing &amp; promotions'!$B$6:$B$8)/100,0),2),J469)</f>
        <v>0.0</v>
      </c>
      <c r="I469" s="6">
        <f>ROUND((E469*G469-H469)/IF(OR(K469=TRUE,K469="TRUE",K469="YES",K469=1),1+'Settings'!$B$6/100,1),2)</f>
        <v>47.93</v>
      </c>
      <c r="J469" s="8">
        <v>0.0</v>
      </c>
      <c r="K469" s="3" t="inlineStr">
        <is>
          <t xml:space="preserve">TRUE</t>
        </is>
      </c>
      <c r="L469" s="3"/>
      <c r="M469" s="6">
        <f>ROUND(E469*G469-H469,2)</f>
        <v>58.0</v>
      </c>
      <c r="N469" s="5">
        <f>IF(COUNTIF($A$3:A469,A469)=1,1,0)</f>
        <v>0</v>
      </c>
      <c r="O469" s="6">
        <f>IF(N469=1,ROUND((SUMIFS($M$3:$M$1200,$A$3:$A$1200,A469)+'Settings'!$B$13)*'Settings'!$B$14/100+'Settings'!$B$15,2),0)</f>
        <v>0</v>
      </c>
    </row>
    <row r="470">
      <c r="A470" s="3" t="inlineStr">
        <is>
          <t xml:space="preserve">#1347</t>
        </is>
      </c>
      <c r="B470" s="3" t="inlineStr">
        <is>
          <t xml:space="preserve">2026-03-12</t>
        </is>
      </c>
      <c r="C470" s="3" t="inlineStr">
        <is>
          <t xml:space="preserve">SKU-B</t>
        </is>
      </c>
      <c r="D470" s="3" t="inlineStr">
        <is>
          <t xml:space="preserve">Barrier Balm</t>
        </is>
      </c>
      <c r="E470" s="6">
        <f>IF('Settings'!$B$11="Scenario",IFERROR(INDEX('Catalogue'!$E$3:$E$100,MATCH(C470,'Catalogue'!$B$3:$B$100,0)),F470),F470)</f>
        <v>19</v>
      </c>
      <c r="F470" s="8">
        <v>19</v>
      </c>
      <c r="G470" s="3">
        <v>1</v>
      </c>
      <c r="H470" s="6">
        <f>IF('Settings'!$B$11="Scenario",ROUND(E470*G470*IFERROR(SUMIF('Pricing &amp; promotions'!$A$6:$A$8,L470,'Pricing &amp; promotions'!$B$6:$B$8)/100,0),2),J470)</f>
        <v>1.9</v>
      </c>
      <c r="I470" s="6">
        <f>ROUND((E470*G470-H470)/IF(OR(K470=TRUE,K470="TRUE",K470="YES",K470=1),1+'Settings'!$B$6/100,1),2)</f>
        <v>14.13</v>
      </c>
      <c r="J470" s="8">
        <v>1.9</v>
      </c>
      <c r="K470" s="3" t="inlineStr">
        <is>
          <t xml:space="preserve">TRUE</t>
        </is>
      </c>
      <c r="L470" s="3" t="inlineStr">
        <is>
          <t xml:space="preserve">WELCOME10</t>
        </is>
      </c>
      <c r="M470" s="6">
        <f>ROUND(E470*G470-H470,2)</f>
        <v>17.1</v>
      </c>
      <c r="N470" s="5">
        <f>IF(COUNTIF($A$3:A470,A470)=1,1,0)</f>
        <v>1</v>
      </c>
      <c r="O470" s="6">
        <f>IF(N470=1,ROUND((SUMIFS($M$3:$M$1200,$A$3:$A$1200,A470)+'Settings'!$B$13)*'Settings'!$B$14/100+'Settings'!$B$15,2),0)</f>
        <v>1.48</v>
      </c>
    </row>
    <row r="471">
      <c r="A471" s="3" t="inlineStr">
        <is>
          <t xml:space="preserve">#1347</t>
        </is>
      </c>
      <c r="B471" s="3" t="inlineStr">
        <is>
          <t xml:space="preserve">2026-03-12</t>
        </is>
      </c>
      <c r="C471" s="3" t="inlineStr">
        <is>
          <t xml:space="preserve">SKU-G</t>
        </is>
      </c>
      <c r="D471" s="3" t="inlineStr">
        <is>
          <t xml:space="preserve">Daily Reset Set</t>
        </is>
      </c>
      <c r="E471" s="6">
        <f>IF('Settings'!$B$11="Scenario",IFERROR(INDEX('Catalogue'!$E$3:$E$100,MATCH(C471,'Catalogue'!$B$3:$B$100,0)),F471),F471)</f>
        <v>69</v>
      </c>
      <c r="F471" s="8">
        <v>69</v>
      </c>
      <c r="G471" s="3">
        <v>1</v>
      </c>
      <c r="H471" s="6">
        <f>IF('Settings'!$B$11="Scenario",ROUND(E471*G471*IFERROR(SUMIF('Pricing &amp; promotions'!$A$6:$A$8,L471,'Pricing &amp; promotions'!$B$6:$B$8)/100,0),2),J471)</f>
        <v>6.9</v>
      </c>
      <c r="I471" s="6">
        <f>ROUND((E471*G471-H471)/IF(OR(K471=TRUE,K471="TRUE",K471="YES",K471=1),1+'Settings'!$B$6/100,1),2)</f>
        <v>51.32</v>
      </c>
      <c r="J471" s="8">
        <v>6.9</v>
      </c>
      <c r="K471" s="3" t="inlineStr">
        <is>
          <t xml:space="preserve">TRUE</t>
        </is>
      </c>
      <c r="L471" s="3" t="inlineStr">
        <is>
          <t xml:space="preserve">WELCOME10</t>
        </is>
      </c>
      <c r="M471" s="6">
        <f>ROUND(E471*G471-H471,2)</f>
        <v>62.1</v>
      </c>
      <c r="N471" s="5">
        <f>IF(COUNTIF($A$3:A471,A471)=1,1,0)</f>
        <v>0</v>
      </c>
      <c r="O471" s="6">
        <f>IF(N471=1,ROUND((SUMIFS($M$3:$M$1200,$A$3:$A$1200,A471)+'Settings'!$B$13)*'Settings'!$B$14/100+'Settings'!$B$15,2),0)</f>
        <v>0</v>
      </c>
    </row>
    <row r="472">
      <c r="A472" s="3" t="inlineStr">
        <is>
          <t xml:space="preserve">#1348</t>
        </is>
      </c>
      <c r="B472" s="3" t="inlineStr">
        <is>
          <t xml:space="preserve">2026-03-12</t>
        </is>
      </c>
      <c r="C472" s="3" t="inlineStr">
        <is>
          <t xml:space="preserve">SKU-A</t>
        </is>
      </c>
      <c r="D472" s="3" t="inlineStr">
        <is>
          <t xml:space="preserve">Renewal Serum</t>
        </is>
      </c>
      <c r="E472" s="6">
        <f>IF('Settings'!$B$11="Scenario",IFERROR(INDEX('Catalogue'!$E$3:$E$100,MATCH(C472,'Catalogue'!$B$3:$B$100,0)),F472),F472)</f>
        <v>69.9</v>
      </c>
      <c r="F472" s="8">
        <v>69.9</v>
      </c>
      <c r="G472" s="3">
        <v>1</v>
      </c>
      <c r="H472" s="6">
        <f>IF('Settings'!$B$11="Scenario",ROUND(E472*G472*IFERROR(SUMIF('Pricing &amp; promotions'!$A$6:$A$8,L472,'Pricing &amp; promotions'!$B$6:$B$8)/100,0),2),J472)</f>
        <v>6.99</v>
      </c>
      <c r="I472" s="6">
        <f>ROUND((E472*G472-H472)/IF(OR(K472=TRUE,K472="TRUE",K472="YES",K472=1),1+'Settings'!$B$6/100,1),2)</f>
        <v>51.99</v>
      </c>
      <c r="J472" s="8">
        <v>6.99</v>
      </c>
      <c r="K472" s="3" t="inlineStr">
        <is>
          <t xml:space="preserve">TRUE</t>
        </is>
      </c>
      <c r="L472" s="3" t="inlineStr">
        <is>
          <t xml:space="preserve">WELCOME10</t>
        </is>
      </c>
      <c r="M472" s="6">
        <f>ROUND(E472*G472-H472,2)</f>
        <v>62.91</v>
      </c>
      <c r="N472" s="5">
        <f>IF(COUNTIF($A$3:A472,A472)=1,1,0)</f>
        <v>1</v>
      </c>
      <c r="O472" s="6">
        <f>IF(N472=1,ROUND((SUMIFS($M$3:$M$1200,$A$3:$A$1200,A472)+'Settings'!$B$13)*'Settings'!$B$14/100+'Settings'!$B$15,2),0)</f>
        <v>1.24</v>
      </c>
    </row>
    <row r="473">
      <c r="A473" s="3" t="inlineStr">
        <is>
          <t xml:space="preserve">#1349</t>
        </is>
      </c>
      <c r="B473" s="3" t="inlineStr">
        <is>
          <t xml:space="preserve">2026-03-13</t>
        </is>
      </c>
      <c r="C473" s="3" t="inlineStr">
        <is>
          <t xml:space="preserve">SKU-D</t>
        </is>
      </c>
      <c r="D473" s="3" t="inlineStr">
        <is>
          <t xml:space="preserve">Daily Duo</t>
        </is>
      </c>
      <c r="E473" s="6">
        <f>IF('Settings'!$B$11="Scenario",IFERROR(INDEX('Catalogue'!$E$3:$E$100,MATCH(C473,'Catalogue'!$B$3:$B$100,0)),F473),F473)</f>
        <v>79</v>
      </c>
      <c r="F473" s="8">
        <v>79</v>
      </c>
      <c r="G473" s="3">
        <v>1</v>
      </c>
      <c r="H473" s="6">
        <f>IF('Settings'!$B$11="Scenario",ROUND(E473*G473*IFERROR(SUMIF('Pricing &amp; promotions'!$A$6:$A$8,L473,'Pricing &amp; promotions'!$B$6:$B$8)/100,0),2),J473)</f>
        <v>0.0</v>
      </c>
      <c r="I473" s="6">
        <f>ROUND((E473*G473-H473)/IF(OR(K473=TRUE,K473="TRUE",K473="YES",K473=1),1+'Settings'!$B$6/100,1),2)</f>
        <v>65.29</v>
      </c>
      <c r="J473" s="8">
        <v>0.0</v>
      </c>
      <c r="K473" s="3" t="inlineStr">
        <is>
          <t xml:space="preserve">TRUE</t>
        </is>
      </c>
      <c r="L473" s="3"/>
      <c r="M473" s="6">
        <f>ROUND(E473*G473-H473,2)</f>
        <v>79.0</v>
      </c>
      <c r="N473" s="5">
        <f>IF(COUNTIF($A$3:A473,A473)=1,1,0)</f>
        <v>1</v>
      </c>
      <c r="O473" s="6">
        <f>IF(N473=1,ROUND((SUMIFS($M$3:$M$1200,$A$3:$A$1200,A473)+'Settings'!$B$13)*'Settings'!$B$14/100+'Settings'!$B$15,2),0)</f>
        <v>1.48</v>
      </c>
    </row>
    <row r="474">
      <c r="A474" s="3" t="inlineStr">
        <is>
          <t xml:space="preserve">#1350</t>
        </is>
      </c>
      <c r="B474" s="3" t="inlineStr">
        <is>
          <t xml:space="preserve">2026-03-13</t>
        </is>
      </c>
      <c r="C474" s="3" t="inlineStr">
        <is>
          <t xml:space="preserve">SKU-E</t>
        </is>
      </c>
      <c r="D474" s="3" t="inlineStr">
        <is>
          <t xml:space="preserve">Complete Ritual</t>
        </is>
      </c>
      <c r="E474" s="6">
        <f>IF('Settings'!$B$11="Scenario",IFERROR(INDEX('Catalogue'!$E$3:$E$100,MATCH(C474,'Catalogue'!$B$3:$B$100,0)),F474),F474)</f>
        <v>89</v>
      </c>
      <c r="F474" s="8">
        <v>89</v>
      </c>
      <c r="G474" s="3">
        <v>1</v>
      </c>
      <c r="H474" s="6">
        <f>IF('Settings'!$B$11="Scenario",ROUND(E474*G474*IFERROR(SUMIF('Pricing &amp; promotions'!$A$6:$A$8,L474,'Pricing &amp; promotions'!$B$6:$B$8)/100,0),2),J474)</f>
        <v>0.0</v>
      </c>
      <c r="I474" s="6">
        <f>ROUND((E474*G474-H474)/IF(OR(K474=TRUE,K474="TRUE",K474="YES",K474=1),1+'Settings'!$B$6/100,1),2)</f>
        <v>73.55</v>
      </c>
      <c r="J474" s="8">
        <v>0.0</v>
      </c>
      <c r="K474" s="3" t="inlineStr">
        <is>
          <t xml:space="preserve">TRUE</t>
        </is>
      </c>
      <c r="L474" s="3"/>
      <c r="M474" s="6">
        <f>ROUND(E474*G474-H474,2)</f>
        <v>89.0</v>
      </c>
      <c r="N474" s="5">
        <f>IF(COUNTIF($A$3:A474,A474)=1,1,0)</f>
        <v>1</v>
      </c>
      <c r="O474" s="6">
        <f>IF(N474=1,ROUND((SUMIFS($M$3:$M$1200,$A$3:$A$1200,A474)+'Settings'!$B$13)*'Settings'!$B$14/100+'Settings'!$B$15,2),0)</f>
        <v>3.53</v>
      </c>
    </row>
    <row r="475">
      <c r="A475" s="3" t="inlineStr">
        <is>
          <t xml:space="preserve">#1350</t>
        </is>
      </c>
      <c r="B475" s="3" t="inlineStr">
        <is>
          <t xml:space="preserve">2026-03-13</t>
        </is>
      </c>
      <c r="C475" s="3" t="inlineStr">
        <is>
          <t xml:space="preserve">SKU-G</t>
        </is>
      </c>
      <c r="D475" s="3" t="inlineStr">
        <is>
          <t xml:space="preserve">Daily Reset Set</t>
        </is>
      </c>
      <c r="E475" s="6">
        <f>IF('Settings'!$B$11="Scenario",IFERROR(INDEX('Catalogue'!$E$3:$E$100,MATCH(C475,'Catalogue'!$B$3:$B$100,0)),F475),F475)</f>
        <v>69</v>
      </c>
      <c r="F475" s="8">
        <v>69</v>
      </c>
      <c r="G475" s="3">
        <v>1</v>
      </c>
      <c r="H475" s="6">
        <f>IF('Settings'!$B$11="Scenario",ROUND(E475*G475*IFERROR(SUMIF('Pricing &amp; promotions'!$A$6:$A$8,L475,'Pricing &amp; promotions'!$B$6:$B$8)/100,0),2),J475)</f>
        <v>0.0</v>
      </c>
      <c r="I475" s="6">
        <f>ROUND((E475*G475-H475)/IF(OR(K475=TRUE,K475="TRUE",K475="YES",K475=1),1+'Settings'!$B$6/100,1),2)</f>
        <v>57.02</v>
      </c>
      <c r="J475" s="8">
        <v>0.0</v>
      </c>
      <c r="K475" s="3" t="inlineStr">
        <is>
          <t xml:space="preserve">TRUE</t>
        </is>
      </c>
      <c r="L475" s="3"/>
      <c r="M475" s="6">
        <f>ROUND(E475*G475-H475,2)</f>
        <v>69.0</v>
      </c>
      <c r="N475" s="5">
        <f>IF(COUNTIF($A$3:A475,A475)=1,1,0)</f>
        <v>0</v>
      </c>
      <c r="O475" s="6">
        <f>IF(N475=1,ROUND((SUMIFS($M$3:$M$1200,$A$3:$A$1200,A475)+'Settings'!$B$13)*'Settings'!$B$14/100+'Settings'!$B$15,2),0)</f>
        <v>0</v>
      </c>
    </row>
    <row r="476">
      <c r="A476" s="3" t="inlineStr">
        <is>
          <t xml:space="preserve">#1350</t>
        </is>
      </c>
      <c r="B476" s="3" t="inlineStr">
        <is>
          <t xml:space="preserve">2026-03-13</t>
        </is>
      </c>
      <c r="C476" s="3" t="inlineStr">
        <is>
          <t xml:space="preserve">SKU-C</t>
        </is>
      </c>
      <c r="D476" s="3" t="inlineStr">
        <is>
          <t xml:space="preserve">Contour Stone</t>
        </is>
      </c>
      <c r="E476" s="6">
        <f>IF('Settings'!$B$11="Scenario",IFERROR(INDEX('Catalogue'!$E$3:$E$100,MATCH(C476,'Catalogue'!$B$3:$B$100,0)),F476),F476)</f>
        <v>29</v>
      </c>
      <c r="F476" s="8">
        <v>29</v>
      </c>
      <c r="G476" s="3">
        <v>2</v>
      </c>
      <c r="H476" s="6">
        <f>IF('Settings'!$B$11="Scenario",ROUND(E476*G476*IFERROR(SUMIF('Pricing &amp; promotions'!$A$6:$A$8,L476,'Pricing &amp; promotions'!$B$6:$B$8)/100,0),2),J476)</f>
        <v>0.0</v>
      </c>
      <c r="I476" s="6">
        <f>ROUND((E476*G476-H476)/IF(OR(K476=TRUE,K476="TRUE",K476="YES",K476=1),1+'Settings'!$B$6/100,1),2)</f>
        <v>47.93</v>
      </c>
      <c r="J476" s="8">
        <v>0.0</v>
      </c>
      <c r="K476" s="3" t="inlineStr">
        <is>
          <t xml:space="preserve">TRUE</t>
        </is>
      </c>
      <c r="L476" s="3"/>
      <c r="M476" s="6">
        <f>ROUND(E476*G476-H476,2)</f>
        <v>58.0</v>
      </c>
      <c r="N476" s="5">
        <f>IF(COUNTIF($A$3:A476,A476)=1,1,0)</f>
        <v>0</v>
      </c>
      <c r="O476" s="6">
        <f>IF(N476=1,ROUND((SUMIFS($M$3:$M$1200,$A$3:$A$1200,A476)+'Settings'!$B$13)*'Settings'!$B$14/100+'Settings'!$B$15,2),0)</f>
        <v>0</v>
      </c>
    </row>
    <row r="477">
      <c r="A477" s="3" t="inlineStr">
        <is>
          <t xml:space="preserve">#1351</t>
        </is>
      </c>
      <c r="B477" s="3" t="inlineStr">
        <is>
          <t xml:space="preserve">2026-03-14</t>
        </is>
      </c>
      <c r="C477" s="3" t="inlineStr">
        <is>
          <t xml:space="preserve">SKU-G</t>
        </is>
      </c>
      <c r="D477" s="3" t="inlineStr">
        <is>
          <t xml:space="preserve">Daily Reset Set</t>
        </is>
      </c>
      <c r="E477" s="6">
        <f>IF('Settings'!$B$11="Scenario",IFERROR(INDEX('Catalogue'!$E$3:$E$100,MATCH(C477,'Catalogue'!$B$3:$B$100,0)),F477),F477)</f>
        <v>69</v>
      </c>
      <c r="F477" s="8">
        <v>69</v>
      </c>
      <c r="G477" s="3">
        <v>1</v>
      </c>
      <c r="H477" s="6">
        <f>IF('Settings'!$B$11="Scenario",ROUND(E477*G477*IFERROR(SUMIF('Pricing &amp; promotions'!$A$6:$A$8,L477,'Pricing &amp; promotions'!$B$6:$B$8)/100,0),2),J477)</f>
        <v>6.9</v>
      </c>
      <c r="I477" s="6">
        <f>ROUND((E477*G477-H477)/IF(OR(K477=TRUE,K477="TRUE",K477="YES",K477=1),1+'Settings'!$B$6/100,1),2)</f>
        <v>51.32</v>
      </c>
      <c r="J477" s="8">
        <v>6.9</v>
      </c>
      <c r="K477" s="3" t="inlineStr">
        <is>
          <t xml:space="preserve">TRUE</t>
        </is>
      </c>
      <c r="L477" s="3" t="inlineStr">
        <is>
          <t xml:space="preserve">WELCOME10</t>
        </is>
      </c>
      <c r="M477" s="6">
        <f>ROUND(E477*G477-H477,2)</f>
        <v>62.1</v>
      </c>
      <c r="N477" s="5">
        <f>IF(COUNTIF($A$3:A477,A477)=1,1,0)</f>
        <v>1</v>
      </c>
      <c r="O477" s="6">
        <f>IF(N477=1,ROUND((SUMIFS($M$3:$M$1200,$A$3:$A$1200,A477)+'Settings'!$B$13)*'Settings'!$B$14/100+'Settings'!$B$15,2),0)</f>
        <v>1.23</v>
      </c>
    </row>
    <row r="478">
      <c r="A478" s="3" t="inlineStr">
        <is>
          <t xml:space="preserve">#1352</t>
        </is>
      </c>
      <c r="B478" s="3" t="inlineStr">
        <is>
          <t xml:space="preserve">2026-03-14</t>
        </is>
      </c>
      <c r="C478" s="3" t="inlineStr">
        <is>
          <t xml:space="preserve">SKU-D</t>
        </is>
      </c>
      <c r="D478" s="3" t="inlineStr">
        <is>
          <t xml:space="preserve">Daily Duo</t>
        </is>
      </c>
      <c r="E478" s="6">
        <f>IF('Settings'!$B$11="Scenario",IFERROR(INDEX('Catalogue'!$E$3:$E$100,MATCH(C478,'Catalogue'!$B$3:$B$100,0)),F478),F478)</f>
        <v>79</v>
      </c>
      <c r="F478" s="8">
        <v>79</v>
      </c>
      <c r="G478" s="3">
        <v>1</v>
      </c>
      <c r="H478" s="6">
        <f>IF('Settings'!$B$11="Scenario",ROUND(E478*G478*IFERROR(SUMIF('Pricing &amp; promotions'!$A$6:$A$8,L478,'Pricing &amp; promotions'!$B$6:$B$8)/100,0),2),J478)</f>
        <v>0.0</v>
      </c>
      <c r="I478" s="6">
        <f>ROUND((E478*G478-H478)/IF(OR(K478=TRUE,K478="TRUE",K478="YES",K478=1),1+'Settings'!$B$6/100,1),2)</f>
        <v>65.29</v>
      </c>
      <c r="J478" s="8">
        <v>0.0</v>
      </c>
      <c r="K478" s="3" t="inlineStr">
        <is>
          <t xml:space="preserve">TRUE</t>
        </is>
      </c>
      <c r="L478" s="3"/>
      <c r="M478" s="6">
        <f>ROUND(E478*G478-H478,2)</f>
        <v>79.0</v>
      </c>
      <c r="N478" s="5">
        <f>IF(COUNTIF($A$3:A478,A478)=1,1,0)</f>
        <v>1</v>
      </c>
      <c r="O478" s="6">
        <f>IF(N478=1,ROUND((SUMIFS($M$3:$M$1200,$A$3:$A$1200,A478)+'Settings'!$B$13)*'Settings'!$B$14/100+'Settings'!$B$15,2),0)</f>
        <v>5.2</v>
      </c>
    </row>
    <row r="479">
      <c r="A479" s="3" t="inlineStr">
        <is>
          <t xml:space="preserve">#1352</t>
        </is>
      </c>
      <c r="B479" s="3" t="inlineStr">
        <is>
          <t xml:space="preserve">2026-03-14</t>
        </is>
      </c>
      <c r="C479" s="3" t="inlineStr">
        <is>
          <t xml:space="preserve">SKU-E</t>
        </is>
      </c>
      <c r="D479" s="3" t="inlineStr">
        <is>
          <t xml:space="preserve">Complete Ritual</t>
        </is>
      </c>
      <c r="E479" s="6">
        <f>IF('Settings'!$B$11="Scenario",IFERROR(INDEX('Catalogue'!$E$3:$E$100,MATCH(C479,'Catalogue'!$B$3:$B$100,0)),F479),F479)</f>
        <v>89</v>
      </c>
      <c r="F479" s="8">
        <v>89</v>
      </c>
      <c r="G479" s="3">
        <v>2</v>
      </c>
      <c r="H479" s="6">
        <f>IF('Settings'!$B$11="Scenario",ROUND(E479*G479*IFERROR(SUMIF('Pricing &amp; promotions'!$A$6:$A$8,L479,'Pricing &amp; promotions'!$B$6:$B$8)/100,0),2),J479)</f>
        <v>0.0</v>
      </c>
      <c r="I479" s="6">
        <f>ROUND((E479*G479-H479)/IF(OR(K479=TRUE,K479="TRUE",K479="YES",K479=1),1+'Settings'!$B$6/100,1),2)</f>
        <v>147.11</v>
      </c>
      <c r="J479" s="8">
        <v>0.0</v>
      </c>
      <c r="K479" s="3" t="inlineStr">
        <is>
          <t xml:space="preserve">TRUE</t>
        </is>
      </c>
      <c r="L479" s="3"/>
      <c r="M479" s="6">
        <f>ROUND(E479*G479-H479,2)</f>
        <v>178.0</v>
      </c>
      <c r="N479" s="5">
        <f>IF(COUNTIF($A$3:A479,A479)=1,1,0)</f>
        <v>0</v>
      </c>
      <c r="O479" s="6">
        <f>IF(N479=1,ROUND((SUMIFS($M$3:$M$1200,$A$3:$A$1200,A479)+'Settings'!$B$13)*'Settings'!$B$14/100+'Settings'!$B$15,2),0)</f>
        <v>0</v>
      </c>
    </row>
    <row r="480">
      <c r="A480" s="3" t="inlineStr">
        <is>
          <t xml:space="preserve">#1352</t>
        </is>
      </c>
      <c r="B480" s="3" t="inlineStr">
        <is>
          <t xml:space="preserve">2026-03-14</t>
        </is>
      </c>
      <c r="C480" s="3" t="inlineStr">
        <is>
          <t xml:space="preserve">SKU-A</t>
        </is>
      </c>
      <c r="D480" s="3" t="inlineStr">
        <is>
          <t xml:space="preserve">Renewal Serum</t>
        </is>
      </c>
      <c r="E480" s="6">
        <f>IF('Settings'!$B$11="Scenario",IFERROR(INDEX('Catalogue'!$E$3:$E$100,MATCH(C480,'Catalogue'!$B$3:$B$100,0)),F480),F480)</f>
        <v>69.9</v>
      </c>
      <c r="F480" s="8">
        <v>69.9</v>
      </c>
      <c r="G480" s="3">
        <v>1</v>
      </c>
      <c r="H480" s="6">
        <f>IF('Settings'!$B$11="Scenario",ROUND(E480*G480*IFERROR(SUMIF('Pricing &amp; promotions'!$A$6:$A$8,L480,'Pricing &amp; promotions'!$B$6:$B$8)/100,0),2),J480)</f>
        <v>0.0</v>
      </c>
      <c r="I480" s="6">
        <f>ROUND((E480*G480-H480)/IF(OR(K480=TRUE,K480="TRUE",K480="YES",K480=1),1+'Settings'!$B$6/100,1),2)</f>
        <v>57.77</v>
      </c>
      <c r="J480" s="8">
        <v>0.0</v>
      </c>
      <c r="K480" s="3" t="inlineStr">
        <is>
          <t xml:space="preserve">TRUE</t>
        </is>
      </c>
      <c r="L480" s="3"/>
      <c r="M480" s="6">
        <f>ROUND(E480*G480-H480,2)</f>
        <v>69.9</v>
      </c>
      <c r="N480" s="5">
        <f>IF(COUNTIF($A$3:A480,A480)=1,1,0)</f>
        <v>0</v>
      </c>
      <c r="O480" s="6">
        <f>IF(N480=1,ROUND((SUMIFS($M$3:$M$1200,$A$3:$A$1200,A480)+'Settings'!$B$13)*'Settings'!$B$14/100+'Settings'!$B$15,2),0)</f>
        <v>0</v>
      </c>
    </row>
    <row r="481">
      <c r="A481" s="3" t="inlineStr">
        <is>
          <t xml:space="preserve">#1353</t>
        </is>
      </c>
      <c r="B481" s="3" t="inlineStr">
        <is>
          <t xml:space="preserve">2026-03-14</t>
        </is>
      </c>
      <c r="C481" s="3" t="inlineStr">
        <is>
          <t xml:space="preserve">SKU-C</t>
        </is>
      </c>
      <c r="D481" s="3" t="inlineStr">
        <is>
          <t xml:space="preserve">Contour Stone</t>
        </is>
      </c>
      <c r="E481" s="6">
        <f>IF('Settings'!$B$11="Scenario",IFERROR(INDEX('Catalogue'!$E$3:$E$100,MATCH(C481,'Catalogue'!$B$3:$B$100,0)),F481),F481)</f>
        <v>29</v>
      </c>
      <c r="F481" s="8">
        <v>29</v>
      </c>
      <c r="G481" s="3">
        <v>1</v>
      </c>
      <c r="H481" s="6">
        <f>IF('Settings'!$B$11="Scenario",ROUND(E481*G481*IFERROR(SUMIF('Pricing &amp; promotions'!$A$6:$A$8,L481,'Pricing &amp; promotions'!$B$6:$B$8)/100,0),2),J481)</f>
        <v>4.35</v>
      </c>
      <c r="I481" s="6">
        <f>ROUND((E481*G481-H481)/IF(OR(K481=TRUE,K481="TRUE",K481="YES",K481=1),1+'Settings'!$B$6/100,1),2)</f>
        <v>20.37</v>
      </c>
      <c r="J481" s="8">
        <v>4.35</v>
      </c>
      <c r="K481" s="3" t="inlineStr">
        <is>
          <t xml:space="preserve">TRUE</t>
        </is>
      </c>
      <c r="L481" s="3" t="inlineStr">
        <is>
          <t xml:space="preserve">SUMMER15</t>
        </is>
      </c>
      <c r="M481" s="6">
        <f>ROUND(E481*G481-H481,2)</f>
        <v>24.65</v>
      </c>
      <c r="N481" s="5">
        <f>IF(COUNTIF($A$3:A481,A481)=1,1,0)</f>
        <v>1</v>
      </c>
      <c r="O481" s="6">
        <f>IF(N481=1,ROUND((SUMIFS($M$3:$M$1200,$A$3:$A$1200,A481)+'Settings'!$B$13)*'Settings'!$B$14/100+'Settings'!$B$15,2),0)</f>
        <v>0.66</v>
      </c>
    </row>
    <row r="482">
      <c r="A482" s="3" t="inlineStr">
        <is>
          <t xml:space="preserve">#1354</t>
        </is>
      </c>
      <c r="B482" s="3" t="inlineStr">
        <is>
          <t xml:space="preserve">2026-03-15</t>
        </is>
      </c>
      <c r="C482" s="3" t="inlineStr">
        <is>
          <t xml:space="preserve">SKU-E</t>
        </is>
      </c>
      <c r="D482" s="3" t="inlineStr">
        <is>
          <t xml:space="preserve">Complete Ritual</t>
        </is>
      </c>
      <c r="E482" s="6">
        <f>IF('Settings'!$B$11="Scenario",IFERROR(INDEX('Catalogue'!$E$3:$E$100,MATCH(C482,'Catalogue'!$B$3:$B$100,0)),F482),F482)</f>
        <v>89</v>
      </c>
      <c r="F482" s="8">
        <v>89</v>
      </c>
      <c r="G482" s="3">
        <v>2</v>
      </c>
      <c r="H482" s="6">
        <f>IF('Settings'!$B$11="Scenario",ROUND(E482*G482*IFERROR(SUMIF('Pricing &amp; promotions'!$A$6:$A$8,L482,'Pricing &amp; promotions'!$B$6:$B$8)/100,0),2),J482)</f>
        <v>26.7</v>
      </c>
      <c r="I482" s="6">
        <f>ROUND((E482*G482-H482)/IF(OR(K482=TRUE,K482="TRUE",K482="YES",K482=1),1+'Settings'!$B$6/100,1),2)</f>
        <v>125.04</v>
      </c>
      <c r="J482" s="8">
        <v>26.7</v>
      </c>
      <c r="K482" s="3" t="inlineStr">
        <is>
          <t xml:space="preserve">TRUE</t>
        </is>
      </c>
      <c r="L482" s="3" t="inlineStr">
        <is>
          <t xml:space="preserve">SUMMER15</t>
        </is>
      </c>
      <c r="M482" s="6">
        <f>ROUND(E482*G482-H482,2)</f>
        <v>151.3</v>
      </c>
      <c r="N482" s="5">
        <f>IF(COUNTIF($A$3:A482,A482)=1,1,0)</f>
        <v>1</v>
      </c>
      <c r="O482" s="6">
        <f>IF(N482=1,ROUND((SUMIFS($M$3:$M$1200,$A$3:$A$1200,A482)+'Settings'!$B$13)*'Settings'!$B$14/100+'Settings'!$B$15,2),0)</f>
        <v>3.45</v>
      </c>
    </row>
    <row r="483">
      <c r="A483" s="3" t="inlineStr">
        <is>
          <t xml:space="preserve">#1354</t>
        </is>
      </c>
      <c r="B483" s="3" t="inlineStr">
        <is>
          <t xml:space="preserve">2026-03-15</t>
        </is>
      </c>
      <c r="C483" s="3" t="inlineStr">
        <is>
          <t xml:space="preserve">SKU-A</t>
        </is>
      </c>
      <c r="D483" s="3" t="inlineStr">
        <is>
          <t xml:space="preserve">Renewal Serum</t>
        </is>
      </c>
      <c r="E483" s="6">
        <f>IF('Settings'!$B$11="Scenario",IFERROR(INDEX('Catalogue'!$E$3:$E$100,MATCH(C483,'Catalogue'!$B$3:$B$100,0)),F483),F483)</f>
        <v>69.9</v>
      </c>
      <c r="F483" s="8">
        <v>69.9</v>
      </c>
      <c r="G483" s="3">
        <v>1</v>
      </c>
      <c r="H483" s="6">
        <f>IF('Settings'!$B$11="Scenario",ROUND(E483*G483*IFERROR(SUMIF('Pricing &amp; promotions'!$A$6:$A$8,L483,'Pricing &amp; promotions'!$B$6:$B$8)/100,0),2),J483)</f>
        <v>10.49</v>
      </c>
      <c r="I483" s="6">
        <f>ROUND((E483*G483-H483)/IF(OR(K483=TRUE,K483="TRUE",K483="YES",K483=1),1+'Settings'!$B$6/100,1),2)</f>
        <v>49.1</v>
      </c>
      <c r="J483" s="8">
        <v>10.49</v>
      </c>
      <c r="K483" s="3" t="inlineStr">
        <is>
          <t xml:space="preserve">TRUE</t>
        </is>
      </c>
      <c r="L483" s="3" t="inlineStr">
        <is>
          <t xml:space="preserve">SUMMER15</t>
        </is>
      </c>
      <c r="M483" s="6">
        <f>ROUND(E483*G483-H483,2)</f>
        <v>59.41</v>
      </c>
      <c r="N483" s="5">
        <f>IF(COUNTIF($A$3:A483,A483)=1,1,0)</f>
        <v>0</v>
      </c>
      <c r="O483" s="6">
        <f>IF(N483=1,ROUND((SUMIFS($M$3:$M$1200,$A$3:$A$1200,A483)+'Settings'!$B$13)*'Settings'!$B$14/100+'Settings'!$B$15,2),0)</f>
        <v>0</v>
      </c>
    </row>
    <row r="484">
      <c r="A484" s="3" t="inlineStr">
        <is>
          <t xml:space="preserve">#1355</t>
        </is>
      </c>
      <c r="B484" s="3" t="inlineStr">
        <is>
          <t xml:space="preserve">2026-03-15</t>
        </is>
      </c>
      <c r="C484" s="3" t="inlineStr">
        <is>
          <t xml:space="preserve">SKU-E</t>
        </is>
      </c>
      <c r="D484" s="3" t="inlineStr">
        <is>
          <t xml:space="preserve">Complete Ritual</t>
        </is>
      </c>
      <c r="E484" s="6">
        <f>IF('Settings'!$B$11="Scenario",IFERROR(INDEX('Catalogue'!$E$3:$E$100,MATCH(C484,'Catalogue'!$B$3:$B$100,0)),F484),F484)</f>
        <v>89</v>
      </c>
      <c r="F484" s="8">
        <v>89</v>
      </c>
      <c r="G484" s="3">
        <v>1</v>
      </c>
      <c r="H484" s="6">
        <f>IF('Settings'!$B$11="Scenario",ROUND(E484*G484*IFERROR(SUMIF('Pricing &amp; promotions'!$A$6:$A$8,L484,'Pricing &amp; promotions'!$B$6:$B$8)/100,0),2),J484)</f>
        <v>0.0</v>
      </c>
      <c r="I484" s="6">
        <f>ROUND((E484*G484-H484)/IF(OR(K484=TRUE,K484="TRUE",K484="YES",K484=1),1+'Settings'!$B$6/100,1),2)</f>
        <v>73.55</v>
      </c>
      <c r="J484" s="8">
        <v>0.0</v>
      </c>
      <c r="K484" s="3" t="inlineStr">
        <is>
          <t xml:space="preserve">TRUE</t>
        </is>
      </c>
      <c r="L484" s="3"/>
      <c r="M484" s="6">
        <f>ROUND(E484*G484-H484,2)</f>
        <v>89.0</v>
      </c>
      <c r="N484" s="5">
        <f>IF(COUNTIF($A$3:A484,A484)=1,1,0)</f>
        <v>1</v>
      </c>
      <c r="O484" s="6">
        <f>IF(N484=1,ROUND((SUMIFS($M$3:$M$1200,$A$3:$A$1200,A484)+'Settings'!$B$13)*'Settings'!$B$14/100+'Settings'!$B$15,2),0)</f>
        <v>2.68</v>
      </c>
    </row>
    <row r="485">
      <c r="A485" s="3" t="inlineStr">
        <is>
          <t xml:space="preserve">#1355</t>
        </is>
      </c>
      <c r="B485" s="3" t="inlineStr">
        <is>
          <t xml:space="preserve">2026-03-15</t>
        </is>
      </c>
      <c r="C485" s="3" t="inlineStr">
        <is>
          <t xml:space="preserve">SKU-A</t>
        </is>
      </c>
      <c r="D485" s="3" t="inlineStr">
        <is>
          <t xml:space="preserve">Renewal Serum</t>
        </is>
      </c>
      <c r="E485" s="6">
        <f>IF('Settings'!$B$11="Scenario",IFERROR(INDEX('Catalogue'!$E$3:$E$100,MATCH(C485,'Catalogue'!$B$3:$B$100,0)),F485),F485)</f>
        <v>69.9</v>
      </c>
      <c r="F485" s="8">
        <v>69.9</v>
      </c>
      <c r="G485" s="3">
        <v>1</v>
      </c>
      <c r="H485" s="6">
        <f>IF('Settings'!$B$11="Scenario",ROUND(E485*G485*IFERROR(SUMIF('Pricing &amp; promotions'!$A$6:$A$8,L485,'Pricing &amp; promotions'!$B$6:$B$8)/100,0),2),J485)</f>
        <v>0.0</v>
      </c>
      <c r="I485" s="6">
        <f>ROUND((E485*G485-H485)/IF(OR(K485=TRUE,K485="TRUE",K485="YES",K485=1),1+'Settings'!$B$6/100,1),2)</f>
        <v>57.77</v>
      </c>
      <c r="J485" s="8">
        <v>0.0</v>
      </c>
      <c r="K485" s="3" t="inlineStr">
        <is>
          <t xml:space="preserve">TRUE</t>
        </is>
      </c>
      <c r="L485" s="3"/>
      <c r="M485" s="6">
        <f>ROUND(E485*G485-H485,2)</f>
        <v>69.9</v>
      </c>
      <c r="N485" s="5">
        <f>IF(COUNTIF($A$3:A485,A485)=1,1,0)</f>
        <v>0</v>
      </c>
      <c r="O485" s="6">
        <f>IF(N485=1,ROUND((SUMIFS($M$3:$M$1200,$A$3:$A$1200,A485)+'Settings'!$B$13)*'Settings'!$B$14/100+'Settings'!$B$15,2),0)</f>
        <v>0</v>
      </c>
    </row>
    <row r="486">
      <c r="A486" s="3" t="inlineStr">
        <is>
          <t xml:space="preserve">#1356</t>
        </is>
      </c>
      <c r="B486" s="3" t="inlineStr">
        <is>
          <t xml:space="preserve">2026-03-15</t>
        </is>
      </c>
      <c r="C486" s="3" t="inlineStr">
        <is>
          <t xml:space="preserve">SKU-D</t>
        </is>
      </c>
      <c r="D486" s="3" t="inlineStr">
        <is>
          <t xml:space="preserve">Daily Duo</t>
        </is>
      </c>
      <c r="E486" s="6">
        <f>IF('Settings'!$B$11="Scenario",IFERROR(INDEX('Catalogue'!$E$3:$E$100,MATCH(C486,'Catalogue'!$B$3:$B$100,0)),F486),F486)</f>
        <v>79</v>
      </c>
      <c r="F486" s="8">
        <v>79</v>
      </c>
      <c r="G486" s="3">
        <v>1</v>
      </c>
      <c r="H486" s="6">
        <f>IF('Settings'!$B$11="Scenario",ROUND(E486*G486*IFERROR(SUMIF('Pricing &amp; promotions'!$A$6:$A$8,L486,'Pricing &amp; promotions'!$B$6:$B$8)/100,0),2),J486)</f>
        <v>11.85</v>
      </c>
      <c r="I486" s="6">
        <f>ROUND((E486*G486-H486)/IF(OR(K486=TRUE,K486="TRUE",K486="YES",K486=1),1+'Settings'!$B$6/100,1),2)</f>
        <v>55.5</v>
      </c>
      <c r="J486" s="8">
        <v>11.85</v>
      </c>
      <c r="K486" s="3" t="inlineStr">
        <is>
          <t xml:space="preserve">TRUE</t>
        </is>
      </c>
      <c r="L486" s="3" t="inlineStr">
        <is>
          <t xml:space="preserve">SUMMER15</t>
        </is>
      </c>
      <c r="M486" s="6">
        <f>ROUND(E486*G486-H486,2)</f>
        <v>67.15</v>
      </c>
      <c r="N486" s="5">
        <f>IF(COUNTIF($A$3:A486,A486)=1,1,0)</f>
        <v>1</v>
      </c>
      <c r="O486" s="6">
        <f>IF(N486=1,ROUND((SUMIFS($M$3:$M$1200,$A$3:$A$1200,A486)+'Settings'!$B$13)*'Settings'!$B$14/100+'Settings'!$B$15,2),0)</f>
        <v>1.3</v>
      </c>
    </row>
    <row r="487">
      <c r="A487" s="3" t="inlineStr">
        <is>
          <t xml:space="preserve">#1357</t>
        </is>
      </c>
      <c r="B487" s="3" t="inlineStr">
        <is>
          <t xml:space="preserve">2026-03-16</t>
        </is>
      </c>
      <c r="C487" s="3" t="inlineStr">
        <is>
          <t xml:space="preserve">SKU-A</t>
        </is>
      </c>
      <c r="D487" s="3" t="inlineStr">
        <is>
          <t xml:space="preserve">Renewal Serum</t>
        </is>
      </c>
      <c r="E487" s="6">
        <f>IF('Settings'!$B$11="Scenario",IFERROR(INDEX('Catalogue'!$E$3:$E$100,MATCH(C487,'Catalogue'!$B$3:$B$100,0)),F487),F487)</f>
        <v>69.9</v>
      </c>
      <c r="F487" s="8">
        <v>69.9</v>
      </c>
      <c r="G487" s="3">
        <v>1</v>
      </c>
      <c r="H487" s="6">
        <f>IF('Settings'!$B$11="Scenario",ROUND(E487*G487*IFERROR(SUMIF('Pricing &amp; promotions'!$A$6:$A$8,L487,'Pricing &amp; promotions'!$B$6:$B$8)/100,0),2),J487)</f>
        <v>0.0</v>
      </c>
      <c r="I487" s="6">
        <f>ROUND((E487*G487-H487)/IF(OR(K487=TRUE,K487="TRUE",K487="YES",K487=1),1+'Settings'!$B$6/100,1),2)</f>
        <v>57.77</v>
      </c>
      <c r="J487" s="8">
        <v>0.0</v>
      </c>
      <c r="K487" s="3" t="inlineStr">
        <is>
          <t xml:space="preserve">TRUE</t>
        </is>
      </c>
      <c r="L487" s="3"/>
      <c r="M487" s="6">
        <f>ROUND(E487*G487-H487,2)</f>
        <v>69.9</v>
      </c>
      <c r="N487" s="5">
        <f>IF(COUNTIF($A$3:A487,A487)=1,1,0)</f>
        <v>1</v>
      </c>
      <c r="O487" s="6">
        <f>IF(N487=1,ROUND((SUMIFS($M$3:$M$1200,$A$3:$A$1200,A487)+'Settings'!$B$13)*'Settings'!$B$14/100+'Settings'!$B$15,2),0)</f>
        <v>1.34</v>
      </c>
    </row>
    <row r="488">
      <c r="A488" s="3" t="inlineStr">
        <is>
          <t xml:space="preserve">#1358</t>
        </is>
      </c>
      <c r="B488" s="3" t="inlineStr">
        <is>
          <t xml:space="preserve">2026-03-16</t>
        </is>
      </c>
      <c r="C488" s="3" t="inlineStr">
        <is>
          <t xml:space="preserve">SKU-A</t>
        </is>
      </c>
      <c r="D488" s="3" t="inlineStr">
        <is>
          <t xml:space="preserve">Renewal Serum</t>
        </is>
      </c>
      <c r="E488" s="6">
        <f>IF('Settings'!$B$11="Scenario",IFERROR(INDEX('Catalogue'!$E$3:$E$100,MATCH(C488,'Catalogue'!$B$3:$B$100,0)),F488),F488)</f>
        <v>69.9</v>
      </c>
      <c r="F488" s="8">
        <v>69.9</v>
      </c>
      <c r="G488" s="3">
        <v>2</v>
      </c>
      <c r="H488" s="6">
        <f>IF('Settings'!$B$11="Scenario",ROUND(E488*G488*IFERROR(SUMIF('Pricing &amp; promotions'!$A$6:$A$8,L488,'Pricing &amp; promotions'!$B$6:$B$8)/100,0),2),J488)</f>
        <v>0.0</v>
      </c>
      <c r="I488" s="6">
        <f>ROUND((E488*G488-H488)/IF(OR(K488=TRUE,K488="TRUE",K488="YES",K488=1),1+'Settings'!$B$6/100,1),2)</f>
        <v>115.54</v>
      </c>
      <c r="J488" s="8">
        <v>0.0</v>
      </c>
      <c r="K488" s="3" t="inlineStr">
        <is>
          <t xml:space="preserve">TRUE</t>
        </is>
      </c>
      <c r="L488" s="3"/>
      <c r="M488" s="6">
        <f>ROUND(E488*G488-H488,2)</f>
        <v>139.8</v>
      </c>
      <c r="N488" s="5">
        <f>IF(COUNTIF($A$3:A488,A488)=1,1,0)</f>
        <v>1</v>
      </c>
      <c r="O488" s="6">
        <f>IF(N488=1,ROUND((SUMIFS($M$3:$M$1200,$A$3:$A$1200,A488)+'Settings'!$B$13)*'Settings'!$B$14/100+'Settings'!$B$15,2),0)</f>
        <v>4.76</v>
      </c>
    </row>
    <row r="489">
      <c r="A489" s="3" t="inlineStr">
        <is>
          <t xml:space="preserve">#1358</t>
        </is>
      </c>
      <c r="B489" s="3" t="inlineStr">
        <is>
          <t xml:space="preserve">2026-03-16</t>
        </is>
      </c>
      <c r="C489" s="3" t="inlineStr">
        <is>
          <t xml:space="preserve">SKU-D</t>
        </is>
      </c>
      <c r="D489" s="3" t="inlineStr">
        <is>
          <t xml:space="preserve">Daily Duo</t>
        </is>
      </c>
      <c r="E489" s="6">
        <f>IF('Settings'!$B$11="Scenario",IFERROR(INDEX('Catalogue'!$E$3:$E$100,MATCH(C489,'Catalogue'!$B$3:$B$100,0)),F489),F489)</f>
        <v>79</v>
      </c>
      <c r="F489" s="8">
        <v>79</v>
      </c>
      <c r="G489" s="3">
        <v>2</v>
      </c>
      <c r="H489" s="6">
        <f>IF('Settings'!$B$11="Scenario",ROUND(E489*G489*IFERROR(SUMIF('Pricing &amp; promotions'!$A$6:$A$8,L489,'Pricing &amp; promotions'!$B$6:$B$8)/100,0),2),J489)</f>
        <v>0.0</v>
      </c>
      <c r="I489" s="6">
        <f>ROUND((E489*G489-H489)/IF(OR(K489=TRUE,K489="TRUE",K489="YES",K489=1),1+'Settings'!$B$6/100,1),2)</f>
        <v>130.58</v>
      </c>
      <c r="J489" s="8">
        <v>0.0</v>
      </c>
      <c r="K489" s="3" t="inlineStr">
        <is>
          <t xml:space="preserve">TRUE</t>
        </is>
      </c>
      <c r="L489" s="3"/>
      <c r="M489" s="6">
        <f>ROUND(E489*G489-H489,2)</f>
        <v>158.0</v>
      </c>
      <c r="N489" s="5">
        <f>IF(COUNTIF($A$3:A489,A489)=1,1,0)</f>
        <v>0</v>
      </c>
      <c r="O489" s="6">
        <f>IF(N489=1,ROUND((SUMIFS($M$3:$M$1200,$A$3:$A$1200,A489)+'Settings'!$B$13)*'Settings'!$B$14/100+'Settings'!$B$15,2),0)</f>
        <v>0</v>
      </c>
    </row>
    <row r="490">
      <c r="A490" s="3" t="inlineStr">
        <is>
          <t xml:space="preserve">#1359</t>
        </is>
      </c>
      <c r="B490" s="3" t="inlineStr">
        <is>
          <t xml:space="preserve">2026-03-17</t>
        </is>
      </c>
      <c r="C490" s="3" t="inlineStr">
        <is>
          <t xml:space="preserve">SKU-A</t>
        </is>
      </c>
      <c r="D490" s="3" t="inlineStr">
        <is>
          <t xml:space="preserve">Renewal Serum</t>
        </is>
      </c>
      <c r="E490" s="6">
        <f>IF('Settings'!$B$11="Scenario",IFERROR(INDEX('Catalogue'!$E$3:$E$100,MATCH(C490,'Catalogue'!$B$3:$B$100,0)),F490),F490)</f>
        <v>69.9</v>
      </c>
      <c r="F490" s="8">
        <v>69.9</v>
      </c>
      <c r="G490" s="3">
        <v>1</v>
      </c>
      <c r="H490" s="6">
        <f>IF('Settings'!$B$11="Scenario",ROUND(E490*G490*IFERROR(SUMIF('Pricing &amp; promotions'!$A$6:$A$8,L490,'Pricing &amp; promotions'!$B$6:$B$8)/100,0),2),J490)</f>
        <v>0.0</v>
      </c>
      <c r="I490" s="6">
        <f>ROUND((E490*G490-H490)/IF(OR(K490=TRUE,K490="TRUE",K490="YES",K490=1),1+'Settings'!$B$6/100,1),2)</f>
        <v>57.77</v>
      </c>
      <c r="J490" s="8">
        <v>0.0</v>
      </c>
      <c r="K490" s="3" t="inlineStr">
        <is>
          <t xml:space="preserve">TRUE</t>
        </is>
      </c>
      <c r="L490" s="3"/>
      <c r="M490" s="6">
        <f>ROUND(E490*G490-H490,2)</f>
        <v>69.9</v>
      </c>
      <c r="N490" s="5">
        <f>IF(COUNTIF($A$3:A490,A490)=1,1,0)</f>
        <v>1</v>
      </c>
      <c r="O490" s="6">
        <f>IF(N490=1,ROUND((SUMIFS($M$3:$M$1200,$A$3:$A$1200,A490)+'Settings'!$B$13)*'Settings'!$B$14/100+'Settings'!$B$15,2),0)</f>
        <v>5.2</v>
      </c>
    </row>
    <row r="491">
      <c r="A491" s="3" t="inlineStr">
        <is>
          <t xml:space="preserve">#1359</t>
        </is>
      </c>
      <c r="B491" s="3" t="inlineStr">
        <is>
          <t xml:space="preserve">2026-03-17</t>
        </is>
      </c>
      <c r="C491" s="3" t="inlineStr">
        <is>
          <t xml:space="preserve">SKU-D</t>
        </is>
      </c>
      <c r="D491" s="3" t="inlineStr">
        <is>
          <t xml:space="preserve">Daily Duo</t>
        </is>
      </c>
      <c r="E491" s="6">
        <f>IF('Settings'!$B$11="Scenario",IFERROR(INDEX('Catalogue'!$E$3:$E$100,MATCH(C491,'Catalogue'!$B$3:$B$100,0)),F491),F491)</f>
        <v>79</v>
      </c>
      <c r="F491" s="8">
        <v>79</v>
      </c>
      <c r="G491" s="3">
        <v>1</v>
      </c>
      <c r="H491" s="6">
        <f>IF('Settings'!$B$11="Scenario",ROUND(E491*G491*IFERROR(SUMIF('Pricing &amp; promotions'!$A$6:$A$8,L491,'Pricing &amp; promotions'!$B$6:$B$8)/100,0),2),J491)</f>
        <v>0.0</v>
      </c>
      <c r="I491" s="6">
        <f>ROUND((E491*G491-H491)/IF(OR(K491=TRUE,K491="TRUE",K491="YES",K491=1),1+'Settings'!$B$6/100,1),2)</f>
        <v>65.29</v>
      </c>
      <c r="J491" s="8">
        <v>0.0</v>
      </c>
      <c r="K491" s="3" t="inlineStr">
        <is>
          <t xml:space="preserve">TRUE</t>
        </is>
      </c>
      <c r="L491" s="3"/>
      <c r="M491" s="6">
        <f>ROUND(E491*G491-H491,2)</f>
        <v>79.0</v>
      </c>
      <c r="N491" s="5">
        <f>IF(COUNTIF($A$3:A491,A491)=1,1,0)</f>
        <v>0</v>
      </c>
      <c r="O491" s="6">
        <f>IF(N491=1,ROUND((SUMIFS($M$3:$M$1200,$A$3:$A$1200,A491)+'Settings'!$B$13)*'Settings'!$B$14/100+'Settings'!$B$15,2),0)</f>
        <v>0</v>
      </c>
    </row>
    <row r="492">
      <c r="A492" s="3" t="inlineStr">
        <is>
          <t xml:space="preserve">#1359</t>
        </is>
      </c>
      <c r="B492" s="3" t="inlineStr">
        <is>
          <t xml:space="preserve">2026-03-17</t>
        </is>
      </c>
      <c r="C492" s="3" t="inlineStr">
        <is>
          <t xml:space="preserve">SKU-E</t>
        </is>
      </c>
      <c r="D492" s="3" t="inlineStr">
        <is>
          <t xml:space="preserve">Complete Ritual</t>
        </is>
      </c>
      <c r="E492" s="6">
        <f>IF('Settings'!$B$11="Scenario",IFERROR(INDEX('Catalogue'!$E$3:$E$100,MATCH(C492,'Catalogue'!$B$3:$B$100,0)),F492),F492)</f>
        <v>89</v>
      </c>
      <c r="F492" s="8">
        <v>89</v>
      </c>
      <c r="G492" s="3">
        <v>2</v>
      </c>
      <c r="H492" s="6">
        <f>IF('Settings'!$B$11="Scenario",ROUND(E492*G492*IFERROR(SUMIF('Pricing &amp; promotions'!$A$6:$A$8,L492,'Pricing &amp; promotions'!$B$6:$B$8)/100,0),2),J492)</f>
        <v>0.0</v>
      </c>
      <c r="I492" s="6">
        <f>ROUND((E492*G492-H492)/IF(OR(K492=TRUE,K492="TRUE",K492="YES",K492=1),1+'Settings'!$B$6/100,1),2)</f>
        <v>147.11</v>
      </c>
      <c r="J492" s="8">
        <v>0.0</v>
      </c>
      <c r="K492" s="3" t="inlineStr">
        <is>
          <t xml:space="preserve">TRUE</t>
        </is>
      </c>
      <c r="L492" s="3"/>
      <c r="M492" s="6">
        <f>ROUND(E492*G492-H492,2)</f>
        <v>178.0</v>
      </c>
      <c r="N492" s="5">
        <f>IF(COUNTIF($A$3:A492,A492)=1,1,0)</f>
        <v>0</v>
      </c>
      <c r="O492" s="6">
        <f>IF(N492=1,ROUND((SUMIFS($M$3:$M$1200,$A$3:$A$1200,A492)+'Settings'!$B$13)*'Settings'!$B$14/100+'Settings'!$B$15,2),0)</f>
        <v>0</v>
      </c>
    </row>
    <row r="493">
      <c r="A493" s="3" t="inlineStr">
        <is>
          <t xml:space="preserve">#1360</t>
        </is>
      </c>
      <c r="B493" s="3" t="inlineStr">
        <is>
          <t xml:space="preserve">2026-03-17</t>
        </is>
      </c>
      <c r="C493" s="3" t="inlineStr">
        <is>
          <t xml:space="preserve">SKU-D</t>
        </is>
      </c>
      <c r="D493" s="3" t="inlineStr">
        <is>
          <t xml:space="preserve">Daily Duo</t>
        </is>
      </c>
      <c r="E493" s="6">
        <f>IF('Settings'!$B$11="Scenario",IFERROR(INDEX('Catalogue'!$E$3:$E$100,MATCH(C493,'Catalogue'!$B$3:$B$100,0)),F493),F493)</f>
        <v>79</v>
      </c>
      <c r="F493" s="8">
        <v>79</v>
      </c>
      <c r="G493" s="3">
        <v>1</v>
      </c>
      <c r="H493" s="6">
        <f>IF('Settings'!$B$11="Scenario",ROUND(E493*G493*IFERROR(SUMIF('Pricing &amp; promotions'!$A$6:$A$8,L493,'Pricing &amp; promotions'!$B$6:$B$8)/100,0),2),J493)</f>
        <v>0.0</v>
      </c>
      <c r="I493" s="6">
        <f>ROUND((E493*G493-H493)/IF(OR(K493=TRUE,K493="TRUE",K493="YES",K493=1),1+'Settings'!$B$6/100,1),2)</f>
        <v>65.29</v>
      </c>
      <c r="J493" s="8">
        <v>0.0</v>
      </c>
      <c r="K493" s="3" t="inlineStr">
        <is>
          <t xml:space="preserve">TRUE</t>
        </is>
      </c>
      <c r="L493" s="3"/>
      <c r="M493" s="6">
        <f>ROUND(E493*G493-H493,2)</f>
        <v>79.0</v>
      </c>
      <c r="N493" s="5">
        <f>IF(COUNTIF($A$3:A493,A493)=1,1,0)</f>
        <v>1</v>
      </c>
      <c r="O493" s="6">
        <f>IF(N493=1,ROUND((SUMIFS($M$3:$M$1200,$A$3:$A$1200,A493)+'Settings'!$B$13)*'Settings'!$B$14/100+'Settings'!$B$15,2),0)</f>
        <v>1.48</v>
      </c>
    </row>
    <row r="494">
      <c r="A494" s="3" t="inlineStr">
        <is>
          <t xml:space="preserve">#1361</t>
        </is>
      </c>
      <c r="B494" s="3" t="inlineStr">
        <is>
          <t xml:space="preserve">2026-03-17</t>
        </is>
      </c>
      <c r="C494" s="3" t="inlineStr">
        <is>
          <t xml:space="preserve">SKU-B</t>
        </is>
      </c>
      <c r="D494" s="3" t="inlineStr">
        <is>
          <t xml:space="preserve">Barrier Balm</t>
        </is>
      </c>
      <c r="E494" s="6">
        <f>IF('Settings'!$B$11="Scenario",IFERROR(INDEX('Catalogue'!$E$3:$E$100,MATCH(C494,'Catalogue'!$B$3:$B$100,0)),F494),F494)</f>
        <v>19</v>
      </c>
      <c r="F494" s="8">
        <v>19</v>
      </c>
      <c r="G494" s="3">
        <v>1</v>
      </c>
      <c r="H494" s="6">
        <f>IF('Settings'!$B$11="Scenario",ROUND(E494*G494*IFERROR(SUMIF('Pricing &amp; promotions'!$A$6:$A$8,L494,'Pricing &amp; promotions'!$B$6:$B$8)/100,0),2),J494)</f>
        <v>0.0</v>
      </c>
      <c r="I494" s="6">
        <f>ROUND((E494*G494-H494)/IF(OR(K494=TRUE,K494="TRUE",K494="YES",K494=1),1+'Settings'!$B$6/100,1),2)</f>
        <v>15.7</v>
      </c>
      <c r="J494" s="8">
        <v>0.0</v>
      </c>
      <c r="K494" s="3" t="inlineStr">
        <is>
          <t xml:space="preserve">TRUE</t>
        </is>
      </c>
      <c r="L494" s="3"/>
      <c r="M494" s="6">
        <f>ROUND(E494*G494-H494,2)</f>
        <v>19.0</v>
      </c>
      <c r="N494" s="5">
        <f>IF(COUNTIF($A$3:A494,A494)=1,1,0)</f>
        <v>1</v>
      </c>
      <c r="O494" s="6">
        <f>IF(N494=1,ROUND((SUMIFS($M$3:$M$1200,$A$3:$A$1200,A494)+'Settings'!$B$13)*'Settings'!$B$14/100+'Settings'!$B$15,2),0)</f>
        <v>0.58</v>
      </c>
    </row>
    <row r="495">
      <c r="A495" s="3" t="inlineStr">
        <is>
          <t xml:space="preserve">#1362</t>
        </is>
      </c>
      <c r="B495" s="3" t="inlineStr">
        <is>
          <t xml:space="preserve">2026-03-17</t>
        </is>
      </c>
      <c r="C495" s="3" t="inlineStr">
        <is>
          <t xml:space="preserve">SKU-B</t>
        </is>
      </c>
      <c r="D495" s="3" t="inlineStr">
        <is>
          <t xml:space="preserve">Barrier Balm</t>
        </is>
      </c>
      <c r="E495" s="6">
        <f>IF('Settings'!$B$11="Scenario",IFERROR(INDEX('Catalogue'!$E$3:$E$100,MATCH(C495,'Catalogue'!$B$3:$B$100,0)),F495),F495)</f>
        <v>19</v>
      </c>
      <c r="F495" s="8">
        <v>19</v>
      </c>
      <c r="G495" s="3">
        <v>1</v>
      </c>
      <c r="H495" s="6">
        <f>IF('Settings'!$B$11="Scenario",ROUND(E495*G495*IFERROR(SUMIF('Pricing &amp; promotions'!$A$6:$A$8,L495,'Pricing &amp; promotions'!$B$6:$B$8)/100,0),2),J495)</f>
        <v>0.0</v>
      </c>
      <c r="I495" s="6">
        <f>ROUND((E495*G495-H495)/IF(OR(K495=TRUE,K495="TRUE",K495="YES",K495=1),1+'Settings'!$B$6/100,1),2)</f>
        <v>15.7</v>
      </c>
      <c r="J495" s="8">
        <v>0.0</v>
      </c>
      <c r="K495" s="3" t="inlineStr">
        <is>
          <t xml:space="preserve">TRUE</t>
        </is>
      </c>
      <c r="L495" s="3"/>
      <c r="M495" s="6">
        <f>ROUND(E495*G495-H495,2)</f>
        <v>19.0</v>
      </c>
      <c r="N495" s="5">
        <f>IF(COUNTIF($A$3:A495,A495)=1,1,0)</f>
        <v>1</v>
      </c>
      <c r="O495" s="6">
        <f>IF(N495=1,ROUND((SUMIFS($M$3:$M$1200,$A$3:$A$1200,A495)+'Settings'!$B$13)*'Settings'!$B$14/100+'Settings'!$B$15,2),0)</f>
        <v>0.58</v>
      </c>
    </row>
    <row r="496">
      <c r="A496" s="3" t="inlineStr">
        <is>
          <t xml:space="preserve">#1363</t>
        </is>
      </c>
      <c r="B496" s="3" t="inlineStr">
        <is>
          <t xml:space="preserve">2026-03-17</t>
        </is>
      </c>
      <c r="C496" s="3" t="inlineStr">
        <is>
          <t xml:space="preserve">SKU-G</t>
        </is>
      </c>
      <c r="D496" s="3" t="inlineStr">
        <is>
          <t xml:space="preserve">Daily Reset Set</t>
        </is>
      </c>
      <c r="E496" s="6">
        <f>IF('Settings'!$B$11="Scenario",IFERROR(INDEX('Catalogue'!$E$3:$E$100,MATCH(C496,'Catalogue'!$B$3:$B$100,0)),F496),F496)</f>
        <v>69</v>
      </c>
      <c r="F496" s="8">
        <v>69</v>
      </c>
      <c r="G496" s="3">
        <v>1</v>
      </c>
      <c r="H496" s="6">
        <f>IF('Settings'!$B$11="Scenario",ROUND(E496*G496*IFERROR(SUMIF('Pricing &amp; promotions'!$A$6:$A$8,L496,'Pricing &amp; promotions'!$B$6:$B$8)/100,0),2),J496)</f>
        <v>0.0</v>
      </c>
      <c r="I496" s="6">
        <f>ROUND((E496*G496-H496)/IF(OR(K496=TRUE,K496="TRUE",K496="YES",K496=1),1+'Settings'!$B$6/100,1),2)</f>
        <v>57.02</v>
      </c>
      <c r="J496" s="8">
        <v>0.0</v>
      </c>
      <c r="K496" s="3" t="inlineStr">
        <is>
          <t xml:space="preserve">TRUE</t>
        </is>
      </c>
      <c r="L496" s="3"/>
      <c r="M496" s="6">
        <f>ROUND(E496*G496-H496,2)</f>
        <v>69.0</v>
      </c>
      <c r="N496" s="5">
        <f>IF(COUNTIF($A$3:A496,A496)=1,1,0)</f>
        <v>1</v>
      </c>
      <c r="O496" s="6">
        <f>IF(N496=1,ROUND((SUMIFS($M$3:$M$1200,$A$3:$A$1200,A496)+'Settings'!$B$13)*'Settings'!$B$14/100+'Settings'!$B$15,2),0)</f>
        <v>1.33</v>
      </c>
    </row>
    <row r="497">
      <c r="A497" s="3" t="inlineStr">
        <is>
          <t xml:space="preserve">#1364</t>
        </is>
      </c>
      <c r="B497" s="3" t="inlineStr">
        <is>
          <t xml:space="preserve">2026-03-18</t>
        </is>
      </c>
      <c r="C497" s="3" t="inlineStr">
        <is>
          <t xml:space="preserve">SKU-G</t>
        </is>
      </c>
      <c r="D497" s="3" t="inlineStr">
        <is>
          <t xml:space="preserve">Daily Reset Set</t>
        </is>
      </c>
      <c r="E497" s="6">
        <f>IF('Settings'!$B$11="Scenario",IFERROR(INDEX('Catalogue'!$E$3:$E$100,MATCH(C497,'Catalogue'!$B$3:$B$100,0)),F497),F497)</f>
        <v>69</v>
      </c>
      <c r="F497" s="8">
        <v>69</v>
      </c>
      <c r="G497" s="3">
        <v>1</v>
      </c>
      <c r="H497" s="6">
        <f>IF('Settings'!$B$11="Scenario",ROUND(E497*G497*IFERROR(SUMIF('Pricing &amp; promotions'!$A$6:$A$8,L497,'Pricing &amp; promotions'!$B$6:$B$8)/100,0),2),J497)</f>
        <v>0.0</v>
      </c>
      <c r="I497" s="6">
        <f>ROUND((E497*G497-H497)/IF(OR(K497=TRUE,K497="TRUE",K497="YES",K497=1),1+'Settings'!$B$6/100,1),2)</f>
        <v>57.02</v>
      </c>
      <c r="J497" s="8">
        <v>0.0</v>
      </c>
      <c r="K497" s="3" t="inlineStr">
        <is>
          <t xml:space="preserve">TRUE</t>
        </is>
      </c>
      <c r="L497" s="3"/>
      <c r="M497" s="6">
        <f>ROUND(E497*G497-H497,2)</f>
        <v>69.0</v>
      </c>
      <c r="N497" s="5">
        <f>IF(COUNTIF($A$3:A497,A497)=1,1,0)</f>
        <v>1</v>
      </c>
      <c r="O497" s="6">
        <f>IF(N497=1,ROUND((SUMIFS($M$3:$M$1200,$A$3:$A$1200,A497)+'Settings'!$B$13)*'Settings'!$B$14/100+'Settings'!$B$15,2),0)</f>
        <v>1.33</v>
      </c>
    </row>
    <row r="498">
      <c r="A498" s="3" t="inlineStr">
        <is>
          <t xml:space="preserve">#1365</t>
        </is>
      </c>
      <c r="B498" s="3" t="inlineStr">
        <is>
          <t xml:space="preserve">2026-03-19</t>
        </is>
      </c>
      <c r="C498" s="3" t="inlineStr">
        <is>
          <t xml:space="preserve">SKU-A</t>
        </is>
      </c>
      <c r="D498" s="3" t="inlineStr">
        <is>
          <t xml:space="preserve">Renewal Serum</t>
        </is>
      </c>
      <c r="E498" s="6">
        <f>IF('Settings'!$B$11="Scenario",IFERROR(INDEX('Catalogue'!$E$3:$E$100,MATCH(C498,'Catalogue'!$B$3:$B$100,0)),F498),F498)</f>
        <v>69.9</v>
      </c>
      <c r="F498" s="8">
        <v>69.9</v>
      </c>
      <c r="G498" s="3">
        <v>1</v>
      </c>
      <c r="H498" s="6">
        <f>IF('Settings'!$B$11="Scenario",ROUND(E498*G498*IFERROR(SUMIF('Pricing &amp; promotions'!$A$6:$A$8,L498,'Pricing &amp; promotions'!$B$6:$B$8)/100,0),2),J498)</f>
        <v>0.0</v>
      </c>
      <c r="I498" s="6">
        <f>ROUND((E498*G498-H498)/IF(OR(K498=TRUE,K498="TRUE",K498="YES",K498=1),1+'Settings'!$B$6/100,1),2)</f>
        <v>57.77</v>
      </c>
      <c r="J498" s="8">
        <v>0.0</v>
      </c>
      <c r="K498" s="3" t="inlineStr">
        <is>
          <t xml:space="preserve">TRUE</t>
        </is>
      </c>
      <c r="L498" s="3"/>
      <c r="M498" s="6">
        <f>ROUND(E498*G498-H498,2)</f>
        <v>69.9</v>
      </c>
      <c r="N498" s="5">
        <f>IF(COUNTIF($A$3:A498,A498)=1,1,0)</f>
        <v>1</v>
      </c>
      <c r="O498" s="6">
        <f>IF(N498=1,ROUND((SUMIFS($M$3:$M$1200,$A$3:$A$1200,A498)+'Settings'!$B$13)*'Settings'!$B$14/100+'Settings'!$B$15,2),0)</f>
        <v>1.34</v>
      </c>
    </row>
    <row r="499">
      <c r="A499" s="3" t="inlineStr">
        <is>
          <t xml:space="preserve">#1366</t>
        </is>
      </c>
      <c r="B499" s="3" t="inlineStr">
        <is>
          <t xml:space="preserve">2026-03-20</t>
        </is>
      </c>
      <c r="C499" s="3" t="inlineStr">
        <is>
          <t xml:space="preserve">SKU-E</t>
        </is>
      </c>
      <c r="D499" s="3" t="inlineStr">
        <is>
          <t xml:space="preserve">Complete Ritual</t>
        </is>
      </c>
      <c r="E499" s="6">
        <f>IF('Settings'!$B$11="Scenario",IFERROR(INDEX('Catalogue'!$E$3:$E$100,MATCH(C499,'Catalogue'!$B$3:$B$100,0)),F499),F499)</f>
        <v>89</v>
      </c>
      <c r="F499" s="8">
        <v>89</v>
      </c>
      <c r="G499" s="3">
        <v>1</v>
      </c>
      <c r="H499" s="6">
        <f>IF('Settings'!$B$11="Scenario",ROUND(E499*G499*IFERROR(SUMIF('Pricing &amp; promotions'!$A$6:$A$8,L499,'Pricing &amp; promotions'!$B$6:$B$8)/100,0),2),J499)</f>
        <v>13.35</v>
      </c>
      <c r="I499" s="6">
        <f>ROUND((E499*G499-H499)/IF(OR(K499=TRUE,K499="TRUE",K499="YES",K499=1),1+'Settings'!$B$6/100,1),2)</f>
        <v>62.52</v>
      </c>
      <c r="J499" s="8">
        <v>13.35</v>
      </c>
      <c r="K499" s="3" t="inlineStr">
        <is>
          <t xml:space="preserve">TRUE</t>
        </is>
      </c>
      <c r="L499" s="3" t="inlineStr">
        <is>
          <t xml:space="preserve">SUMMER15</t>
        </is>
      </c>
      <c r="M499" s="6">
        <f>ROUND(E499*G499-H499,2)</f>
        <v>75.65</v>
      </c>
      <c r="N499" s="5">
        <f>IF(COUNTIF($A$3:A499,A499)=1,1,0)</f>
        <v>1</v>
      </c>
      <c r="O499" s="6">
        <f>IF(N499=1,ROUND((SUMIFS($M$3:$M$1200,$A$3:$A$1200,A499)+'Settings'!$B$13)*'Settings'!$B$14/100+'Settings'!$B$15,2),0)</f>
        <v>1.43</v>
      </c>
    </row>
    <row r="500">
      <c r="A500" s="3" t="inlineStr">
        <is>
          <t xml:space="preserve">#1367</t>
        </is>
      </c>
      <c r="B500" s="3" t="inlineStr">
        <is>
          <t xml:space="preserve">2026-03-20</t>
        </is>
      </c>
      <c r="C500" s="3" t="inlineStr">
        <is>
          <t xml:space="preserve">SKU-B</t>
        </is>
      </c>
      <c r="D500" s="3" t="inlineStr">
        <is>
          <t xml:space="preserve">Barrier Balm</t>
        </is>
      </c>
      <c r="E500" s="6">
        <f>IF('Settings'!$B$11="Scenario",IFERROR(INDEX('Catalogue'!$E$3:$E$100,MATCH(C500,'Catalogue'!$B$3:$B$100,0)),F500),F500)</f>
        <v>19</v>
      </c>
      <c r="F500" s="8">
        <v>19</v>
      </c>
      <c r="G500" s="3">
        <v>1</v>
      </c>
      <c r="H500" s="6">
        <f>IF('Settings'!$B$11="Scenario",ROUND(E500*G500*IFERROR(SUMIF('Pricing &amp; promotions'!$A$6:$A$8,L500,'Pricing &amp; promotions'!$B$6:$B$8)/100,0),2),J500)</f>
        <v>1.9</v>
      </c>
      <c r="I500" s="6">
        <f>ROUND((E500*G500-H500)/IF(OR(K500=TRUE,K500="TRUE",K500="YES",K500=1),1+'Settings'!$B$6/100,1),2)</f>
        <v>14.13</v>
      </c>
      <c r="J500" s="8">
        <v>1.9</v>
      </c>
      <c r="K500" s="3" t="inlineStr">
        <is>
          <t xml:space="preserve">TRUE</t>
        </is>
      </c>
      <c r="L500" s="3" t="inlineStr">
        <is>
          <t xml:space="preserve">WELCOME10</t>
        </is>
      </c>
      <c r="M500" s="6">
        <f>ROUND(E500*G500-H500,2)</f>
        <v>17.1</v>
      </c>
      <c r="N500" s="5">
        <f>IF(COUNTIF($A$3:A500,A500)=1,1,0)</f>
        <v>1</v>
      </c>
      <c r="O500" s="6">
        <f>IF(N500=1,ROUND((SUMIFS($M$3:$M$1200,$A$3:$A$1200,A500)+'Settings'!$B$13)*'Settings'!$B$14/100+'Settings'!$B$15,2),0)</f>
        <v>0.55</v>
      </c>
    </row>
    <row r="501">
      <c r="A501" s="3" t="inlineStr">
        <is>
          <t xml:space="preserve">#1368</t>
        </is>
      </c>
      <c r="B501" s="3" t="inlineStr">
        <is>
          <t xml:space="preserve">2026-03-20</t>
        </is>
      </c>
      <c r="C501" s="3" t="inlineStr">
        <is>
          <t xml:space="preserve">SKU-G</t>
        </is>
      </c>
      <c r="D501" s="3" t="inlineStr">
        <is>
          <t xml:space="preserve">Daily Reset Set</t>
        </is>
      </c>
      <c r="E501" s="6">
        <f>IF('Settings'!$B$11="Scenario",IFERROR(INDEX('Catalogue'!$E$3:$E$100,MATCH(C501,'Catalogue'!$B$3:$B$100,0)),F501),F501)</f>
        <v>69</v>
      </c>
      <c r="F501" s="8">
        <v>69</v>
      </c>
      <c r="G501" s="3">
        <v>1</v>
      </c>
      <c r="H501" s="6">
        <f>IF('Settings'!$B$11="Scenario",ROUND(E501*G501*IFERROR(SUMIF('Pricing &amp; promotions'!$A$6:$A$8,L501,'Pricing &amp; promotions'!$B$6:$B$8)/100,0),2),J501)</f>
        <v>6.9</v>
      </c>
      <c r="I501" s="6">
        <f>ROUND((E501*G501-H501)/IF(OR(K501=TRUE,K501="TRUE",K501="YES",K501=1),1+'Settings'!$B$6/100,1),2)</f>
        <v>51.32</v>
      </c>
      <c r="J501" s="8">
        <v>6.9</v>
      </c>
      <c r="K501" s="3" t="inlineStr">
        <is>
          <t xml:space="preserve">TRUE</t>
        </is>
      </c>
      <c r="L501" s="3" t="inlineStr">
        <is>
          <t xml:space="preserve">WELCOME10</t>
        </is>
      </c>
      <c r="M501" s="6">
        <f>ROUND(E501*G501-H501,2)</f>
        <v>62.1</v>
      </c>
      <c r="N501" s="5">
        <f>IF(COUNTIF($A$3:A501,A501)=1,1,0)</f>
        <v>1</v>
      </c>
      <c r="O501" s="6">
        <f>IF(N501=1,ROUND((SUMIFS($M$3:$M$1200,$A$3:$A$1200,A501)+'Settings'!$B$13)*'Settings'!$B$14/100+'Settings'!$B$15,2),0)</f>
        <v>1.23</v>
      </c>
    </row>
    <row r="502">
      <c r="A502" s="3" t="inlineStr">
        <is>
          <t xml:space="preserve">#1369</t>
        </is>
      </c>
      <c r="B502" s="3" t="inlineStr">
        <is>
          <t xml:space="preserve">2026-03-21</t>
        </is>
      </c>
      <c r="C502" s="3" t="inlineStr">
        <is>
          <t xml:space="preserve">SKU-B</t>
        </is>
      </c>
      <c r="D502" s="3" t="inlineStr">
        <is>
          <t xml:space="preserve">Barrier Balm</t>
        </is>
      </c>
      <c r="E502" s="6">
        <f>IF('Settings'!$B$11="Scenario",IFERROR(INDEX('Catalogue'!$E$3:$E$100,MATCH(C502,'Catalogue'!$B$3:$B$100,0)),F502),F502)</f>
        <v>19</v>
      </c>
      <c r="F502" s="8">
        <v>19</v>
      </c>
      <c r="G502" s="3">
        <v>1</v>
      </c>
      <c r="H502" s="6">
        <f>IF('Settings'!$B$11="Scenario",ROUND(E502*G502*IFERROR(SUMIF('Pricing &amp; promotions'!$A$6:$A$8,L502,'Pricing &amp; promotions'!$B$6:$B$8)/100,0),2),J502)</f>
        <v>1.9</v>
      </c>
      <c r="I502" s="6">
        <f>ROUND((E502*G502-H502)/IF(OR(K502=TRUE,K502="TRUE",K502="YES",K502=1),1+'Settings'!$B$6/100,1),2)</f>
        <v>14.13</v>
      </c>
      <c r="J502" s="8">
        <v>1.9</v>
      </c>
      <c r="K502" s="3" t="inlineStr">
        <is>
          <t xml:space="preserve">TRUE</t>
        </is>
      </c>
      <c r="L502" s="3" t="inlineStr">
        <is>
          <t xml:space="preserve">WELCOME10</t>
        </is>
      </c>
      <c r="M502" s="6">
        <f>ROUND(E502*G502-H502,2)</f>
        <v>17.1</v>
      </c>
      <c r="N502" s="5">
        <f>IF(COUNTIF($A$3:A502,A502)=1,1,0)</f>
        <v>1</v>
      </c>
      <c r="O502" s="6">
        <f>IF(N502=1,ROUND((SUMIFS($M$3:$M$1200,$A$3:$A$1200,A502)+'Settings'!$B$13)*'Settings'!$B$14/100+'Settings'!$B$15,2),0)</f>
        <v>0.55</v>
      </c>
    </row>
    <row r="503">
      <c r="A503" s="3" t="inlineStr">
        <is>
          <t xml:space="preserve">#1370</t>
        </is>
      </c>
      <c r="B503" s="3" t="inlineStr">
        <is>
          <t xml:space="preserve">2026-03-21</t>
        </is>
      </c>
      <c r="C503" s="3" t="inlineStr">
        <is>
          <t xml:space="preserve">SKU-G</t>
        </is>
      </c>
      <c r="D503" s="3" t="inlineStr">
        <is>
          <t xml:space="preserve">Daily Reset Set</t>
        </is>
      </c>
      <c r="E503" s="6">
        <f>IF('Settings'!$B$11="Scenario",IFERROR(INDEX('Catalogue'!$E$3:$E$100,MATCH(C503,'Catalogue'!$B$3:$B$100,0)),F503),F503)</f>
        <v>69</v>
      </c>
      <c r="F503" s="8">
        <v>69</v>
      </c>
      <c r="G503" s="3">
        <v>1</v>
      </c>
      <c r="H503" s="6">
        <f>IF('Settings'!$B$11="Scenario",ROUND(E503*G503*IFERROR(SUMIF('Pricing &amp; promotions'!$A$6:$A$8,L503,'Pricing &amp; promotions'!$B$6:$B$8)/100,0),2),J503)</f>
        <v>0.0</v>
      </c>
      <c r="I503" s="6">
        <f>ROUND((E503*G503-H503)/IF(OR(K503=TRUE,K503="TRUE",K503="YES",K503=1),1+'Settings'!$B$6/100,1),2)</f>
        <v>57.02</v>
      </c>
      <c r="J503" s="8">
        <v>0.0</v>
      </c>
      <c r="K503" s="3" t="inlineStr">
        <is>
          <t xml:space="preserve">TRUE</t>
        </is>
      </c>
      <c r="L503" s="3"/>
      <c r="M503" s="6">
        <f>ROUND(E503*G503-H503,2)</f>
        <v>69.0</v>
      </c>
      <c r="N503" s="5">
        <f>IF(COUNTIF($A$3:A503,A503)=1,1,0)</f>
        <v>1</v>
      </c>
      <c r="O503" s="6">
        <f>IF(N503=1,ROUND((SUMIFS($M$3:$M$1200,$A$3:$A$1200,A503)+'Settings'!$B$13)*'Settings'!$B$14/100+'Settings'!$B$15,2),0)</f>
        <v>1.33</v>
      </c>
    </row>
    <row r="504">
      <c r="A504" s="3" t="inlineStr">
        <is>
          <t xml:space="preserve">#1371</t>
        </is>
      </c>
      <c r="B504" s="3" t="inlineStr">
        <is>
          <t xml:space="preserve">2026-03-22</t>
        </is>
      </c>
      <c r="C504" s="3" t="inlineStr">
        <is>
          <t xml:space="preserve">SKU-A</t>
        </is>
      </c>
      <c r="D504" s="3" t="inlineStr">
        <is>
          <t xml:space="preserve">Renewal Serum</t>
        </is>
      </c>
      <c r="E504" s="6">
        <f>IF('Settings'!$B$11="Scenario",IFERROR(INDEX('Catalogue'!$E$3:$E$100,MATCH(C504,'Catalogue'!$B$3:$B$100,0)),F504),F504)</f>
        <v>69.9</v>
      </c>
      <c r="F504" s="8">
        <v>69.9</v>
      </c>
      <c r="G504" s="3">
        <v>1</v>
      </c>
      <c r="H504" s="6">
        <f>IF('Settings'!$B$11="Scenario",ROUND(E504*G504*IFERROR(SUMIF('Pricing &amp; promotions'!$A$6:$A$8,L504,'Pricing &amp; promotions'!$B$6:$B$8)/100,0),2),J504)</f>
        <v>0.0</v>
      </c>
      <c r="I504" s="6">
        <f>ROUND((E504*G504-H504)/IF(OR(K504=TRUE,K504="TRUE",K504="YES",K504=1),1+'Settings'!$B$6/100,1),2)</f>
        <v>57.77</v>
      </c>
      <c r="J504" s="8">
        <v>0.0</v>
      </c>
      <c r="K504" s="3" t="inlineStr">
        <is>
          <t xml:space="preserve">TRUE</t>
        </is>
      </c>
      <c r="L504" s="3"/>
      <c r="M504" s="6">
        <f>ROUND(E504*G504-H504,2)</f>
        <v>69.9</v>
      </c>
      <c r="N504" s="5">
        <f>IF(COUNTIF($A$3:A504,A504)=1,1,0)</f>
        <v>1</v>
      </c>
      <c r="O504" s="6">
        <f>IF(N504=1,ROUND((SUMIFS($M$3:$M$1200,$A$3:$A$1200,A504)+'Settings'!$B$13)*'Settings'!$B$14/100+'Settings'!$B$15,2),0)</f>
        <v>1.34</v>
      </c>
    </row>
    <row r="505">
      <c r="A505" s="3" t="inlineStr">
        <is>
          <t xml:space="preserve">#1372</t>
        </is>
      </c>
      <c r="B505" s="3" t="inlineStr">
        <is>
          <t xml:space="preserve">2026-03-22</t>
        </is>
      </c>
      <c r="C505" s="3" t="inlineStr">
        <is>
          <t xml:space="preserve">SKU-D</t>
        </is>
      </c>
      <c r="D505" s="3" t="inlineStr">
        <is>
          <t xml:space="preserve">Daily Duo</t>
        </is>
      </c>
      <c r="E505" s="6">
        <f>IF('Settings'!$B$11="Scenario",IFERROR(INDEX('Catalogue'!$E$3:$E$100,MATCH(C505,'Catalogue'!$B$3:$B$100,0)),F505),F505)</f>
        <v>79</v>
      </c>
      <c r="F505" s="8">
        <v>79</v>
      </c>
      <c r="G505" s="3">
        <v>1</v>
      </c>
      <c r="H505" s="6">
        <f>IF('Settings'!$B$11="Scenario",ROUND(E505*G505*IFERROR(SUMIF('Pricing &amp; promotions'!$A$6:$A$8,L505,'Pricing &amp; promotions'!$B$6:$B$8)/100,0),2),J505)</f>
        <v>0.0</v>
      </c>
      <c r="I505" s="6">
        <f>ROUND((E505*G505-H505)/IF(OR(K505=TRUE,K505="TRUE",K505="YES",K505=1),1+'Settings'!$B$6/100,1),2)</f>
        <v>65.29</v>
      </c>
      <c r="J505" s="8">
        <v>0.0</v>
      </c>
      <c r="K505" s="3" t="inlineStr">
        <is>
          <t xml:space="preserve">TRUE</t>
        </is>
      </c>
      <c r="L505" s="3"/>
      <c r="M505" s="6">
        <f>ROUND(E505*G505-H505,2)</f>
        <v>79.0</v>
      </c>
      <c r="N505" s="5">
        <f>IF(COUNTIF($A$3:A505,A505)=1,1,0)</f>
        <v>1</v>
      </c>
      <c r="O505" s="6">
        <f>IF(N505=1,ROUND((SUMIFS($M$3:$M$1200,$A$3:$A$1200,A505)+'Settings'!$B$13)*'Settings'!$B$14/100+'Settings'!$B$15,2),0)</f>
        <v>1.48</v>
      </c>
    </row>
    <row r="506">
      <c r="A506" s="3" t="inlineStr">
        <is>
          <t xml:space="preserve">#1373</t>
        </is>
      </c>
      <c r="B506" s="3" t="inlineStr">
        <is>
          <t xml:space="preserve">2026-03-22</t>
        </is>
      </c>
      <c r="C506" s="3" t="inlineStr">
        <is>
          <t xml:space="preserve">SKU-C</t>
        </is>
      </c>
      <c r="D506" s="3" t="inlineStr">
        <is>
          <t xml:space="preserve">Contour Stone</t>
        </is>
      </c>
      <c r="E506" s="6">
        <f>IF('Settings'!$B$11="Scenario",IFERROR(INDEX('Catalogue'!$E$3:$E$100,MATCH(C506,'Catalogue'!$B$3:$B$100,0)),F506),F506)</f>
        <v>29</v>
      </c>
      <c r="F506" s="8">
        <v>29</v>
      </c>
      <c r="G506" s="3">
        <v>1</v>
      </c>
      <c r="H506" s="6">
        <f>IF('Settings'!$B$11="Scenario",ROUND(E506*G506*IFERROR(SUMIF('Pricing &amp; promotions'!$A$6:$A$8,L506,'Pricing &amp; promotions'!$B$6:$B$8)/100,0),2),J506)</f>
        <v>0.0</v>
      </c>
      <c r="I506" s="6">
        <f>ROUND((E506*G506-H506)/IF(OR(K506=TRUE,K506="TRUE",K506="YES",K506=1),1+'Settings'!$B$6/100,1),2)</f>
        <v>23.97</v>
      </c>
      <c r="J506" s="8">
        <v>0.0</v>
      </c>
      <c r="K506" s="3" t="inlineStr">
        <is>
          <t xml:space="preserve">TRUE</t>
        </is>
      </c>
      <c r="L506" s="3"/>
      <c r="M506" s="6">
        <f>ROUND(E506*G506-H506,2)</f>
        <v>29.0</v>
      </c>
      <c r="N506" s="5">
        <f>IF(COUNTIF($A$3:A506,A506)=1,1,0)</f>
        <v>1</v>
      </c>
      <c r="O506" s="6">
        <f>IF(N506=1,ROUND((SUMIFS($M$3:$M$1200,$A$3:$A$1200,A506)+'Settings'!$B$13)*'Settings'!$B$14/100+'Settings'!$B$15,2),0)</f>
        <v>0.73</v>
      </c>
    </row>
    <row r="507">
      <c r="A507" s="3" t="inlineStr">
        <is>
          <t xml:space="preserve">#1374</t>
        </is>
      </c>
      <c r="B507" s="3" t="inlineStr">
        <is>
          <t xml:space="preserve">2026-03-23</t>
        </is>
      </c>
      <c r="C507" s="3" t="inlineStr">
        <is>
          <t xml:space="preserve">SKU-G</t>
        </is>
      </c>
      <c r="D507" s="3" t="inlineStr">
        <is>
          <t xml:space="preserve">Daily Reset Set</t>
        </is>
      </c>
      <c r="E507" s="6">
        <f>IF('Settings'!$B$11="Scenario",IFERROR(INDEX('Catalogue'!$E$3:$E$100,MATCH(C507,'Catalogue'!$B$3:$B$100,0)),F507),F507)</f>
        <v>69</v>
      </c>
      <c r="F507" s="8">
        <v>69</v>
      </c>
      <c r="G507" s="3">
        <v>1</v>
      </c>
      <c r="H507" s="6">
        <f>IF('Settings'!$B$11="Scenario",ROUND(E507*G507*IFERROR(SUMIF('Pricing &amp; promotions'!$A$6:$A$8,L507,'Pricing &amp; promotions'!$B$6:$B$8)/100,0),2),J507)</f>
        <v>10.35</v>
      </c>
      <c r="I507" s="6">
        <f>ROUND((E507*G507-H507)/IF(OR(K507=TRUE,K507="TRUE",K507="YES",K507=1),1+'Settings'!$B$6/100,1),2)</f>
        <v>48.47</v>
      </c>
      <c r="J507" s="8">
        <v>10.35</v>
      </c>
      <c r="K507" s="3" t="inlineStr">
        <is>
          <t xml:space="preserve">TRUE</t>
        </is>
      </c>
      <c r="L507" s="3" t="inlineStr">
        <is>
          <t xml:space="preserve">SUMMER15</t>
        </is>
      </c>
      <c r="M507" s="6">
        <f>ROUND(E507*G507-H507,2)</f>
        <v>58.65</v>
      </c>
      <c r="N507" s="5">
        <f>IF(COUNTIF($A$3:A507,A507)=1,1,0)</f>
        <v>1</v>
      </c>
      <c r="O507" s="6">
        <f>IF(N507=1,ROUND((SUMIFS($M$3:$M$1200,$A$3:$A$1200,A507)+'Settings'!$B$13)*'Settings'!$B$14/100+'Settings'!$B$15,2),0)</f>
        <v>2.18</v>
      </c>
    </row>
    <row r="508">
      <c r="A508" s="3" t="inlineStr">
        <is>
          <t xml:space="preserve">#1374</t>
        </is>
      </c>
      <c r="B508" s="3" t="inlineStr">
        <is>
          <t xml:space="preserve">2026-03-23</t>
        </is>
      </c>
      <c r="C508" s="3" t="inlineStr">
        <is>
          <t xml:space="preserve">SKU-D</t>
        </is>
      </c>
      <c r="D508" s="3" t="inlineStr">
        <is>
          <t xml:space="preserve">Daily Duo</t>
        </is>
      </c>
      <c r="E508" s="6">
        <f>IF('Settings'!$B$11="Scenario",IFERROR(INDEX('Catalogue'!$E$3:$E$100,MATCH(C508,'Catalogue'!$B$3:$B$100,0)),F508),F508)</f>
        <v>79</v>
      </c>
      <c r="F508" s="8">
        <v>79</v>
      </c>
      <c r="G508" s="3">
        <v>1</v>
      </c>
      <c r="H508" s="6">
        <f>IF('Settings'!$B$11="Scenario",ROUND(E508*G508*IFERROR(SUMIF('Pricing &amp; promotions'!$A$6:$A$8,L508,'Pricing &amp; promotions'!$B$6:$B$8)/100,0),2),J508)</f>
        <v>11.85</v>
      </c>
      <c r="I508" s="6">
        <f>ROUND((E508*G508-H508)/IF(OR(K508=TRUE,K508="TRUE",K508="YES",K508=1),1+'Settings'!$B$6/100,1),2)</f>
        <v>55.5</v>
      </c>
      <c r="J508" s="8">
        <v>11.85</v>
      </c>
      <c r="K508" s="3" t="inlineStr">
        <is>
          <t xml:space="preserve">TRUE</t>
        </is>
      </c>
      <c r="L508" s="3" t="inlineStr">
        <is>
          <t xml:space="preserve">SUMMER15</t>
        </is>
      </c>
      <c r="M508" s="6">
        <f>ROUND(E508*G508-H508,2)</f>
        <v>67.15</v>
      </c>
      <c r="N508" s="5">
        <f>IF(COUNTIF($A$3:A508,A508)=1,1,0)</f>
        <v>0</v>
      </c>
      <c r="O508" s="6">
        <f>IF(N508=1,ROUND((SUMIFS($M$3:$M$1200,$A$3:$A$1200,A508)+'Settings'!$B$13)*'Settings'!$B$14/100+'Settings'!$B$15,2),0)</f>
        <v>0</v>
      </c>
    </row>
    <row r="509">
      <c r="A509" s="3" t="inlineStr">
        <is>
          <t xml:space="preserve">#1375</t>
        </is>
      </c>
      <c r="B509" s="3" t="inlineStr">
        <is>
          <t xml:space="preserve">2026-03-23</t>
        </is>
      </c>
      <c r="C509" s="3" t="inlineStr">
        <is>
          <t xml:space="preserve">SKU-D</t>
        </is>
      </c>
      <c r="D509" s="3" t="inlineStr">
        <is>
          <t xml:space="preserve">Daily Duo</t>
        </is>
      </c>
      <c r="E509" s="6">
        <f>IF('Settings'!$B$11="Scenario",IFERROR(INDEX('Catalogue'!$E$3:$E$100,MATCH(C509,'Catalogue'!$B$3:$B$100,0)),F509),F509)</f>
        <v>79</v>
      </c>
      <c r="F509" s="8">
        <v>79</v>
      </c>
      <c r="G509" s="3">
        <v>1</v>
      </c>
      <c r="H509" s="6">
        <f>IF('Settings'!$B$11="Scenario",ROUND(E509*G509*IFERROR(SUMIF('Pricing &amp; promotions'!$A$6:$A$8,L509,'Pricing &amp; promotions'!$B$6:$B$8)/100,0),2),J509)</f>
        <v>0.0</v>
      </c>
      <c r="I509" s="6">
        <f>ROUND((E509*G509-H509)/IF(OR(K509=TRUE,K509="TRUE",K509="YES",K509=1),1+'Settings'!$B$6/100,1),2)</f>
        <v>65.29</v>
      </c>
      <c r="J509" s="8">
        <v>0.0</v>
      </c>
      <c r="K509" s="3" t="inlineStr">
        <is>
          <t xml:space="preserve">TRUE</t>
        </is>
      </c>
      <c r="L509" s="3"/>
      <c r="M509" s="6">
        <f>ROUND(E509*G509-H509,2)</f>
        <v>79.0</v>
      </c>
      <c r="N509" s="5">
        <f>IF(COUNTIF($A$3:A509,A509)=1,1,0)</f>
        <v>1</v>
      </c>
      <c r="O509" s="6">
        <f>IF(N509=1,ROUND((SUMIFS($M$3:$M$1200,$A$3:$A$1200,A509)+'Settings'!$B$13)*'Settings'!$B$14/100+'Settings'!$B$15,2),0)</f>
        <v>2.53</v>
      </c>
    </row>
    <row r="510">
      <c r="A510" s="3" t="inlineStr">
        <is>
          <t xml:space="preserve">#1375</t>
        </is>
      </c>
      <c r="B510" s="3" t="inlineStr">
        <is>
          <t xml:space="preserve">2026-03-23</t>
        </is>
      </c>
      <c r="C510" s="3" t="inlineStr">
        <is>
          <t xml:space="preserve">SKU-A</t>
        </is>
      </c>
      <c r="D510" s="3" t="inlineStr">
        <is>
          <t xml:space="preserve">Renewal Serum</t>
        </is>
      </c>
      <c r="E510" s="6">
        <f>IF('Settings'!$B$11="Scenario",IFERROR(INDEX('Catalogue'!$E$3:$E$100,MATCH(C510,'Catalogue'!$B$3:$B$100,0)),F510),F510)</f>
        <v>69.9</v>
      </c>
      <c r="F510" s="8">
        <v>69.9</v>
      </c>
      <c r="G510" s="3">
        <v>1</v>
      </c>
      <c r="H510" s="6">
        <f>IF('Settings'!$B$11="Scenario",ROUND(E510*G510*IFERROR(SUMIF('Pricing &amp; promotions'!$A$6:$A$8,L510,'Pricing &amp; promotions'!$B$6:$B$8)/100,0),2),J510)</f>
        <v>0.0</v>
      </c>
      <c r="I510" s="6">
        <f>ROUND((E510*G510-H510)/IF(OR(K510=TRUE,K510="TRUE",K510="YES",K510=1),1+'Settings'!$B$6/100,1),2)</f>
        <v>57.77</v>
      </c>
      <c r="J510" s="8">
        <v>0.0</v>
      </c>
      <c r="K510" s="3" t="inlineStr">
        <is>
          <t xml:space="preserve">TRUE</t>
        </is>
      </c>
      <c r="L510" s="3"/>
      <c r="M510" s="6">
        <f>ROUND(E510*G510-H510,2)</f>
        <v>69.9</v>
      </c>
      <c r="N510" s="5">
        <f>IF(COUNTIF($A$3:A510,A510)=1,1,0)</f>
        <v>0</v>
      </c>
      <c r="O510" s="6">
        <f>IF(N510=1,ROUND((SUMIFS($M$3:$M$1200,$A$3:$A$1200,A510)+'Settings'!$B$13)*'Settings'!$B$14/100+'Settings'!$B$15,2),0)</f>
        <v>0</v>
      </c>
    </row>
    <row r="511">
      <c r="A511" s="3" t="inlineStr">
        <is>
          <t xml:space="preserve">#1376</t>
        </is>
      </c>
      <c r="B511" s="3" t="inlineStr">
        <is>
          <t xml:space="preserve">2026-03-23</t>
        </is>
      </c>
      <c r="C511" s="3" t="inlineStr">
        <is>
          <t xml:space="preserve">SKU-C</t>
        </is>
      </c>
      <c r="D511" s="3" t="inlineStr">
        <is>
          <t xml:space="preserve">Contour Stone</t>
        </is>
      </c>
      <c r="E511" s="6">
        <f>IF('Settings'!$B$11="Scenario",IFERROR(INDEX('Catalogue'!$E$3:$E$100,MATCH(C511,'Catalogue'!$B$3:$B$100,0)),F511),F511)</f>
        <v>29</v>
      </c>
      <c r="F511" s="8">
        <v>29</v>
      </c>
      <c r="G511" s="3">
        <v>2</v>
      </c>
      <c r="H511" s="6">
        <f>IF('Settings'!$B$11="Scenario",ROUND(E511*G511*IFERROR(SUMIF('Pricing &amp; promotions'!$A$6:$A$8,L511,'Pricing &amp; promotions'!$B$6:$B$8)/100,0),2),J511)</f>
        <v>0.0</v>
      </c>
      <c r="I511" s="6">
        <f>ROUND((E511*G511-H511)/IF(OR(K511=TRUE,K511="TRUE",K511="YES",K511=1),1+'Settings'!$B$6/100,1),2)</f>
        <v>47.93</v>
      </c>
      <c r="J511" s="8">
        <v>0.0</v>
      </c>
      <c r="K511" s="3" t="inlineStr">
        <is>
          <t xml:space="preserve">TRUE</t>
        </is>
      </c>
      <c r="L511" s="3"/>
      <c r="M511" s="6">
        <f>ROUND(E511*G511-H511,2)</f>
        <v>58.0</v>
      </c>
      <c r="N511" s="5">
        <f>IF(COUNTIF($A$3:A511,A511)=1,1,0)</f>
        <v>1</v>
      </c>
      <c r="O511" s="6">
        <f>IF(N511=1,ROUND((SUMIFS($M$3:$M$1200,$A$3:$A$1200,A511)+'Settings'!$B$13)*'Settings'!$B$14/100+'Settings'!$B$15,2),0)</f>
        <v>3.4</v>
      </c>
    </row>
    <row r="512">
      <c r="A512" s="3" t="inlineStr">
        <is>
          <t xml:space="preserve">#1376</t>
        </is>
      </c>
      <c r="B512" s="3" t="inlineStr">
        <is>
          <t xml:space="preserve">2026-03-23</t>
        </is>
      </c>
      <c r="C512" s="3" t="inlineStr">
        <is>
          <t xml:space="preserve">SKU-D</t>
        </is>
      </c>
      <c r="D512" s="3" t="inlineStr">
        <is>
          <t xml:space="preserve">Daily Duo</t>
        </is>
      </c>
      <c r="E512" s="6">
        <f>IF('Settings'!$B$11="Scenario",IFERROR(INDEX('Catalogue'!$E$3:$E$100,MATCH(C512,'Catalogue'!$B$3:$B$100,0)),F512),F512)</f>
        <v>79</v>
      </c>
      <c r="F512" s="8">
        <v>79</v>
      </c>
      <c r="G512" s="3">
        <v>1</v>
      </c>
      <c r="H512" s="6">
        <f>IF('Settings'!$B$11="Scenario",ROUND(E512*G512*IFERROR(SUMIF('Pricing &amp; promotions'!$A$6:$A$8,L512,'Pricing &amp; promotions'!$B$6:$B$8)/100,0),2),J512)</f>
        <v>0.0</v>
      </c>
      <c r="I512" s="6">
        <f>ROUND((E512*G512-H512)/IF(OR(K512=TRUE,K512="TRUE",K512="YES",K512=1),1+'Settings'!$B$6/100,1),2)</f>
        <v>65.29</v>
      </c>
      <c r="J512" s="8">
        <v>0.0</v>
      </c>
      <c r="K512" s="3" t="inlineStr">
        <is>
          <t xml:space="preserve">TRUE</t>
        </is>
      </c>
      <c r="L512" s="3"/>
      <c r="M512" s="6">
        <f>ROUND(E512*G512-H512,2)</f>
        <v>79.0</v>
      </c>
      <c r="N512" s="5">
        <f>IF(COUNTIF($A$3:A512,A512)=1,1,0)</f>
        <v>0</v>
      </c>
      <c r="O512" s="6">
        <f>IF(N512=1,ROUND((SUMIFS($M$3:$M$1200,$A$3:$A$1200,A512)+'Settings'!$B$13)*'Settings'!$B$14/100+'Settings'!$B$15,2),0)</f>
        <v>0</v>
      </c>
    </row>
    <row r="513">
      <c r="A513" s="3" t="inlineStr">
        <is>
          <t xml:space="preserve">#1376</t>
        </is>
      </c>
      <c r="B513" s="3" t="inlineStr">
        <is>
          <t xml:space="preserve">2026-03-23</t>
        </is>
      </c>
      <c r="C513" s="3" t="inlineStr">
        <is>
          <t xml:space="preserve">SKU-A</t>
        </is>
      </c>
      <c r="D513" s="3" t="inlineStr">
        <is>
          <t xml:space="preserve">Renewal Serum</t>
        </is>
      </c>
      <c r="E513" s="6">
        <f>IF('Settings'!$B$11="Scenario",IFERROR(INDEX('Catalogue'!$E$3:$E$100,MATCH(C513,'Catalogue'!$B$3:$B$100,0)),F513),F513)</f>
        <v>69.9</v>
      </c>
      <c r="F513" s="8">
        <v>69.9</v>
      </c>
      <c r="G513" s="3">
        <v>1</v>
      </c>
      <c r="H513" s="6">
        <f>IF('Settings'!$B$11="Scenario",ROUND(E513*G513*IFERROR(SUMIF('Pricing &amp; promotions'!$A$6:$A$8,L513,'Pricing &amp; promotions'!$B$6:$B$8)/100,0),2),J513)</f>
        <v>0.0</v>
      </c>
      <c r="I513" s="6">
        <f>ROUND((E513*G513-H513)/IF(OR(K513=TRUE,K513="TRUE",K513="YES",K513=1),1+'Settings'!$B$6/100,1),2)</f>
        <v>57.77</v>
      </c>
      <c r="J513" s="8">
        <v>0.0</v>
      </c>
      <c r="K513" s="3" t="inlineStr">
        <is>
          <t xml:space="preserve">TRUE</t>
        </is>
      </c>
      <c r="L513" s="3"/>
      <c r="M513" s="6">
        <f>ROUND(E513*G513-H513,2)</f>
        <v>69.9</v>
      </c>
      <c r="N513" s="5">
        <f>IF(COUNTIF($A$3:A513,A513)=1,1,0)</f>
        <v>0</v>
      </c>
      <c r="O513" s="6">
        <f>IF(N513=1,ROUND((SUMIFS($M$3:$M$1200,$A$3:$A$1200,A513)+'Settings'!$B$13)*'Settings'!$B$14/100+'Settings'!$B$15,2),0)</f>
        <v>0</v>
      </c>
    </row>
    <row r="514">
      <c r="A514" s="3" t="inlineStr">
        <is>
          <t xml:space="preserve">#1377</t>
        </is>
      </c>
      <c r="B514" s="3" t="inlineStr">
        <is>
          <t xml:space="preserve">2026-03-24</t>
        </is>
      </c>
      <c r="C514" s="3" t="inlineStr">
        <is>
          <t xml:space="preserve">SKU-B</t>
        </is>
      </c>
      <c r="D514" s="3" t="inlineStr">
        <is>
          <t xml:space="preserve">Barrier Balm</t>
        </is>
      </c>
      <c r="E514" s="6">
        <f>IF('Settings'!$B$11="Scenario",IFERROR(INDEX('Catalogue'!$E$3:$E$100,MATCH(C514,'Catalogue'!$B$3:$B$100,0)),F514),F514)</f>
        <v>19</v>
      </c>
      <c r="F514" s="8">
        <v>19</v>
      </c>
      <c r="G514" s="3">
        <v>2</v>
      </c>
      <c r="H514" s="6">
        <f>IF('Settings'!$B$11="Scenario",ROUND(E514*G514*IFERROR(SUMIF('Pricing &amp; promotions'!$A$6:$A$8,L514,'Pricing &amp; promotions'!$B$6:$B$8)/100,0),2),J514)</f>
        <v>0.0</v>
      </c>
      <c r="I514" s="6">
        <f>ROUND((E514*G514-H514)/IF(OR(K514=TRUE,K514="TRUE",K514="YES",K514=1),1+'Settings'!$B$6/100,1),2)</f>
        <v>31.4</v>
      </c>
      <c r="J514" s="8">
        <v>0.0</v>
      </c>
      <c r="K514" s="3" t="inlineStr">
        <is>
          <t xml:space="preserve">TRUE</t>
        </is>
      </c>
      <c r="L514" s="3"/>
      <c r="M514" s="6">
        <f>ROUND(E514*G514-H514,2)</f>
        <v>38.0</v>
      </c>
      <c r="N514" s="5">
        <f>IF(COUNTIF($A$3:A514,A514)=1,1,0)</f>
        <v>1</v>
      </c>
      <c r="O514" s="6">
        <f>IF(N514=1,ROUND((SUMIFS($M$3:$M$1200,$A$3:$A$1200,A514)+'Settings'!$B$13)*'Settings'!$B$14/100+'Settings'!$B$15,2),0)</f>
        <v>0.86</v>
      </c>
    </row>
    <row r="515">
      <c r="A515" s="3" t="inlineStr">
        <is>
          <t xml:space="preserve">#1378</t>
        </is>
      </c>
      <c r="B515" s="3" t="inlineStr">
        <is>
          <t xml:space="preserve">2026-03-24</t>
        </is>
      </c>
      <c r="C515" s="3" t="inlineStr">
        <is>
          <t xml:space="preserve">SKU-D</t>
        </is>
      </c>
      <c r="D515" s="3" t="inlineStr">
        <is>
          <t xml:space="preserve">Daily Duo</t>
        </is>
      </c>
      <c r="E515" s="6">
        <f>IF('Settings'!$B$11="Scenario",IFERROR(INDEX('Catalogue'!$E$3:$E$100,MATCH(C515,'Catalogue'!$B$3:$B$100,0)),F515),F515)</f>
        <v>79</v>
      </c>
      <c r="F515" s="8">
        <v>79</v>
      </c>
      <c r="G515" s="3">
        <v>2</v>
      </c>
      <c r="H515" s="6">
        <f>IF('Settings'!$B$11="Scenario",ROUND(E515*G515*IFERROR(SUMIF('Pricing &amp; promotions'!$A$6:$A$8,L515,'Pricing &amp; promotions'!$B$6:$B$8)/100,0),2),J515)</f>
        <v>15.8</v>
      </c>
      <c r="I515" s="6">
        <f>ROUND((E515*G515-H515)/IF(OR(K515=TRUE,K515="TRUE",K515="YES",K515=1),1+'Settings'!$B$6/100,1),2)</f>
        <v>117.52</v>
      </c>
      <c r="J515" s="8">
        <v>15.8</v>
      </c>
      <c r="K515" s="3" t="inlineStr">
        <is>
          <t xml:space="preserve">TRUE</t>
        </is>
      </c>
      <c r="L515" s="3" t="inlineStr">
        <is>
          <t xml:space="preserve">WELCOME10</t>
        </is>
      </c>
      <c r="M515" s="6">
        <f>ROUND(E515*G515-H515,2)</f>
        <v>142.2</v>
      </c>
      <c r="N515" s="5">
        <f>IF(COUNTIF($A$3:A515,A515)=1,1,0)</f>
        <v>1</v>
      </c>
      <c r="O515" s="6">
        <f>IF(N515=1,ROUND((SUMIFS($M$3:$M$1200,$A$3:$A$1200,A515)+'Settings'!$B$13)*'Settings'!$B$14/100+'Settings'!$B$15,2),0)</f>
        <v>2.43</v>
      </c>
    </row>
    <row r="516">
      <c r="A516" s="3" t="inlineStr">
        <is>
          <t xml:space="preserve">#1379</t>
        </is>
      </c>
      <c r="B516" s="3" t="inlineStr">
        <is>
          <t xml:space="preserve">2026-03-24</t>
        </is>
      </c>
      <c r="C516" s="3" t="inlineStr">
        <is>
          <t xml:space="preserve">SKU-A</t>
        </is>
      </c>
      <c r="D516" s="3" t="inlineStr">
        <is>
          <t xml:space="preserve">Renewal Serum</t>
        </is>
      </c>
      <c r="E516" s="6">
        <f>IF('Settings'!$B$11="Scenario",IFERROR(INDEX('Catalogue'!$E$3:$E$100,MATCH(C516,'Catalogue'!$B$3:$B$100,0)),F516),F516)</f>
        <v>69.9</v>
      </c>
      <c r="F516" s="8">
        <v>69.9</v>
      </c>
      <c r="G516" s="3">
        <v>1</v>
      </c>
      <c r="H516" s="6">
        <f>IF('Settings'!$B$11="Scenario",ROUND(E516*G516*IFERROR(SUMIF('Pricing &amp; promotions'!$A$6:$A$8,L516,'Pricing &amp; promotions'!$B$6:$B$8)/100,0),2),J516)</f>
        <v>6.99</v>
      </c>
      <c r="I516" s="6">
        <f>ROUND((E516*G516-H516)/IF(OR(K516=TRUE,K516="TRUE",K516="YES",K516=1),1+'Settings'!$B$6/100,1),2)</f>
        <v>51.99</v>
      </c>
      <c r="J516" s="8">
        <v>6.99</v>
      </c>
      <c r="K516" s="3" t="inlineStr">
        <is>
          <t xml:space="preserve">TRUE</t>
        </is>
      </c>
      <c r="L516" s="3" t="inlineStr">
        <is>
          <t xml:space="preserve">WELCOME10</t>
        </is>
      </c>
      <c r="M516" s="6">
        <f>ROUND(E516*G516-H516,2)</f>
        <v>62.91</v>
      </c>
      <c r="N516" s="5">
        <f>IF(COUNTIF($A$3:A516,A516)=1,1,0)</f>
        <v>1</v>
      </c>
      <c r="O516" s="6">
        <f>IF(N516=1,ROUND((SUMIFS($M$3:$M$1200,$A$3:$A$1200,A516)+'Settings'!$B$13)*'Settings'!$B$14/100+'Settings'!$B$15,2),0)</f>
        <v>1.24</v>
      </c>
    </row>
    <row r="517">
      <c r="A517" s="3" t="inlineStr">
        <is>
          <t xml:space="preserve">#1380</t>
        </is>
      </c>
      <c r="B517" s="3" t="inlineStr">
        <is>
          <t xml:space="preserve">2026-03-24</t>
        </is>
      </c>
      <c r="C517" s="3" t="inlineStr">
        <is>
          <t xml:space="preserve">SKU-A</t>
        </is>
      </c>
      <c r="D517" s="3" t="inlineStr">
        <is>
          <t xml:space="preserve">Renewal Serum</t>
        </is>
      </c>
      <c r="E517" s="6">
        <f>IF('Settings'!$B$11="Scenario",IFERROR(INDEX('Catalogue'!$E$3:$E$100,MATCH(C517,'Catalogue'!$B$3:$B$100,0)),F517),F517)</f>
        <v>69.9</v>
      </c>
      <c r="F517" s="8">
        <v>69.9</v>
      </c>
      <c r="G517" s="3">
        <v>1</v>
      </c>
      <c r="H517" s="6">
        <f>IF('Settings'!$B$11="Scenario",ROUND(E517*G517*IFERROR(SUMIF('Pricing &amp; promotions'!$A$6:$A$8,L517,'Pricing &amp; promotions'!$B$6:$B$8)/100,0),2),J517)</f>
        <v>0.0</v>
      </c>
      <c r="I517" s="6">
        <f>ROUND((E517*G517-H517)/IF(OR(K517=TRUE,K517="TRUE",K517="YES",K517=1),1+'Settings'!$B$6/100,1),2)</f>
        <v>57.77</v>
      </c>
      <c r="J517" s="8">
        <v>0.0</v>
      </c>
      <c r="K517" s="3" t="inlineStr">
        <is>
          <t xml:space="preserve">TRUE</t>
        </is>
      </c>
      <c r="L517" s="3"/>
      <c r="M517" s="6">
        <f>ROUND(E517*G517-H517,2)</f>
        <v>69.9</v>
      </c>
      <c r="N517" s="5">
        <f>IF(COUNTIF($A$3:A517,A517)=1,1,0)</f>
        <v>1</v>
      </c>
      <c r="O517" s="6">
        <f>IF(N517=1,ROUND((SUMIFS($M$3:$M$1200,$A$3:$A$1200,A517)+'Settings'!$B$13)*'Settings'!$B$14/100+'Settings'!$B$15,2),0)</f>
        <v>1.34</v>
      </c>
    </row>
    <row r="518">
      <c r="A518" s="3" t="inlineStr">
        <is>
          <t xml:space="preserve">#1381</t>
        </is>
      </c>
      <c r="B518" s="3" t="inlineStr">
        <is>
          <t xml:space="preserve">2026-03-26</t>
        </is>
      </c>
      <c r="C518" s="3" t="inlineStr">
        <is>
          <t xml:space="preserve">SKU-C</t>
        </is>
      </c>
      <c r="D518" s="3" t="inlineStr">
        <is>
          <t xml:space="preserve">Contour Stone</t>
        </is>
      </c>
      <c r="E518" s="6">
        <f>IF('Settings'!$B$11="Scenario",IFERROR(INDEX('Catalogue'!$E$3:$E$100,MATCH(C518,'Catalogue'!$B$3:$B$100,0)),F518),F518)</f>
        <v>29</v>
      </c>
      <c r="F518" s="8">
        <v>29</v>
      </c>
      <c r="G518" s="3">
        <v>1</v>
      </c>
      <c r="H518" s="6">
        <f>IF('Settings'!$B$11="Scenario",ROUND(E518*G518*IFERROR(SUMIF('Pricing &amp; promotions'!$A$6:$A$8,L518,'Pricing &amp; promotions'!$B$6:$B$8)/100,0),2),J518)</f>
        <v>2.9</v>
      </c>
      <c r="I518" s="6">
        <f>ROUND((E518*G518-H518)/IF(OR(K518=TRUE,K518="TRUE",K518="YES",K518=1),1+'Settings'!$B$6/100,1),2)</f>
        <v>21.57</v>
      </c>
      <c r="J518" s="8">
        <v>2.9</v>
      </c>
      <c r="K518" s="3" t="inlineStr">
        <is>
          <t xml:space="preserve">TRUE</t>
        </is>
      </c>
      <c r="L518" s="3" t="inlineStr">
        <is>
          <t xml:space="preserve">WELCOME10</t>
        </is>
      </c>
      <c r="M518" s="6">
        <f>ROUND(E518*G518-H518,2)</f>
        <v>26.1</v>
      </c>
      <c r="N518" s="5">
        <f>IF(COUNTIF($A$3:A518,A518)=1,1,0)</f>
        <v>1</v>
      </c>
      <c r="O518" s="6">
        <f>IF(N518=1,ROUND((SUMIFS($M$3:$M$1200,$A$3:$A$1200,A518)+'Settings'!$B$13)*'Settings'!$B$14/100+'Settings'!$B$15,2),0)</f>
        <v>0.69</v>
      </c>
    </row>
    <row r="519">
      <c r="A519" s="3" t="inlineStr">
        <is>
          <t xml:space="preserve">#1382</t>
        </is>
      </c>
      <c r="B519" s="3" t="inlineStr">
        <is>
          <t xml:space="preserve">2026-03-27</t>
        </is>
      </c>
      <c r="C519" s="3" t="inlineStr">
        <is>
          <t xml:space="preserve">SKU-A</t>
        </is>
      </c>
      <c r="D519" s="3" t="inlineStr">
        <is>
          <t xml:space="preserve">Renewal Serum</t>
        </is>
      </c>
      <c r="E519" s="6">
        <f>IF('Settings'!$B$11="Scenario",IFERROR(INDEX('Catalogue'!$E$3:$E$100,MATCH(C519,'Catalogue'!$B$3:$B$100,0)),F519),F519)</f>
        <v>69.9</v>
      </c>
      <c r="F519" s="8">
        <v>69.9</v>
      </c>
      <c r="G519" s="3">
        <v>1</v>
      </c>
      <c r="H519" s="6">
        <f>IF('Settings'!$B$11="Scenario",ROUND(E519*G519*IFERROR(SUMIF('Pricing &amp; promotions'!$A$6:$A$8,L519,'Pricing &amp; promotions'!$B$6:$B$8)/100,0),2),J519)</f>
        <v>0.0</v>
      </c>
      <c r="I519" s="6">
        <f>ROUND((E519*G519-H519)/IF(OR(K519=TRUE,K519="TRUE",K519="YES",K519=1),1+'Settings'!$B$6/100,1),2)</f>
        <v>57.77</v>
      </c>
      <c r="J519" s="8">
        <v>0.0</v>
      </c>
      <c r="K519" s="3" t="inlineStr">
        <is>
          <t xml:space="preserve">TRUE</t>
        </is>
      </c>
      <c r="L519" s="3"/>
      <c r="M519" s="6">
        <f>ROUND(E519*G519-H519,2)</f>
        <v>69.9</v>
      </c>
      <c r="N519" s="5">
        <f>IF(COUNTIF($A$3:A519,A519)=1,1,0)</f>
        <v>1</v>
      </c>
      <c r="O519" s="6">
        <f>IF(N519=1,ROUND((SUMIFS($M$3:$M$1200,$A$3:$A$1200,A519)+'Settings'!$B$13)*'Settings'!$B$14/100+'Settings'!$B$15,2),0)</f>
        <v>2.53</v>
      </c>
    </row>
    <row r="520">
      <c r="A520" s="3" t="inlineStr">
        <is>
          <t xml:space="preserve">#1382</t>
        </is>
      </c>
      <c r="B520" s="3" t="inlineStr">
        <is>
          <t xml:space="preserve">2026-03-27</t>
        </is>
      </c>
      <c r="C520" s="3" t="inlineStr">
        <is>
          <t xml:space="preserve">SKU-D</t>
        </is>
      </c>
      <c r="D520" s="3" t="inlineStr">
        <is>
          <t xml:space="preserve">Daily Duo</t>
        </is>
      </c>
      <c r="E520" s="6">
        <f>IF('Settings'!$B$11="Scenario",IFERROR(INDEX('Catalogue'!$E$3:$E$100,MATCH(C520,'Catalogue'!$B$3:$B$100,0)),F520),F520)</f>
        <v>79</v>
      </c>
      <c r="F520" s="8">
        <v>79</v>
      </c>
      <c r="G520" s="3">
        <v>1</v>
      </c>
      <c r="H520" s="6">
        <f>IF('Settings'!$B$11="Scenario",ROUND(E520*G520*IFERROR(SUMIF('Pricing &amp; promotions'!$A$6:$A$8,L520,'Pricing &amp; promotions'!$B$6:$B$8)/100,0),2),J520)</f>
        <v>0.0</v>
      </c>
      <c r="I520" s="6">
        <f>ROUND((E520*G520-H520)/IF(OR(K520=TRUE,K520="TRUE",K520="YES",K520=1),1+'Settings'!$B$6/100,1),2)</f>
        <v>65.29</v>
      </c>
      <c r="J520" s="8">
        <v>0.0</v>
      </c>
      <c r="K520" s="3" t="inlineStr">
        <is>
          <t xml:space="preserve">TRUE</t>
        </is>
      </c>
      <c r="L520" s="3"/>
      <c r="M520" s="6">
        <f>ROUND(E520*G520-H520,2)</f>
        <v>79.0</v>
      </c>
      <c r="N520" s="5">
        <f>IF(COUNTIF($A$3:A520,A520)=1,1,0)</f>
        <v>0</v>
      </c>
      <c r="O520" s="6">
        <f>IF(N520=1,ROUND((SUMIFS($M$3:$M$1200,$A$3:$A$1200,A520)+'Settings'!$B$13)*'Settings'!$B$14/100+'Settings'!$B$15,2),0)</f>
        <v>0</v>
      </c>
    </row>
    <row r="521">
      <c r="A521" s="3" t="inlineStr">
        <is>
          <t xml:space="preserve">#1383</t>
        </is>
      </c>
      <c r="B521" s="3" t="inlineStr">
        <is>
          <t xml:space="preserve">2026-03-28</t>
        </is>
      </c>
      <c r="C521" s="3" t="inlineStr">
        <is>
          <t xml:space="preserve">SKU-E</t>
        </is>
      </c>
      <c r="D521" s="3" t="inlineStr">
        <is>
          <t xml:space="preserve">Complete Ritual</t>
        </is>
      </c>
      <c r="E521" s="6">
        <f>IF('Settings'!$B$11="Scenario",IFERROR(INDEX('Catalogue'!$E$3:$E$100,MATCH(C521,'Catalogue'!$B$3:$B$100,0)),F521),F521)</f>
        <v>89</v>
      </c>
      <c r="F521" s="8">
        <v>89</v>
      </c>
      <c r="G521" s="3">
        <v>1</v>
      </c>
      <c r="H521" s="6">
        <f>IF('Settings'!$B$11="Scenario",ROUND(E521*G521*IFERROR(SUMIF('Pricing &amp; promotions'!$A$6:$A$8,L521,'Pricing &amp; promotions'!$B$6:$B$8)/100,0),2),J521)</f>
        <v>0.0</v>
      </c>
      <c r="I521" s="6">
        <f>ROUND((E521*G521-H521)/IF(OR(K521=TRUE,K521="TRUE",K521="YES",K521=1),1+'Settings'!$B$6/100,1),2)</f>
        <v>73.55</v>
      </c>
      <c r="J521" s="8">
        <v>0.0</v>
      </c>
      <c r="K521" s="3" t="inlineStr">
        <is>
          <t xml:space="preserve">TRUE</t>
        </is>
      </c>
      <c r="L521" s="3"/>
      <c r="M521" s="6">
        <f>ROUND(E521*G521-H521,2)</f>
        <v>89.0</v>
      </c>
      <c r="N521" s="5">
        <f>IF(COUNTIF($A$3:A521,A521)=1,1,0)</f>
        <v>1</v>
      </c>
      <c r="O521" s="6">
        <f>IF(N521=1,ROUND((SUMIFS($M$3:$M$1200,$A$3:$A$1200,A521)+'Settings'!$B$13)*'Settings'!$B$14/100+'Settings'!$B$15,2),0)</f>
        <v>2.2</v>
      </c>
    </row>
    <row r="522">
      <c r="A522" s="3" t="inlineStr">
        <is>
          <t xml:space="preserve">#1383</t>
        </is>
      </c>
      <c r="B522" s="3" t="inlineStr">
        <is>
          <t xml:space="preserve">2026-03-28</t>
        </is>
      </c>
      <c r="C522" s="3" t="inlineStr">
        <is>
          <t xml:space="preserve">SKU-B</t>
        </is>
      </c>
      <c r="D522" s="3" t="inlineStr">
        <is>
          <t xml:space="preserve">Barrier Balm</t>
        </is>
      </c>
      <c r="E522" s="6">
        <f>IF('Settings'!$B$11="Scenario",IFERROR(INDEX('Catalogue'!$E$3:$E$100,MATCH(C522,'Catalogue'!$B$3:$B$100,0)),F522),F522)</f>
        <v>19</v>
      </c>
      <c r="F522" s="8">
        <v>19</v>
      </c>
      <c r="G522" s="3">
        <v>2</v>
      </c>
      <c r="H522" s="6">
        <f>IF('Settings'!$B$11="Scenario",ROUND(E522*G522*IFERROR(SUMIF('Pricing &amp; promotions'!$A$6:$A$8,L522,'Pricing &amp; promotions'!$B$6:$B$8)/100,0),2),J522)</f>
        <v>0.0</v>
      </c>
      <c r="I522" s="6">
        <f>ROUND((E522*G522-H522)/IF(OR(K522=TRUE,K522="TRUE",K522="YES",K522=1),1+'Settings'!$B$6/100,1),2)</f>
        <v>31.4</v>
      </c>
      <c r="J522" s="8">
        <v>0.0</v>
      </c>
      <c r="K522" s="3" t="inlineStr">
        <is>
          <t xml:space="preserve">TRUE</t>
        </is>
      </c>
      <c r="L522" s="3"/>
      <c r="M522" s="6">
        <f>ROUND(E522*G522-H522,2)</f>
        <v>38.0</v>
      </c>
      <c r="N522" s="5">
        <f>IF(COUNTIF($A$3:A522,A522)=1,1,0)</f>
        <v>0</v>
      </c>
      <c r="O522" s="6">
        <f>IF(N522=1,ROUND((SUMIFS($M$3:$M$1200,$A$3:$A$1200,A522)+'Settings'!$B$13)*'Settings'!$B$14/100+'Settings'!$B$15,2),0)</f>
        <v>0</v>
      </c>
    </row>
    <row r="523">
      <c r="A523" s="3" t="inlineStr">
        <is>
          <t xml:space="preserve">#1384</t>
        </is>
      </c>
      <c r="B523" s="3" t="inlineStr">
        <is>
          <t xml:space="preserve">2026-03-28</t>
        </is>
      </c>
      <c r="C523" s="3" t="inlineStr">
        <is>
          <t xml:space="preserve">SKU-G</t>
        </is>
      </c>
      <c r="D523" s="3" t="inlineStr">
        <is>
          <t xml:space="preserve">Daily Reset Set</t>
        </is>
      </c>
      <c r="E523" s="6">
        <f>IF('Settings'!$B$11="Scenario",IFERROR(INDEX('Catalogue'!$E$3:$E$100,MATCH(C523,'Catalogue'!$B$3:$B$100,0)),F523),F523)</f>
        <v>69</v>
      </c>
      <c r="F523" s="8">
        <v>69</v>
      </c>
      <c r="G523" s="3">
        <v>1</v>
      </c>
      <c r="H523" s="6">
        <f>IF('Settings'!$B$11="Scenario",ROUND(E523*G523*IFERROR(SUMIF('Pricing &amp; promotions'!$A$6:$A$8,L523,'Pricing &amp; promotions'!$B$6:$B$8)/100,0),2),J523)</f>
        <v>6.9</v>
      </c>
      <c r="I523" s="6">
        <f>ROUND((E523*G523-H523)/IF(OR(K523=TRUE,K523="TRUE",K523="YES",K523=1),1+'Settings'!$B$6/100,1),2)</f>
        <v>51.32</v>
      </c>
      <c r="J523" s="8">
        <v>6.9</v>
      </c>
      <c r="K523" s="3" t="inlineStr">
        <is>
          <t xml:space="preserve">TRUE</t>
        </is>
      </c>
      <c r="L523" s="3" t="inlineStr">
        <is>
          <t xml:space="preserve">WELCOME10</t>
        </is>
      </c>
      <c r="M523" s="6">
        <f>ROUND(E523*G523-H523,2)</f>
        <v>62.1</v>
      </c>
      <c r="N523" s="5">
        <f>IF(COUNTIF($A$3:A523,A523)=1,1,0)</f>
        <v>1</v>
      </c>
      <c r="O523" s="6">
        <f>IF(N523=1,ROUND((SUMIFS($M$3:$M$1200,$A$3:$A$1200,A523)+'Settings'!$B$13)*'Settings'!$B$14/100+'Settings'!$B$15,2),0)</f>
        <v>2.29</v>
      </c>
    </row>
    <row r="524">
      <c r="A524" s="3" t="inlineStr">
        <is>
          <t xml:space="preserve">#1384</t>
        </is>
      </c>
      <c r="B524" s="3" t="inlineStr">
        <is>
          <t xml:space="preserve">2026-03-28</t>
        </is>
      </c>
      <c r="C524" s="3" t="inlineStr">
        <is>
          <t xml:space="preserve">SKU-D</t>
        </is>
      </c>
      <c r="D524" s="3" t="inlineStr">
        <is>
          <t xml:space="preserve">Daily Duo</t>
        </is>
      </c>
      <c r="E524" s="6">
        <f>IF('Settings'!$B$11="Scenario",IFERROR(INDEX('Catalogue'!$E$3:$E$100,MATCH(C524,'Catalogue'!$B$3:$B$100,0)),F524),F524)</f>
        <v>79</v>
      </c>
      <c r="F524" s="8">
        <v>79</v>
      </c>
      <c r="G524" s="3">
        <v>1</v>
      </c>
      <c r="H524" s="6">
        <f>IF('Settings'!$B$11="Scenario",ROUND(E524*G524*IFERROR(SUMIF('Pricing &amp; promotions'!$A$6:$A$8,L524,'Pricing &amp; promotions'!$B$6:$B$8)/100,0),2),J524)</f>
        <v>7.9</v>
      </c>
      <c r="I524" s="6">
        <f>ROUND((E524*G524-H524)/IF(OR(K524=TRUE,K524="TRUE",K524="YES",K524=1),1+'Settings'!$B$6/100,1),2)</f>
        <v>58.76</v>
      </c>
      <c r="J524" s="8">
        <v>7.9</v>
      </c>
      <c r="K524" s="3" t="inlineStr">
        <is>
          <t xml:space="preserve">TRUE</t>
        </is>
      </c>
      <c r="L524" s="3" t="inlineStr">
        <is>
          <t xml:space="preserve">WELCOME10</t>
        </is>
      </c>
      <c r="M524" s="6">
        <f>ROUND(E524*G524-H524,2)</f>
        <v>71.1</v>
      </c>
      <c r="N524" s="5">
        <f>IF(COUNTIF($A$3:A524,A524)=1,1,0)</f>
        <v>0</v>
      </c>
      <c r="O524" s="6">
        <f>IF(N524=1,ROUND((SUMIFS($M$3:$M$1200,$A$3:$A$1200,A524)+'Settings'!$B$13)*'Settings'!$B$14/100+'Settings'!$B$15,2),0)</f>
        <v>0</v>
      </c>
    </row>
    <row r="525">
      <c r="A525" s="3" t="inlineStr">
        <is>
          <t xml:space="preserve">#1385</t>
        </is>
      </c>
      <c r="B525" s="3" t="inlineStr">
        <is>
          <t xml:space="preserve">2026-03-28</t>
        </is>
      </c>
      <c r="C525" s="3" t="inlineStr">
        <is>
          <t xml:space="preserve">SKU-A</t>
        </is>
      </c>
      <c r="D525" s="3" t="inlineStr">
        <is>
          <t xml:space="preserve">Renewal Serum</t>
        </is>
      </c>
      <c r="E525" s="6">
        <f>IF('Settings'!$B$11="Scenario",IFERROR(INDEX('Catalogue'!$E$3:$E$100,MATCH(C525,'Catalogue'!$B$3:$B$100,0)),F525),F525)</f>
        <v>69.9</v>
      </c>
      <c r="F525" s="8">
        <v>69.9</v>
      </c>
      <c r="G525" s="3">
        <v>1</v>
      </c>
      <c r="H525" s="6">
        <f>IF('Settings'!$B$11="Scenario",ROUND(E525*G525*IFERROR(SUMIF('Pricing &amp; promotions'!$A$6:$A$8,L525,'Pricing &amp; promotions'!$B$6:$B$8)/100,0),2),J525)</f>
        <v>10.49</v>
      </c>
      <c r="I525" s="6">
        <f>ROUND((E525*G525-H525)/IF(OR(K525=TRUE,K525="TRUE",K525="YES",K525=1),1+'Settings'!$B$6/100,1),2)</f>
        <v>49.1</v>
      </c>
      <c r="J525" s="8">
        <v>10.49</v>
      </c>
      <c r="K525" s="3" t="inlineStr">
        <is>
          <t xml:space="preserve">TRUE</t>
        </is>
      </c>
      <c r="L525" s="3" t="inlineStr">
        <is>
          <t xml:space="preserve">SUMMER15</t>
        </is>
      </c>
      <c r="M525" s="6">
        <f>ROUND(E525*G525-H525,2)</f>
        <v>59.41</v>
      </c>
      <c r="N525" s="5">
        <f>IF(COUNTIF($A$3:A525,A525)=1,1,0)</f>
        <v>1</v>
      </c>
      <c r="O525" s="6">
        <f>IF(N525=1,ROUND((SUMIFS($M$3:$M$1200,$A$3:$A$1200,A525)+'Settings'!$B$13)*'Settings'!$B$14/100+'Settings'!$B$15,2),0)</f>
        <v>1.19</v>
      </c>
    </row>
    <row r="526">
      <c r="A526" s="3" t="inlineStr">
        <is>
          <t xml:space="preserve">#1386</t>
        </is>
      </c>
      <c r="B526" s="3" t="inlineStr">
        <is>
          <t xml:space="preserve">2026-03-28</t>
        </is>
      </c>
      <c r="C526" s="3" t="inlineStr">
        <is>
          <t xml:space="preserve">SKU-D</t>
        </is>
      </c>
      <c r="D526" s="3" t="inlineStr">
        <is>
          <t xml:space="preserve">Daily Duo</t>
        </is>
      </c>
      <c r="E526" s="6">
        <f>IF('Settings'!$B$11="Scenario",IFERROR(INDEX('Catalogue'!$E$3:$E$100,MATCH(C526,'Catalogue'!$B$3:$B$100,0)),F526),F526)</f>
        <v>79</v>
      </c>
      <c r="F526" s="8">
        <v>79</v>
      </c>
      <c r="G526" s="3">
        <v>1</v>
      </c>
      <c r="H526" s="6">
        <f>IF('Settings'!$B$11="Scenario",ROUND(E526*G526*IFERROR(SUMIF('Pricing &amp; promotions'!$A$6:$A$8,L526,'Pricing &amp; promotions'!$B$6:$B$8)/100,0),2),J526)</f>
        <v>7.9</v>
      </c>
      <c r="I526" s="6">
        <f>ROUND((E526*G526-H526)/IF(OR(K526=TRUE,K526="TRUE",K526="YES",K526=1),1+'Settings'!$B$6/100,1),2)</f>
        <v>58.76</v>
      </c>
      <c r="J526" s="8">
        <v>7.9</v>
      </c>
      <c r="K526" s="3" t="inlineStr">
        <is>
          <t xml:space="preserve">TRUE</t>
        </is>
      </c>
      <c r="L526" s="3" t="inlineStr">
        <is>
          <t xml:space="preserve">WELCOME10</t>
        </is>
      </c>
      <c r="M526" s="6">
        <f>ROUND(E526*G526-H526,2)</f>
        <v>71.1</v>
      </c>
      <c r="N526" s="5">
        <f>IF(COUNTIF($A$3:A526,A526)=1,1,0)</f>
        <v>1</v>
      </c>
      <c r="O526" s="6">
        <f>IF(N526=1,ROUND((SUMIFS($M$3:$M$1200,$A$3:$A$1200,A526)+'Settings'!$B$13)*'Settings'!$B$14/100+'Settings'!$B$15,2),0)</f>
        <v>1.36</v>
      </c>
    </row>
    <row r="527">
      <c r="A527" s="3" t="inlineStr">
        <is>
          <t xml:space="preserve">#1387</t>
        </is>
      </c>
      <c r="B527" s="3" t="inlineStr">
        <is>
          <t xml:space="preserve">2026-03-29</t>
        </is>
      </c>
      <c r="C527" s="3" t="inlineStr">
        <is>
          <t xml:space="preserve">SKU-D</t>
        </is>
      </c>
      <c r="D527" s="3" t="inlineStr">
        <is>
          <t xml:space="preserve">Daily Duo</t>
        </is>
      </c>
      <c r="E527" s="6">
        <f>IF('Settings'!$B$11="Scenario",IFERROR(INDEX('Catalogue'!$E$3:$E$100,MATCH(C527,'Catalogue'!$B$3:$B$100,0)),F527),F527)</f>
        <v>79</v>
      </c>
      <c r="F527" s="8">
        <v>79</v>
      </c>
      <c r="G527" s="3">
        <v>1</v>
      </c>
      <c r="H527" s="6">
        <f>IF('Settings'!$B$11="Scenario",ROUND(E527*G527*IFERROR(SUMIF('Pricing &amp; promotions'!$A$6:$A$8,L527,'Pricing &amp; promotions'!$B$6:$B$8)/100,0),2),J527)</f>
        <v>0.0</v>
      </c>
      <c r="I527" s="6">
        <f>ROUND((E527*G527-H527)/IF(OR(K527=TRUE,K527="TRUE",K527="YES",K527=1),1+'Settings'!$B$6/100,1),2)</f>
        <v>65.29</v>
      </c>
      <c r="J527" s="8">
        <v>0.0</v>
      </c>
      <c r="K527" s="3" t="inlineStr">
        <is>
          <t xml:space="preserve">TRUE</t>
        </is>
      </c>
      <c r="L527" s="3"/>
      <c r="M527" s="6">
        <f>ROUND(E527*G527-H527,2)</f>
        <v>79.0</v>
      </c>
      <c r="N527" s="5">
        <f>IF(COUNTIF($A$3:A527,A527)=1,1,0)</f>
        <v>1</v>
      </c>
      <c r="O527" s="6">
        <f>IF(N527=1,ROUND((SUMIFS($M$3:$M$1200,$A$3:$A$1200,A527)+'Settings'!$B$13)*'Settings'!$B$14/100+'Settings'!$B$15,2),0)</f>
        <v>1.48</v>
      </c>
    </row>
    <row r="528">
      <c r="A528" s="3" t="inlineStr">
        <is>
          <t xml:space="preserve">#1388</t>
        </is>
      </c>
      <c r="B528" s="3" t="inlineStr">
        <is>
          <t xml:space="preserve">2026-03-29</t>
        </is>
      </c>
      <c r="C528" s="3" t="inlineStr">
        <is>
          <t xml:space="preserve">SKU-D</t>
        </is>
      </c>
      <c r="D528" s="3" t="inlineStr">
        <is>
          <t xml:space="preserve">Daily Duo</t>
        </is>
      </c>
      <c r="E528" s="6">
        <f>IF('Settings'!$B$11="Scenario",IFERROR(INDEX('Catalogue'!$E$3:$E$100,MATCH(C528,'Catalogue'!$B$3:$B$100,0)),F528),F528)</f>
        <v>79</v>
      </c>
      <c r="F528" s="8">
        <v>79</v>
      </c>
      <c r="G528" s="3">
        <v>1</v>
      </c>
      <c r="H528" s="6">
        <f>IF('Settings'!$B$11="Scenario",ROUND(E528*G528*IFERROR(SUMIF('Pricing &amp; promotions'!$A$6:$A$8,L528,'Pricing &amp; promotions'!$B$6:$B$8)/100,0),2),J528)</f>
        <v>0.0</v>
      </c>
      <c r="I528" s="6">
        <f>ROUND((E528*G528-H528)/IF(OR(K528=TRUE,K528="TRUE",K528="YES",K528=1),1+'Settings'!$B$6/100,1),2)</f>
        <v>65.29</v>
      </c>
      <c r="J528" s="8">
        <v>0.0</v>
      </c>
      <c r="K528" s="3" t="inlineStr">
        <is>
          <t xml:space="preserve">TRUE</t>
        </is>
      </c>
      <c r="L528" s="3"/>
      <c r="M528" s="6">
        <f>ROUND(E528*G528-H528,2)</f>
        <v>79.0</v>
      </c>
      <c r="N528" s="5">
        <f>IF(COUNTIF($A$3:A528,A528)=1,1,0)</f>
        <v>1</v>
      </c>
      <c r="O528" s="6">
        <f>IF(N528=1,ROUND((SUMIFS($M$3:$M$1200,$A$3:$A$1200,A528)+'Settings'!$B$13)*'Settings'!$B$14/100+'Settings'!$B$15,2),0)</f>
        <v>1.48</v>
      </c>
    </row>
    <row r="529">
      <c r="A529" s="3" t="inlineStr">
        <is>
          <t xml:space="preserve">#1389</t>
        </is>
      </c>
      <c r="B529" s="3" t="inlineStr">
        <is>
          <t xml:space="preserve">2026-03-29</t>
        </is>
      </c>
      <c r="C529" s="3" t="inlineStr">
        <is>
          <t xml:space="preserve">SKU-E</t>
        </is>
      </c>
      <c r="D529" s="3" t="inlineStr">
        <is>
          <t xml:space="preserve">Complete Ritual</t>
        </is>
      </c>
      <c r="E529" s="6">
        <f>IF('Settings'!$B$11="Scenario",IFERROR(INDEX('Catalogue'!$E$3:$E$100,MATCH(C529,'Catalogue'!$B$3:$B$100,0)),F529),F529)</f>
        <v>89</v>
      </c>
      <c r="F529" s="8">
        <v>89</v>
      </c>
      <c r="G529" s="3">
        <v>1</v>
      </c>
      <c r="H529" s="6">
        <f>IF('Settings'!$B$11="Scenario",ROUND(E529*G529*IFERROR(SUMIF('Pricing &amp; promotions'!$A$6:$A$8,L529,'Pricing &amp; promotions'!$B$6:$B$8)/100,0),2),J529)</f>
        <v>0.0</v>
      </c>
      <c r="I529" s="6">
        <f>ROUND((E529*G529-H529)/IF(OR(K529=TRUE,K529="TRUE",K529="YES",K529=1),1+'Settings'!$B$6/100,1),2)</f>
        <v>73.55</v>
      </c>
      <c r="J529" s="8">
        <v>0.0</v>
      </c>
      <c r="K529" s="3" t="inlineStr">
        <is>
          <t xml:space="preserve">TRUE</t>
        </is>
      </c>
      <c r="L529" s="3"/>
      <c r="M529" s="6">
        <f>ROUND(E529*G529-H529,2)</f>
        <v>89.0</v>
      </c>
      <c r="N529" s="5">
        <f>IF(COUNTIF($A$3:A529,A529)=1,1,0)</f>
        <v>1</v>
      </c>
      <c r="O529" s="6">
        <f>IF(N529=1,ROUND((SUMIFS($M$3:$M$1200,$A$3:$A$1200,A529)+'Settings'!$B$13)*'Settings'!$B$14/100+'Settings'!$B$15,2),0)</f>
        <v>1.63</v>
      </c>
    </row>
    <row r="530">
      <c r="A530" s="3" t="inlineStr">
        <is>
          <t xml:space="preserve">#1390</t>
        </is>
      </c>
      <c r="B530" s="3" t="inlineStr">
        <is>
          <t xml:space="preserve">2026-03-30</t>
        </is>
      </c>
      <c r="C530" s="3" t="inlineStr">
        <is>
          <t xml:space="preserve">SKU-C</t>
        </is>
      </c>
      <c r="D530" s="3" t="inlineStr">
        <is>
          <t xml:space="preserve">Contour Stone</t>
        </is>
      </c>
      <c r="E530" s="6">
        <f>IF('Settings'!$B$11="Scenario",IFERROR(INDEX('Catalogue'!$E$3:$E$100,MATCH(C530,'Catalogue'!$B$3:$B$100,0)),F530),F530)</f>
        <v>29</v>
      </c>
      <c r="F530" s="8">
        <v>29</v>
      </c>
      <c r="G530" s="3">
        <v>1</v>
      </c>
      <c r="H530" s="6">
        <f>IF('Settings'!$B$11="Scenario",ROUND(E530*G530*IFERROR(SUMIF('Pricing &amp; promotions'!$A$6:$A$8,L530,'Pricing &amp; promotions'!$B$6:$B$8)/100,0),2),J530)</f>
        <v>0.0</v>
      </c>
      <c r="I530" s="6">
        <f>ROUND((E530*G530-H530)/IF(OR(K530=TRUE,K530="TRUE",K530="YES",K530=1),1+'Settings'!$B$6/100,1),2)</f>
        <v>23.97</v>
      </c>
      <c r="J530" s="8">
        <v>0.0</v>
      </c>
      <c r="K530" s="3" t="inlineStr">
        <is>
          <t xml:space="preserve">TRUE</t>
        </is>
      </c>
      <c r="L530" s="3"/>
      <c r="M530" s="6">
        <f>ROUND(E530*G530-H530,2)</f>
        <v>29.0</v>
      </c>
      <c r="N530" s="5">
        <f>IF(COUNTIF($A$3:A530,A530)=1,1,0)</f>
        <v>1</v>
      </c>
      <c r="O530" s="6">
        <f>IF(N530=1,ROUND((SUMIFS($M$3:$M$1200,$A$3:$A$1200,A530)+'Settings'!$B$13)*'Settings'!$B$14/100+'Settings'!$B$15,2),0)</f>
        <v>1.01</v>
      </c>
    </row>
    <row r="531">
      <c r="A531" s="3" t="inlineStr">
        <is>
          <t xml:space="preserve">#1390</t>
        </is>
      </c>
      <c r="B531" s="3" t="inlineStr">
        <is>
          <t xml:space="preserve">2026-03-30</t>
        </is>
      </c>
      <c r="C531" s="3" t="inlineStr">
        <is>
          <t xml:space="preserve">SKU-B</t>
        </is>
      </c>
      <c r="D531" s="3" t="inlineStr">
        <is>
          <t xml:space="preserve">Barrier Balm</t>
        </is>
      </c>
      <c r="E531" s="6">
        <f>IF('Settings'!$B$11="Scenario",IFERROR(INDEX('Catalogue'!$E$3:$E$100,MATCH(C531,'Catalogue'!$B$3:$B$100,0)),F531),F531)</f>
        <v>19</v>
      </c>
      <c r="F531" s="8">
        <v>19</v>
      </c>
      <c r="G531" s="3">
        <v>1</v>
      </c>
      <c r="H531" s="6">
        <f>IF('Settings'!$B$11="Scenario",ROUND(E531*G531*IFERROR(SUMIF('Pricing &amp; promotions'!$A$6:$A$8,L531,'Pricing &amp; promotions'!$B$6:$B$8)/100,0),2),J531)</f>
        <v>0.0</v>
      </c>
      <c r="I531" s="6">
        <f>ROUND((E531*G531-H531)/IF(OR(K531=TRUE,K531="TRUE",K531="YES",K531=1),1+'Settings'!$B$6/100,1),2)</f>
        <v>15.7</v>
      </c>
      <c r="J531" s="8">
        <v>0.0</v>
      </c>
      <c r="K531" s="3" t="inlineStr">
        <is>
          <t xml:space="preserve">TRUE</t>
        </is>
      </c>
      <c r="L531" s="3"/>
      <c r="M531" s="6">
        <f>ROUND(E531*G531-H531,2)</f>
        <v>19.0</v>
      </c>
      <c r="N531" s="5">
        <f>IF(COUNTIF($A$3:A531,A531)=1,1,0)</f>
        <v>0</v>
      </c>
      <c r="O531" s="6">
        <f>IF(N531=1,ROUND((SUMIFS($M$3:$M$1200,$A$3:$A$1200,A531)+'Settings'!$B$13)*'Settings'!$B$14/100+'Settings'!$B$15,2),0)</f>
        <v>0</v>
      </c>
    </row>
    <row r="532">
      <c r="A532" s="3" t="inlineStr">
        <is>
          <t xml:space="preserve">#1391</t>
        </is>
      </c>
      <c r="B532" s="3" t="inlineStr">
        <is>
          <t xml:space="preserve">2026-03-30</t>
        </is>
      </c>
      <c r="C532" s="3" t="inlineStr">
        <is>
          <t xml:space="preserve">SKU-A</t>
        </is>
      </c>
      <c r="D532" s="3" t="inlineStr">
        <is>
          <t xml:space="preserve">Renewal Serum</t>
        </is>
      </c>
      <c r="E532" s="6">
        <f>IF('Settings'!$B$11="Scenario",IFERROR(INDEX('Catalogue'!$E$3:$E$100,MATCH(C532,'Catalogue'!$B$3:$B$100,0)),F532),F532)</f>
        <v>69.9</v>
      </c>
      <c r="F532" s="8">
        <v>69.9</v>
      </c>
      <c r="G532" s="3">
        <v>1</v>
      </c>
      <c r="H532" s="6">
        <f>IF('Settings'!$B$11="Scenario",ROUND(E532*G532*IFERROR(SUMIF('Pricing &amp; promotions'!$A$6:$A$8,L532,'Pricing &amp; promotions'!$B$6:$B$8)/100,0),2),J532)</f>
        <v>10.49</v>
      </c>
      <c r="I532" s="6">
        <f>ROUND((E532*G532-H532)/IF(OR(K532=TRUE,K532="TRUE",K532="YES",K532=1),1+'Settings'!$B$6/100,1),2)</f>
        <v>49.1</v>
      </c>
      <c r="J532" s="8">
        <v>10.49</v>
      </c>
      <c r="K532" s="3" t="inlineStr">
        <is>
          <t xml:space="preserve">TRUE</t>
        </is>
      </c>
      <c r="L532" s="3" t="inlineStr">
        <is>
          <t xml:space="preserve">SUMMER15</t>
        </is>
      </c>
      <c r="M532" s="6">
        <f>ROUND(E532*G532-H532,2)</f>
        <v>59.41</v>
      </c>
      <c r="N532" s="5">
        <f>IF(COUNTIF($A$3:A532,A532)=1,1,0)</f>
        <v>1</v>
      </c>
      <c r="O532" s="6">
        <f>IF(N532=1,ROUND((SUMIFS($M$3:$M$1200,$A$3:$A$1200,A532)+'Settings'!$B$13)*'Settings'!$B$14/100+'Settings'!$B$15,2),0)</f>
        <v>2.94</v>
      </c>
    </row>
    <row r="533">
      <c r="A533" s="3" t="inlineStr">
        <is>
          <t xml:space="preserve">#1391</t>
        </is>
      </c>
      <c r="B533" s="3" t="inlineStr">
        <is>
          <t xml:space="preserve">2026-03-30</t>
        </is>
      </c>
      <c r="C533" s="3" t="inlineStr">
        <is>
          <t xml:space="preserve">SKU-G</t>
        </is>
      </c>
      <c r="D533" s="3" t="inlineStr">
        <is>
          <t xml:space="preserve">Daily Reset Set</t>
        </is>
      </c>
      <c r="E533" s="6">
        <f>IF('Settings'!$B$11="Scenario",IFERROR(INDEX('Catalogue'!$E$3:$E$100,MATCH(C533,'Catalogue'!$B$3:$B$100,0)),F533),F533)</f>
        <v>69</v>
      </c>
      <c r="F533" s="8">
        <v>69</v>
      </c>
      <c r="G533" s="3">
        <v>2</v>
      </c>
      <c r="H533" s="6">
        <f>IF('Settings'!$B$11="Scenario",ROUND(E533*G533*IFERROR(SUMIF('Pricing &amp; promotions'!$A$6:$A$8,L533,'Pricing &amp; promotions'!$B$6:$B$8)/100,0),2),J533)</f>
        <v>20.7</v>
      </c>
      <c r="I533" s="6">
        <f>ROUND((E533*G533-H533)/IF(OR(K533=TRUE,K533="TRUE",K533="YES",K533=1),1+'Settings'!$B$6/100,1),2)</f>
        <v>96.94</v>
      </c>
      <c r="J533" s="8">
        <v>20.7</v>
      </c>
      <c r="K533" s="3" t="inlineStr">
        <is>
          <t xml:space="preserve">TRUE</t>
        </is>
      </c>
      <c r="L533" s="3" t="inlineStr">
        <is>
          <t xml:space="preserve">SUMMER15</t>
        </is>
      </c>
      <c r="M533" s="6">
        <f>ROUND(E533*G533-H533,2)</f>
        <v>117.3</v>
      </c>
      <c r="N533" s="5">
        <f>IF(COUNTIF($A$3:A533,A533)=1,1,0)</f>
        <v>0</v>
      </c>
      <c r="O533" s="6">
        <f>IF(N533=1,ROUND((SUMIFS($M$3:$M$1200,$A$3:$A$1200,A533)+'Settings'!$B$13)*'Settings'!$B$14/100+'Settings'!$B$15,2),0)</f>
        <v>0</v>
      </c>
    </row>
    <row r="534">
      <c r="A534" s="3" t="inlineStr">
        <is>
          <t xml:space="preserve">#1392</t>
        </is>
      </c>
      <c r="B534" s="3" t="inlineStr">
        <is>
          <t xml:space="preserve">2026-03-31</t>
        </is>
      </c>
      <c r="C534" s="3" t="inlineStr">
        <is>
          <t xml:space="preserve">SKU-E</t>
        </is>
      </c>
      <c r="D534" s="3" t="inlineStr">
        <is>
          <t xml:space="preserve">Complete Ritual</t>
        </is>
      </c>
      <c r="E534" s="6">
        <f>IF('Settings'!$B$11="Scenario",IFERROR(INDEX('Catalogue'!$E$3:$E$100,MATCH(C534,'Catalogue'!$B$3:$B$100,0)),F534),F534)</f>
        <v>89</v>
      </c>
      <c r="F534" s="8">
        <v>89</v>
      </c>
      <c r="G534" s="3">
        <v>1</v>
      </c>
      <c r="H534" s="6">
        <f>IF('Settings'!$B$11="Scenario",ROUND(E534*G534*IFERROR(SUMIF('Pricing &amp; promotions'!$A$6:$A$8,L534,'Pricing &amp; promotions'!$B$6:$B$8)/100,0),2),J534)</f>
        <v>0.0</v>
      </c>
      <c r="I534" s="6">
        <f>ROUND((E534*G534-H534)/IF(OR(K534=TRUE,K534="TRUE",K534="YES",K534=1),1+'Settings'!$B$6/100,1),2)</f>
        <v>73.55</v>
      </c>
      <c r="J534" s="8">
        <v>0.0</v>
      </c>
      <c r="K534" s="3" t="inlineStr">
        <is>
          <t xml:space="preserve">TRUE</t>
        </is>
      </c>
      <c r="L534" s="3"/>
      <c r="M534" s="6">
        <f>ROUND(E534*G534-H534,2)</f>
        <v>89.0</v>
      </c>
      <c r="N534" s="5">
        <f>IF(COUNTIF($A$3:A534,A534)=1,1,0)</f>
        <v>1</v>
      </c>
      <c r="O534" s="6">
        <f>IF(N534=1,ROUND((SUMIFS($M$3:$M$1200,$A$3:$A$1200,A534)+'Settings'!$B$13)*'Settings'!$B$14/100+'Settings'!$B$15,2),0)</f>
        <v>2.81</v>
      </c>
    </row>
    <row r="535">
      <c r="A535" s="3" t="inlineStr">
        <is>
          <t xml:space="preserve">#1392</t>
        </is>
      </c>
      <c r="B535" s="3" t="inlineStr">
        <is>
          <t xml:space="preserve">2026-03-31</t>
        </is>
      </c>
      <c r="C535" s="3" t="inlineStr">
        <is>
          <t xml:space="preserve">SKU-D</t>
        </is>
      </c>
      <c r="D535" s="3" t="inlineStr">
        <is>
          <t xml:space="preserve">Daily Duo</t>
        </is>
      </c>
      <c r="E535" s="6">
        <f>IF('Settings'!$B$11="Scenario",IFERROR(INDEX('Catalogue'!$E$3:$E$100,MATCH(C535,'Catalogue'!$B$3:$B$100,0)),F535),F535)</f>
        <v>79</v>
      </c>
      <c r="F535" s="8">
        <v>79</v>
      </c>
      <c r="G535" s="3">
        <v>1</v>
      </c>
      <c r="H535" s="6">
        <f>IF('Settings'!$B$11="Scenario",ROUND(E535*G535*IFERROR(SUMIF('Pricing &amp; promotions'!$A$6:$A$8,L535,'Pricing &amp; promotions'!$B$6:$B$8)/100,0),2),J535)</f>
        <v>0.0</v>
      </c>
      <c r="I535" s="6">
        <f>ROUND((E535*G535-H535)/IF(OR(K535=TRUE,K535="TRUE",K535="YES",K535=1),1+'Settings'!$B$6/100,1),2)</f>
        <v>65.29</v>
      </c>
      <c r="J535" s="8">
        <v>0.0</v>
      </c>
      <c r="K535" s="3" t="inlineStr">
        <is>
          <t xml:space="preserve">TRUE</t>
        </is>
      </c>
      <c r="L535" s="3"/>
      <c r="M535" s="6">
        <f>ROUND(E535*G535-H535,2)</f>
        <v>79.0</v>
      </c>
      <c r="N535" s="5">
        <f>IF(COUNTIF($A$3:A535,A535)=1,1,0)</f>
        <v>0</v>
      </c>
      <c r="O535" s="6">
        <f>IF(N535=1,ROUND((SUMIFS($M$3:$M$1200,$A$3:$A$1200,A535)+'Settings'!$B$13)*'Settings'!$B$14/100+'Settings'!$B$15,2),0)</f>
        <v>0</v>
      </c>
    </row>
    <row r="536">
      <c r="A536" s="3" t="inlineStr">
        <is>
          <t xml:space="preserve">#1393</t>
        </is>
      </c>
      <c r="B536" s="3" t="inlineStr">
        <is>
          <t xml:space="preserve">2026-03-31</t>
        </is>
      </c>
      <c r="C536" s="3" t="inlineStr">
        <is>
          <t xml:space="preserve">SKU-D</t>
        </is>
      </c>
      <c r="D536" s="3" t="inlineStr">
        <is>
          <t xml:space="preserve">Daily Duo</t>
        </is>
      </c>
      <c r="E536" s="6">
        <f>IF('Settings'!$B$11="Scenario",IFERROR(INDEX('Catalogue'!$E$3:$E$100,MATCH(C536,'Catalogue'!$B$3:$B$100,0)),F536),F536)</f>
        <v>79</v>
      </c>
      <c r="F536" s="8">
        <v>79</v>
      </c>
      <c r="G536" s="3">
        <v>1</v>
      </c>
      <c r="H536" s="6">
        <f>IF('Settings'!$B$11="Scenario",ROUND(E536*G536*IFERROR(SUMIF('Pricing &amp; promotions'!$A$6:$A$8,L536,'Pricing &amp; promotions'!$B$6:$B$8)/100,0),2),J536)</f>
        <v>11.85</v>
      </c>
      <c r="I536" s="6">
        <f>ROUND((E536*G536-H536)/IF(OR(K536=TRUE,K536="TRUE",K536="YES",K536=1),1+'Settings'!$B$6/100,1),2)</f>
        <v>55.5</v>
      </c>
      <c r="J536" s="8">
        <v>11.85</v>
      </c>
      <c r="K536" s="3" t="inlineStr">
        <is>
          <t xml:space="preserve">TRUE</t>
        </is>
      </c>
      <c r="L536" s="3" t="inlineStr">
        <is>
          <t xml:space="preserve">SUMMER15</t>
        </is>
      </c>
      <c r="M536" s="6">
        <f>ROUND(E536*G536-H536,2)</f>
        <v>67.15</v>
      </c>
      <c r="N536" s="5">
        <f>IF(COUNTIF($A$3:A536,A536)=1,1,0)</f>
        <v>1</v>
      </c>
      <c r="O536" s="6">
        <f>IF(N536=1,ROUND((SUMIFS($M$3:$M$1200,$A$3:$A$1200,A536)+'Settings'!$B$13)*'Settings'!$B$14/100+'Settings'!$B$15,2),0)</f>
        <v>1.3</v>
      </c>
    </row>
    <row r="537">
      <c r="A537" s="3" t="inlineStr">
        <is>
          <t xml:space="preserve">#1394</t>
        </is>
      </c>
      <c r="B537" s="3" t="inlineStr">
        <is>
          <t xml:space="preserve">2026-04-01</t>
        </is>
      </c>
      <c r="C537" s="3" t="inlineStr">
        <is>
          <t xml:space="preserve">SKU-A</t>
        </is>
      </c>
      <c r="D537" s="3" t="inlineStr">
        <is>
          <t xml:space="preserve">Renewal Serum</t>
        </is>
      </c>
      <c r="E537" s="6">
        <f>IF('Settings'!$B$11="Scenario",IFERROR(INDEX('Catalogue'!$E$3:$E$100,MATCH(C537,'Catalogue'!$B$3:$B$100,0)),F537),F537)</f>
        <v>69.9</v>
      </c>
      <c r="F537" s="8">
        <v>69.9</v>
      </c>
      <c r="G537" s="3">
        <v>1</v>
      </c>
      <c r="H537" s="6">
        <f>IF('Settings'!$B$11="Scenario",ROUND(E537*G537*IFERROR(SUMIF('Pricing &amp; promotions'!$A$6:$A$8,L537,'Pricing &amp; promotions'!$B$6:$B$8)/100,0),2),J537)</f>
        <v>0.0</v>
      </c>
      <c r="I537" s="6">
        <f>ROUND((E537*G537-H537)/IF(OR(K537=TRUE,K537="TRUE",K537="YES",K537=1),1+'Settings'!$B$6/100,1),2)</f>
        <v>57.77</v>
      </c>
      <c r="J537" s="8">
        <v>0.0</v>
      </c>
      <c r="K537" s="3" t="inlineStr">
        <is>
          <t xml:space="preserve">TRUE</t>
        </is>
      </c>
      <c r="L537" s="3"/>
      <c r="M537" s="6">
        <f>ROUND(E537*G537-H537,2)</f>
        <v>69.9</v>
      </c>
      <c r="N537" s="5">
        <f>IF(COUNTIF($A$3:A537,A537)=1,1,0)</f>
        <v>1</v>
      </c>
      <c r="O537" s="6">
        <f>IF(N537=1,ROUND((SUMIFS($M$3:$M$1200,$A$3:$A$1200,A537)+'Settings'!$B$13)*'Settings'!$B$14/100+'Settings'!$B$15,2),0)</f>
        <v>1.34</v>
      </c>
    </row>
    <row r="538">
      <c r="A538" s="3" t="inlineStr">
        <is>
          <t xml:space="preserve">#1395</t>
        </is>
      </c>
      <c r="B538" s="3" t="inlineStr">
        <is>
          <t xml:space="preserve">2026-04-01</t>
        </is>
      </c>
      <c r="C538" s="3" t="inlineStr">
        <is>
          <t xml:space="preserve">SKU-F</t>
        </is>
      </c>
      <c r="D538" s="3" t="inlineStr">
        <is>
          <t xml:space="preserve">Cloud Cleanser</t>
        </is>
      </c>
      <c r="E538" s="6">
        <f>IF('Settings'!$B$11="Scenario",IFERROR(INDEX('Catalogue'!$E$3:$E$100,MATCH(C538,'Catalogue'!$B$3:$B$100,0)),F538),F538)</f>
        <v>34</v>
      </c>
      <c r="F538" s="8">
        <v>34</v>
      </c>
      <c r="G538" s="3">
        <v>1</v>
      </c>
      <c r="H538" s="6">
        <f>IF('Settings'!$B$11="Scenario",ROUND(E538*G538*IFERROR(SUMIF('Pricing &amp; promotions'!$A$6:$A$8,L538,'Pricing &amp; promotions'!$B$6:$B$8)/100,0),2),J538)</f>
        <v>3.4</v>
      </c>
      <c r="I538" s="6">
        <f>ROUND((E538*G538-H538)/IF(OR(K538=TRUE,K538="TRUE",K538="YES",K538=1),1+'Settings'!$B$6/100,1),2)</f>
        <v>25.29</v>
      </c>
      <c r="J538" s="8">
        <v>3.4</v>
      </c>
      <c r="K538" s="3" t="inlineStr">
        <is>
          <t xml:space="preserve">TRUE</t>
        </is>
      </c>
      <c r="L538" s="3" t="inlineStr">
        <is>
          <t xml:space="preserve">WELCOME10</t>
        </is>
      </c>
      <c r="M538" s="6">
        <f>ROUND(E538*G538-H538,2)</f>
        <v>30.6</v>
      </c>
      <c r="N538" s="5">
        <f>IF(COUNTIF($A$3:A538,A538)=1,1,0)</f>
        <v>1</v>
      </c>
      <c r="O538" s="6">
        <f>IF(N538=1,ROUND((SUMIFS($M$3:$M$1200,$A$3:$A$1200,A538)+'Settings'!$B$13)*'Settings'!$B$14/100+'Settings'!$B$15,2),0)</f>
        <v>0.75</v>
      </c>
    </row>
    <row r="539">
      <c r="A539" s="3" t="inlineStr">
        <is>
          <t xml:space="preserve">#1396</t>
        </is>
      </c>
      <c r="B539" s="3" t="inlineStr">
        <is>
          <t xml:space="preserve">2026-04-01</t>
        </is>
      </c>
      <c r="C539" s="3" t="inlineStr">
        <is>
          <t xml:space="preserve">SKU-B</t>
        </is>
      </c>
      <c r="D539" s="3" t="inlineStr">
        <is>
          <t xml:space="preserve">Barrier Balm</t>
        </is>
      </c>
      <c r="E539" s="6">
        <f>IF('Settings'!$B$11="Scenario",IFERROR(INDEX('Catalogue'!$E$3:$E$100,MATCH(C539,'Catalogue'!$B$3:$B$100,0)),F539),F539)</f>
        <v>19</v>
      </c>
      <c r="F539" s="8">
        <v>19</v>
      </c>
      <c r="G539" s="3">
        <v>1</v>
      </c>
      <c r="H539" s="6">
        <f>IF('Settings'!$B$11="Scenario",ROUND(E539*G539*IFERROR(SUMIF('Pricing &amp; promotions'!$A$6:$A$8,L539,'Pricing &amp; promotions'!$B$6:$B$8)/100,0),2),J539)</f>
        <v>3.8</v>
      </c>
      <c r="I539" s="6">
        <f>ROUND((E539*G539-H539)/IF(OR(K539=TRUE,K539="TRUE",K539="YES",K539=1),1+'Settings'!$B$6/100,1),2)</f>
        <v>12.56</v>
      </c>
      <c r="J539" s="8">
        <v>3.8</v>
      </c>
      <c r="K539" s="3" t="inlineStr">
        <is>
          <t xml:space="preserve">TRUE</t>
        </is>
      </c>
      <c r="L539" s="3" t="inlineStr">
        <is>
          <t xml:space="preserve">VIP20</t>
        </is>
      </c>
      <c r="M539" s="6">
        <f>ROUND(E539*G539-H539,2)</f>
        <v>15.2</v>
      </c>
      <c r="N539" s="5">
        <f>IF(COUNTIF($A$3:A539,A539)=1,1,0)</f>
        <v>1</v>
      </c>
      <c r="O539" s="6">
        <f>IF(N539=1,ROUND((SUMIFS($M$3:$M$1200,$A$3:$A$1200,A539)+'Settings'!$B$13)*'Settings'!$B$14/100+'Settings'!$B$15,2),0)</f>
        <v>1.35</v>
      </c>
    </row>
    <row r="540">
      <c r="A540" s="3" t="inlineStr">
        <is>
          <t xml:space="preserve">#1396</t>
        </is>
      </c>
      <c r="B540" s="3" t="inlineStr">
        <is>
          <t xml:space="preserve">2026-04-01</t>
        </is>
      </c>
      <c r="C540" s="3" t="inlineStr">
        <is>
          <t xml:space="preserve">SKU-G</t>
        </is>
      </c>
      <c r="D540" s="3" t="inlineStr">
        <is>
          <t xml:space="preserve">Daily Reset Set</t>
        </is>
      </c>
      <c r="E540" s="6">
        <f>IF('Settings'!$B$11="Scenario",IFERROR(INDEX('Catalogue'!$E$3:$E$100,MATCH(C540,'Catalogue'!$B$3:$B$100,0)),F540),F540)</f>
        <v>69</v>
      </c>
      <c r="F540" s="8">
        <v>69</v>
      </c>
      <c r="G540" s="3">
        <v>1</v>
      </c>
      <c r="H540" s="6">
        <f>IF('Settings'!$B$11="Scenario",ROUND(E540*G540*IFERROR(SUMIF('Pricing &amp; promotions'!$A$6:$A$8,L540,'Pricing &amp; promotions'!$B$6:$B$8)/100,0),2),J540)</f>
        <v>13.8</v>
      </c>
      <c r="I540" s="6">
        <f>ROUND((E540*G540-H540)/IF(OR(K540=TRUE,K540="TRUE",K540="YES",K540=1),1+'Settings'!$B$6/100,1),2)</f>
        <v>45.62</v>
      </c>
      <c r="J540" s="8">
        <v>13.8</v>
      </c>
      <c r="K540" s="3" t="inlineStr">
        <is>
          <t xml:space="preserve">TRUE</t>
        </is>
      </c>
      <c r="L540" s="3" t="inlineStr">
        <is>
          <t xml:space="preserve">VIP20</t>
        </is>
      </c>
      <c r="M540" s="6">
        <f>ROUND(E540*G540-H540,2)</f>
        <v>55.2</v>
      </c>
      <c r="N540" s="5">
        <f>IF(COUNTIF($A$3:A540,A540)=1,1,0)</f>
        <v>0</v>
      </c>
      <c r="O540" s="6">
        <f>IF(N540=1,ROUND((SUMIFS($M$3:$M$1200,$A$3:$A$1200,A540)+'Settings'!$B$13)*'Settings'!$B$14/100+'Settings'!$B$15,2),0)</f>
        <v>0</v>
      </c>
    </row>
    <row r="541">
      <c r="A541" s="3" t="inlineStr">
        <is>
          <t xml:space="preserve">#1397</t>
        </is>
      </c>
      <c r="B541" s="3" t="inlineStr">
        <is>
          <t xml:space="preserve">2026-04-03</t>
        </is>
      </c>
      <c r="C541" s="3" t="inlineStr">
        <is>
          <t xml:space="preserve">SKU-D</t>
        </is>
      </c>
      <c r="D541" s="3" t="inlineStr">
        <is>
          <t xml:space="preserve">Daily Duo</t>
        </is>
      </c>
      <c r="E541" s="6">
        <f>IF('Settings'!$B$11="Scenario",IFERROR(INDEX('Catalogue'!$E$3:$E$100,MATCH(C541,'Catalogue'!$B$3:$B$100,0)),F541),F541)</f>
        <v>79</v>
      </c>
      <c r="F541" s="8">
        <v>79</v>
      </c>
      <c r="G541" s="3">
        <v>1</v>
      </c>
      <c r="H541" s="6">
        <f>IF('Settings'!$B$11="Scenario",ROUND(E541*G541*IFERROR(SUMIF('Pricing &amp; promotions'!$A$6:$A$8,L541,'Pricing &amp; promotions'!$B$6:$B$8)/100,0),2),J541)</f>
        <v>11.85</v>
      </c>
      <c r="I541" s="6">
        <f>ROUND((E541*G541-H541)/IF(OR(K541=TRUE,K541="TRUE",K541="YES",K541=1),1+'Settings'!$B$6/100,1),2)</f>
        <v>55.5</v>
      </c>
      <c r="J541" s="8">
        <v>11.85</v>
      </c>
      <c r="K541" s="3" t="inlineStr">
        <is>
          <t xml:space="preserve">TRUE</t>
        </is>
      </c>
      <c r="L541" s="3" t="inlineStr">
        <is>
          <t xml:space="preserve">SUMMER15</t>
        </is>
      </c>
      <c r="M541" s="6">
        <f>ROUND(E541*G541-H541,2)</f>
        <v>67.15</v>
      </c>
      <c r="N541" s="5">
        <f>IF(COUNTIF($A$3:A541,A541)=1,1,0)</f>
        <v>1</v>
      </c>
      <c r="O541" s="6">
        <f>IF(N541=1,ROUND((SUMIFS($M$3:$M$1200,$A$3:$A$1200,A541)+'Settings'!$B$13)*'Settings'!$B$14/100+'Settings'!$B$15,2),0)</f>
        <v>1.3</v>
      </c>
    </row>
    <row r="542">
      <c r="A542" s="3" t="inlineStr">
        <is>
          <t xml:space="preserve">#1398</t>
        </is>
      </c>
      <c r="B542" s="3" t="inlineStr">
        <is>
          <t xml:space="preserve">2026-04-04</t>
        </is>
      </c>
      <c r="C542" s="3" t="inlineStr">
        <is>
          <t xml:space="preserve">SKU-B</t>
        </is>
      </c>
      <c r="D542" s="3" t="inlineStr">
        <is>
          <t xml:space="preserve">Barrier Balm</t>
        </is>
      </c>
      <c r="E542" s="6">
        <f>IF('Settings'!$B$11="Scenario",IFERROR(INDEX('Catalogue'!$E$3:$E$100,MATCH(C542,'Catalogue'!$B$3:$B$100,0)),F542),F542)</f>
        <v>19</v>
      </c>
      <c r="F542" s="8">
        <v>19</v>
      </c>
      <c r="G542" s="3">
        <v>2</v>
      </c>
      <c r="H542" s="6">
        <f>IF('Settings'!$B$11="Scenario",ROUND(E542*G542*IFERROR(SUMIF('Pricing &amp; promotions'!$A$6:$A$8,L542,'Pricing &amp; promotions'!$B$6:$B$8)/100,0),2),J542)</f>
        <v>0.0</v>
      </c>
      <c r="I542" s="6">
        <f>ROUND((E542*G542-H542)/IF(OR(K542=TRUE,K542="TRUE",K542="YES",K542=1),1+'Settings'!$B$6/100,1),2)</f>
        <v>31.4</v>
      </c>
      <c r="J542" s="8">
        <v>0.0</v>
      </c>
      <c r="K542" s="3" t="inlineStr">
        <is>
          <t xml:space="preserve">TRUE</t>
        </is>
      </c>
      <c r="L542" s="3"/>
      <c r="M542" s="6">
        <f>ROUND(E542*G542-H542,2)</f>
        <v>38.0</v>
      </c>
      <c r="N542" s="5">
        <f>IF(COUNTIF($A$3:A542,A542)=1,1,0)</f>
        <v>1</v>
      </c>
      <c r="O542" s="6">
        <f>IF(N542=1,ROUND((SUMIFS($M$3:$M$1200,$A$3:$A$1200,A542)+'Settings'!$B$13)*'Settings'!$B$14/100+'Settings'!$B$15,2),0)</f>
        <v>0.86</v>
      </c>
    </row>
    <row r="543">
      <c r="A543" s="3" t="inlineStr">
        <is>
          <t xml:space="preserve">#1399</t>
        </is>
      </c>
      <c r="B543" s="3" t="inlineStr">
        <is>
          <t xml:space="preserve">2026-04-04</t>
        </is>
      </c>
      <c r="C543" s="3" t="inlineStr">
        <is>
          <t xml:space="preserve">SKU-G</t>
        </is>
      </c>
      <c r="D543" s="3" t="inlineStr">
        <is>
          <t xml:space="preserve">Daily Reset Set</t>
        </is>
      </c>
      <c r="E543" s="6">
        <f>IF('Settings'!$B$11="Scenario",IFERROR(INDEX('Catalogue'!$E$3:$E$100,MATCH(C543,'Catalogue'!$B$3:$B$100,0)),F543),F543)</f>
        <v>69</v>
      </c>
      <c r="F543" s="8">
        <v>69</v>
      </c>
      <c r="G543" s="3">
        <v>1</v>
      </c>
      <c r="H543" s="6">
        <f>IF('Settings'!$B$11="Scenario",ROUND(E543*G543*IFERROR(SUMIF('Pricing &amp; promotions'!$A$6:$A$8,L543,'Pricing &amp; promotions'!$B$6:$B$8)/100,0),2),J543)</f>
        <v>0.0</v>
      </c>
      <c r="I543" s="6">
        <f>ROUND((E543*G543-H543)/IF(OR(K543=TRUE,K543="TRUE",K543="YES",K543=1),1+'Settings'!$B$6/100,1),2)</f>
        <v>57.02</v>
      </c>
      <c r="J543" s="8">
        <v>0.0</v>
      </c>
      <c r="K543" s="3" t="inlineStr">
        <is>
          <t xml:space="preserve">TRUE</t>
        </is>
      </c>
      <c r="L543" s="3"/>
      <c r="M543" s="6">
        <f>ROUND(E543*G543-H543,2)</f>
        <v>69.0</v>
      </c>
      <c r="N543" s="5">
        <f>IF(COUNTIF($A$3:A543,A543)=1,1,0)</f>
        <v>1</v>
      </c>
      <c r="O543" s="6">
        <f>IF(N543=1,ROUND((SUMIFS($M$3:$M$1200,$A$3:$A$1200,A543)+'Settings'!$B$13)*'Settings'!$B$14/100+'Settings'!$B$15,2),0)</f>
        <v>1.61</v>
      </c>
    </row>
    <row r="544">
      <c r="A544" s="3" t="inlineStr">
        <is>
          <t xml:space="preserve">#1399</t>
        </is>
      </c>
      <c r="B544" s="3" t="inlineStr">
        <is>
          <t xml:space="preserve">2026-04-04</t>
        </is>
      </c>
      <c r="C544" s="3" t="inlineStr">
        <is>
          <t xml:space="preserve">SKU-B</t>
        </is>
      </c>
      <c r="D544" s="3" t="inlineStr">
        <is>
          <t xml:space="preserve">Barrier Balm</t>
        </is>
      </c>
      <c r="E544" s="6">
        <f>IF('Settings'!$B$11="Scenario",IFERROR(INDEX('Catalogue'!$E$3:$E$100,MATCH(C544,'Catalogue'!$B$3:$B$100,0)),F544),F544)</f>
        <v>19</v>
      </c>
      <c r="F544" s="8">
        <v>19</v>
      </c>
      <c r="G544" s="3">
        <v>1</v>
      </c>
      <c r="H544" s="6">
        <f>IF('Settings'!$B$11="Scenario",ROUND(E544*G544*IFERROR(SUMIF('Pricing &amp; promotions'!$A$6:$A$8,L544,'Pricing &amp; promotions'!$B$6:$B$8)/100,0),2),J544)</f>
        <v>0.0</v>
      </c>
      <c r="I544" s="6">
        <f>ROUND((E544*G544-H544)/IF(OR(K544=TRUE,K544="TRUE",K544="YES",K544=1),1+'Settings'!$B$6/100,1),2)</f>
        <v>15.7</v>
      </c>
      <c r="J544" s="8">
        <v>0.0</v>
      </c>
      <c r="K544" s="3" t="inlineStr">
        <is>
          <t xml:space="preserve">TRUE</t>
        </is>
      </c>
      <c r="L544" s="3"/>
      <c r="M544" s="6">
        <f>ROUND(E544*G544-H544,2)</f>
        <v>19.0</v>
      </c>
      <c r="N544" s="5">
        <f>IF(COUNTIF($A$3:A544,A544)=1,1,0)</f>
        <v>0</v>
      </c>
      <c r="O544" s="6">
        <f>IF(N544=1,ROUND((SUMIFS($M$3:$M$1200,$A$3:$A$1200,A544)+'Settings'!$B$13)*'Settings'!$B$14/100+'Settings'!$B$15,2),0)</f>
        <v>0</v>
      </c>
    </row>
    <row r="545">
      <c r="A545" s="3" t="inlineStr">
        <is>
          <t xml:space="preserve">#1400</t>
        </is>
      </c>
      <c r="B545" s="3" t="inlineStr">
        <is>
          <t xml:space="preserve">2026-04-05</t>
        </is>
      </c>
      <c r="C545" s="3" t="inlineStr">
        <is>
          <t xml:space="preserve">SKU-A</t>
        </is>
      </c>
      <c r="D545" s="3" t="inlineStr">
        <is>
          <t xml:space="preserve">Renewal Serum</t>
        </is>
      </c>
      <c r="E545" s="6">
        <f>IF('Settings'!$B$11="Scenario",IFERROR(INDEX('Catalogue'!$E$3:$E$100,MATCH(C545,'Catalogue'!$B$3:$B$100,0)),F545),F545)</f>
        <v>69.9</v>
      </c>
      <c r="F545" s="8">
        <v>69.9</v>
      </c>
      <c r="G545" s="3">
        <v>1</v>
      </c>
      <c r="H545" s="6">
        <f>IF('Settings'!$B$11="Scenario",ROUND(E545*G545*IFERROR(SUMIF('Pricing &amp; promotions'!$A$6:$A$8,L545,'Pricing &amp; promotions'!$B$6:$B$8)/100,0),2),J545)</f>
        <v>0.0</v>
      </c>
      <c r="I545" s="6">
        <f>ROUND((E545*G545-H545)/IF(OR(K545=TRUE,K545="TRUE",K545="YES",K545=1),1+'Settings'!$B$6/100,1),2)</f>
        <v>57.77</v>
      </c>
      <c r="J545" s="8">
        <v>0.0</v>
      </c>
      <c r="K545" s="3" t="inlineStr">
        <is>
          <t xml:space="preserve">TRUE</t>
        </is>
      </c>
      <c r="L545" s="3"/>
      <c r="M545" s="6">
        <f>ROUND(E545*G545-H545,2)</f>
        <v>69.9</v>
      </c>
      <c r="N545" s="5">
        <f>IF(COUNTIF($A$3:A545,A545)=1,1,0)</f>
        <v>1</v>
      </c>
      <c r="O545" s="6">
        <f>IF(N545=1,ROUND((SUMIFS($M$3:$M$1200,$A$3:$A$1200,A545)+'Settings'!$B$13)*'Settings'!$B$14/100+'Settings'!$B$15,2),0)</f>
        <v>1.34</v>
      </c>
    </row>
    <row r="546">
      <c r="A546" s="3" t="inlineStr">
        <is>
          <t xml:space="preserve">#1401</t>
        </is>
      </c>
      <c r="B546" s="3" t="inlineStr">
        <is>
          <t xml:space="preserve">2026-04-05</t>
        </is>
      </c>
      <c r="C546" s="3" t="inlineStr">
        <is>
          <t xml:space="preserve">SKU-D</t>
        </is>
      </c>
      <c r="D546" s="3" t="inlineStr">
        <is>
          <t xml:space="preserve">Daily Duo</t>
        </is>
      </c>
      <c r="E546" s="6">
        <f>IF('Settings'!$B$11="Scenario",IFERROR(INDEX('Catalogue'!$E$3:$E$100,MATCH(C546,'Catalogue'!$B$3:$B$100,0)),F546),F546)</f>
        <v>79</v>
      </c>
      <c r="F546" s="8">
        <v>79</v>
      </c>
      <c r="G546" s="3">
        <v>1</v>
      </c>
      <c r="H546" s="6">
        <f>IF('Settings'!$B$11="Scenario",ROUND(E546*G546*IFERROR(SUMIF('Pricing &amp; promotions'!$A$6:$A$8,L546,'Pricing &amp; promotions'!$B$6:$B$8)/100,0),2),J546)</f>
        <v>0.0</v>
      </c>
      <c r="I546" s="6">
        <f>ROUND((E546*G546-H546)/IF(OR(K546=TRUE,K546="TRUE",K546="YES",K546=1),1+'Settings'!$B$6/100,1),2)</f>
        <v>65.29</v>
      </c>
      <c r="J546" s="8">
        <v>0.0</v>
      </c>
      <c r="K546" s="3" t="inlineStr">
        <is>
          <t xml:space="preserve">TRUE</t>
        </is>
      </c>
      <c r="L546" s="3"/>
      <c r="M546" s="6">
        <f>ROUND(E546*G546-H546,2)</f>
        <v>79.0</v>
      </c>
      <c r="N546" s="5">
        <f>IF(COUNTIF($A$3:A546,A546)=1,1,0)</f>
        <v>1</v>
      </c>
      <c r="O546" s="6">
        <f>IF(N546=1,ROUND((SUMIFS($M$3:$M$1200,$A$3:$A$1200,A546)+'Settings'!$B$13)*'Settings'!$B$14/100+'Settings'!$B$15,2),0)</f>
        <v>1.48</v>
      </c>
    </row>
    <row r="547">
      <c r="A547" s="3" t="inlineStr">
        <is>
          <t xml:space="preserve">#1402</t>
        </is>
      </c>
      <c r="B547" s="3" t="inlineStr">
        <is>
          <t xml:space="preserve">2026-04-05</t>
        </is>
      </c>
      <c r="C547" s="3" t="inlineStr">
        <is>
          <t xml:space="preserve">SKU-E</t>
        </is>
      </c>
      <c r="D547" s="3" t="inlineStr">
        <is>
          <t xml:space="preserve">Complete Ritual</t>
        </is>
      </c>
      <c r="E547" s="6">
        <f>IF('Settings'!$B$11="Scenario",IFERROR(INDEX('Catalogue'!$E$3:$E$100,MATCH(C547,'Catalogue'!$B$3:$B$100,0)),F547),F547)</f>
        <v>89</v>
      </c>
      <c r="F547" s="8">
        <v>89</v>
      </c>
      <c r="G547" s="3">
        <v>1</v>
      </c>
      <c r="H547" s="6">
        <f>IF('Settings'!$B$11="Scenario",ROUND(E547*G547*IFERROR(SUMIF('Pricing &amp; promotions'!$A$6:$A$8,L547,'Pricing &amp; promotions'!$B$6:$B$8)/100,0),2),J547)</f>
        <v>0.0</v>
      </c>
      <c r="I547" s="6">
        <f>ROUND((E547*G547-H547)/IF(OR(K547=TRUE,K547="TRUE",K547="YES",K547=1),1+'Settings'!$B$6/100,1),2)</f>
        <v>73.55</v>
      </c>
      <c r="J547" s="8">
        <v>0.0</v>
      </c>
      <c r="K547" s="3" t="inlineStr">
        <is>
          <t xml:space="preserve">TRUE</t>
        </is>
      </c>
      <c r="L547" s="3"/>
      <c r="M547" s="6">
        <f>ROUND(E547*G547-H547,2)</f>
        <v>89.0</v>
      </c>
      <c r="N547" s="5">
        <f>IF(COUNTIF($A$3:A547,A547)=1,1,0)</f>
        <v>1</v>
      </c>
      <c r="O547" s="6">
        <f>IF(N547=1,ROUND((SUMIFS($M$3:$M$1200,$A$3:$A$1200,A547)+'Settings'!$B$13)*'Settings'!$B$14/100+'Settings'!$B$15,2),0)</f>
        <v>3.19</v>
      </c>
    </row>
    <row r="548">
      <c r="A548" s="3" t="inlineStr">
        <is>
          <t xml:space="preserve">#1402</t>
        </is>
      </c>
      <c r="B548" s="3" t="inlineStr">
        <is>
          <t xml:space="preserve">2026-04-05</t>
        </is>
      </c>
      <c r="C548" s="3" t="inlineStr">
        <is>
          <t xml:space="preserve">SKU-A</t>
        </is>
      </c>
      <c r="D548" s="3" t="inlineStr">
        <is>
          <t xml:space="preserve">Renewal Serum</t>
        </is>
      </c>
      <c r="E548" s="6">
        <f>IF('Settings'!$B$11="Scenario",IFERROR(INDEX('Catalogue'!$E$3:$E$100,MATCH(C548,'Catalogue'!$B$3:$B$100,0)),F548),F548)</f>
        <v>69.9</v>
      </c>
      <c r="F548" s="8">
        <v>69.9</v>
      </c>
      <c r="G548" s="3">
        <v>1</v>
      </c>
      <c r="H548" s="6">
        <f>IF('Settings'!$B$11="Scenario",ROUND(E548*G548*IFERROR(SUMIF('Pricing &amp; promotions'!$A$6:$A$8,L548,'Pricing &amp; promotions'!$B$6:$B$8)/100,0),2),J548)</f>
        <v>0.0</v>
      </c>
      <c r="I548" s="6">
        <f>ROUND((E548*G548-H548)/IF(OR(K548=TRUE,K548="TRUE",K548="YES",K548=1),1+'Settings'!$B$6/100,1),2)</f>
        <v>57.77</v>
      </c>
      <c r="J548" s="8">
        <v>0.0</v>
      </c>
      <c r="K548" s="3" t="inlineStr">
        <is>
          <t xml:space="preserve">TRUE</t>
        </is>
      </c>
      <c r="L548" s="3"/>
      <c r="M548" s="6">
        <f>ROUND(E548*G548-H548,2)</f>
        <v>69.9</v>
      </c>
      <c r="N548" s="5">
        <f>IF(COUNTIF($A$3:A548,A548)=1,1,0)</f>
        <v>0</v>
      </c>
      <c r="O548" s="6">
        <f>IF(N548=1,ROUND((SUMIFS($M$3:$M$1200,$A$3:$A$1200,A548)+'Settings'!$B$13)*'Settings'!$B$14/100+'Settings'!$B$15,2),0)</f>
        <v>0</v>
      </c>
    </row>
    <row r="549">
      <c r="A549" s="3" t="inlineStr">
        <is>
          <t xml:space="preserve">#1402</t>
        </is>
      </c>
      <c r="B549" s="3" t="inlineStr">
        <is>
          <t xml:space="preserve">2026-04-05</t>
        </is>
      </c>
      <c r="C549" s="3" t="inlineStr">
        <is>
          <t xml:space="preserve">SKU-F</t>
        </is>
      </c>
      <c r="D549" s="3" t="inlineStr">
        <is>
          <t xml:space="preserve">Cloud Cleanser</t>
        </is>
      </c>
      <c r="E549" s="6">
        <f>IF('Settings'!$B$11="Scenario",IFERROR(INDEX('Catalogue'!$E$3:$E$100,MATCH(C549,'Catalogue'!$B$3:$B$100,0)),F549),F549)</f>
        <v>34</v>
      </c>
      <c r="F549" s="8">
        <v>34</v>
      </c>
      <c r="G549" s="3">
        <v>1</v>
      </c>
      <c r="H549" s="6">
        <f>IF('Settings'!$B$11="Scenario",ROUND(E549*G549*IFERROR(SUMIF('Pricing &amp; promotions'!$A$6:$A$8,L549,'Pricing &amp; promotions'!$B$6:$B$8)/100,0),2),J549)</f>
        <v>0.0</v>
      </c>
      <c r="I549" s="6">
        <f>ROUND((E549*G549-H549)/IF(OR(K549=TRUE,K549="TRUE",K549="YES",K549=1),1+'Settings'!$B$6/100,1),2)</f>
        <v>28.1</v>
      </c>
      <c r="J549" s="8">
        <v>0.0</v>
      </c>
      <c r="K549" s="3" t="inlineStr">
        <is>
          <t xml:space="preserve">TRUE</t>
        </is>
      </c>
      <c r="L549" s="3"/>
      <c r="M549" s="6">
        <f>ROUND(E549*G549-H549,2)</f>
        <v>34.0</v>
      </c>
      <c r="N549" s="5">
        <f>IF(COUNTIF($A$3:A549,A549)=1,1,0)</f>
        <v>0</v>
      </c>
      <c r="O549" s="6">
        <f>IF(N549=1,ROUND((SUMIFS($M$3:$M$1200,$A$3:$A$1200,A549)+'Settings'!$B$13)*'Settings'!$B$14/100+'Settings'!$B$15,2),0)</f>
        <v>0</v>
      </c>
    </row>
    <row r="550">
      <c r="A550" s="3" t="inlineStr">
        <is>
          <t xml:space="preserve">#1403</t>
        </is>
      </c>
      <c r="B550" s="3" t="inlineStr">
        <is>
          <t xml:space="preserve">2026-04-06</t>
        </is>
      </c>
      <c r="C550" s="3" t="inlineStr">
        <is>
          <t xml:space="preserve">SKU-A</t>
        </is>
      </c>
      <c r="D550" s="3" t="inlineStr">
        <is>
          <t xml:space="preserve">Renewal Serum</t>
        </is>
      </c>
      <c r="E550" s="6">
        <f>IF('Settings'!$B$11="Scenario",IFERROR(INDEX('Catalogue'!$E$3:$E$100,MATCH(C550,'Catalogue'!$B$3:$B$100,0)),F550),F550)</f>
        <v>69.9</v>
      </c>
      <c r="F550" s="8">
        <v>69.9</v>
      </c>
      <c r="G550" s="3">
        <v>1</v>
      </c>
      <c r="H550" s="6">
        <f>IF('Settings'!$B$11="Scenario",ROUND(E550*G550*IFERROR(SUMIF('Pricing &amp; promotions'!$A$6:$A$8,L550,'Pricing &amp; promotions'!$B$6:$B$8)/100,0),2),J550)</f>
        <v>0.0</v>
      </c>
      <c r="I550" s="6">
        <f>ROUND((E550*G550-H550)/IF(OR(K550=TRUE,K550="TRUE",K550="YES",K550=1),1+'Settings'!$B$6/100,1),2)</f>
        <v>57.77</v>
      </c>
      <c r="J550" s="8">
        <v>0.0</v>
      </c>
      <c r="K550" s="3" t="inlineStr">
        <is>
          <t xml:space="preserve">TRUE</t>
        </is>
      </c>
      <c r="L550" s="3"/>
      <c r="M550" s="6">
        <f>ROUND(E550*G550-H550,2)</f>
        <v>69.9</v>
      </c>
      <c r="N550" s="5">
        <f>IF(COUNTIF($A$3:A550,A550)=1,1,0)</f>
        <v>1</v>
      </c>
      <c r="O550" s="6">
        <f>IF(N550=1,ROUND((SUMIFS($M$3:$M$1200,$A$3:$A$1200,A550)+'Settings'!$B$13)*'Settings'!$B$14/100+'Settings'!$B$15,2),0)</f>
        <v>1.34</v>
      </c>
    </row>
    <row r="551">
      <c r="A551" s="3" t="inlineStr">
        <is>
          <t xml:space="preserve">#1404</t>
        </is>
      </c>
      <c r="B551" s="3" t="inlineStr">
        <is>
          <t xml:space="preserve">2026-04-06</t>
        </is>
      </c>
      <c r="C551" s="3" t="inlineStr">
        <is>
          <t xml:space="preserve">SKU-G</t>
        </is>
      </c>
      <c r="D551" s="3" t="inlineStr">
        <is>
          <t xml:space="preserve">Daily Reset Set</t>
        </is>
      </c>
      <c r="E551" s="6">
        <f>IF('Settings'!$B$11="Scenario",IFERROR(INDEX('Catalogue'!$E$3:$E$100,MATCH(C551,'Catalogue'!$B$3:$B$100,0)),F551),F551)</f>
        <v>69</v>
      </c>
      <c r="F551" s="8">
        <v>69</v>
      </c>
      <c r="G551" s="3">
        <v>2</v>
      </c>
      <c r="H551" s="6">
        <f>IF('Settings'!$B$11="Scenario",ROUND(E551*G551*IFERROR(SUMIF('Pricing &amp; promotions'!$A$6:$A$8,L551,'Pricing &amp; promotions'!$B$6:$B$8)/100,0),2),J551)</f>
        <v>0.0</v>
      </c>
      <c r="I551" s="6">
        <f>ROUND((E551*G551-H551)/IF(OR(K551=TRUE,K551="TRUE",K551="YES",K551=1),1+'Settings'!$B$6/100,1),2)</f>
        <v>114.05</v>
      </c>
      <c r="J551" s="8">
        <v>0.0</v>
      </c>
      <c r="K551" s="3" t="inlineStr">
        <is>
          <t xml:space="preserve">TRUE</t>
        </is>
      </c>
      <c r="L551" s="3"/>
      <c r="M551" s="6">
        <f>ROUND(E551*G551-H551,2)</f>
        <v>138.0</v>
      </c>
      <c r="N551" s="5">
        <f>IF(COUNTIF($A$3:A551,A551)=1,1,0)</f>
        <v>1</v>
      </c>
      <c r="O551" s="6">
        <f>IF(N551=1,ROUND((SUMIFS($M$3:$M$1200,$A$3:$A$1200,A551)+'Settings'!$B$13)*'Settings'!$B$14/100+'Settings'!$B$15,2),0)</f>
        <v>2.65</v>
      </c>
    </row>
    <row r="552">
      <c r="A552" s="3" t="inlineStr">
        <is>
          <t xml:space="preserve">#1404</t>
        </is>
      </c>
      <c r="B552" s="3" t="inlineStr">
        <is>
          <t xml:space="preserve">2026-04-06</t>
        </is>
      </c>
      <c r="C552" s="3" t="inlineStr">
        <is>
          <t xml:space="preserve">SKU-B</t>
        </is>
      </c>
      <c r="D552" s="3" t="inlineStr">
        <is>
          <t xml:space="preserve">Barrier Balm</t>
        </is>
      </c>
      <c r="E552" s="6">
        <f>IF('Settings'!$B$11="Scenario",IFERROR(INDEX('Catalogue'!$E$3:$E$100,MATCH(C552,'Catalogue'!$B$3:$B$100,0)),F552),F552)</f>
        <v>19</v>
      </c>
      <c r="F552" s="8">
        <v>19</v>
      </c>
      <c r="G552" s="3">
        <v>1</v>
      </c>
      <c r="H552" s="6">
        <f>IF('Settings'!$B$11="Scenario",ROUND(E552*G552*IFERROR(SUMIF('Pricing &amp; promotions'!$A$6:$A$8,L552,'Pricing &amp; promotions'!$B$6:$B$8)/100,0),2),J552)</f>
        <v>0.0</v>
      </c>
      <c r="I552" s="6">
        <f>ROUND((E552*G552-H552)/IF(OR(K552=TRUE,K552="TRUE",K552="YES",K552=1),1+'Settings'!$B$6/100,1),2)</f>
        <v>15.7</v>
      </c>
      <c r="J552" s="8">
        <v>0.0</v>
      </c>
      <c r="K552" s="3" t="inlineStr">
        <is>
          <t xml:space="preserve">TRUE</t>
        </is>
      </c>
      <c r="L552" s="3"/>
      <c r="M552" s="6">
        <f>ROUND(E552*G552-H552,2)</f>
        <v>19.0</v>
      </c>
      <c r="N552" s="5">
        <f>IF(COUNTIF($A$3:A552,A552)=1,1,0)</f>
        <v>0</v>
      </c>
      <c r="O552" s="6">
        <f>IF(N552=1,ROUND((SUMIFS($M$3:$M$1200,$A$3:$A$1200,A552)+'Settings'!$B$13)*'Settings'!$B$14/100+'Settings'!$B$15,2),0)</f>
        <v>0</v>
      </c>
    </row>
    <row r="553">
      <c r="A553" s="3" t="inlineStr">
        <is>
          <t xml:space="preserve">#1405</t>
        </is>
      </c>
      <c r="B553" s="3" t="inlineStr">
        <is>
          <t xml:space="preserve">2026-04-08</t>
        </is>
      </c>
      <c r="C553" s="3" t="inlineStr">
        <is>
          <t xml:space="preserve">SKU-A</t>
        </is>
      </c>
      <c r="D553" s="3" t="inlineStr">
        <is>
          <t xml:space="preserve">Renewal Serum</t>
        </is>
      </c>
      <c r="E553" s="6">
        <f>IF('Settings'!$B$11="Scenario",IFERROR(INDEX('Catalogue'!$E$3:$E$100,MATCH(C553,'Catalogue'!$B$3:$B$100,0)),F553),F553)</f>
        <v>69.9</v>
      </c>
      <c r="F553" s="8">
        <v>69.9</v>
      </c>
      <c r="G553" s="3">
        <v>1</v>
      </c>
      <c r="H553" s="6">
        <f>IF('Settings'!$B$11="Scenario",ROUND(E553*G553*IFERROR(SUMIF('Pricing &amp; promotions'!$A$6:$A$8,L553,'Pricing &amp; promotions'!$B$6:$B$8)/100,0),2),J553)</f>
        <v>10.49</v>
      </c>
      <c r="I553" s="6">
        <f>ROUND((E553*G553-H553)/IF(OR(K553=TRUE,K553="TRUE",K553="YES",K553=1),1+'Settings'!$B$6/100,1),2)</f>
        <v>49.1</v>
      </c>
      <c r="J553" s="8">
        <v>10.49</v>
      </c>
      <c r="K553" s="3" t="inlineStr">
        <is>
          <t xml:space="preserve">TRUE</t>
        </is>
      </c>
      <c r="L553" s="3" t="inlineStr">
        <is>
          <t xml:space="preserve">SUMMER15</t>
        </is>
      </c>
      <c r="M553" s="6">
        <f>ROUND(E553*G553-H553,2)</f>
        <v>59.41</v>
      </c>
      <c r="N553" s="5">
        <f>IF(COUNTIF($A$3:A553,A553)=1,1,0)</f>
        <v>1</v>
      </c>
      <c r="O553" s="6">
        <f>IF(N553=1,ROUND((SUMIFS($M$3:$M$1200,$A$3:$A$1200,A553)+'Settings'!$B$13)*'Settings'!$B$14/100+'Settings'!$B$15,2),0)</f>
        <v>1.19</v>
      </c>
    </row>
    <row r="554">
      <c r="A554" s="3" t="inlineStr">
        <is>
          <t xml:space="preserve">#1406</t>
        </is>
      </c>
      <c r="B554" s="3" t="inlineStr">
        <is>
          <t xml:space="preserve">2026-04-09</t>
        </is>
      </c>
      <c r="C554" s="3" t="inlineStr">
        <is>
          <t xml:space="preserve">SKU-G</t>
        </is>
      </c>
      <c r="D554" s="3" t="inlineStr">
        <is>
          <t xml:space="preserve">Daily Reset Set</t>
        </is>
      </c>
      <c r="E554" s="6">
        <f>IF('Settings'!$B$11="Scenario",IFERROR(INDEX('Catalogue'!$E$3:$E$100,MATCH(C554,'Catalogue'!$B$3:$B$100,0)),F554),F554)</f>
        <v>69</v>
      </c>
      <c r="F554" s="8">
        <v>69</v>
      </c>
      <c r="G554" s="3">
        <v>1</v>
      </c>
      <c r="H554" s="6">
        <f>IF('Settings'!$B$11="Scenario",ROUND(E554*G554*IFERROR(SUMIF('Pricing &amp; promotions'!$A$6:$A$8,L554,'Pricing &amp; promotions'!$B$6:$B$8)/100,0),2),J554)</f>
        <v>0.0</v>
      </c>
      <c r="I554" s="6">
        <f>ROUND((E554*G554-H554)/IF(OR(K554=TRUE,K554="TRUE",K554="YES",K554=1),1+'Settings'!$B$6/100,1),2)</f>
        <v>57.02</v>
      </c>
      <c r="J554" s="8">
        <v>0.0</v>
      </c>
      <c r="K554" s="3" t="inlineStr">
        <is>
          <t xml:space="preserve">TRUE</t>
        </is>
      </c>
      <c r="L554" s="3"/>
      <c r="M554" s="6">
        <f>ROUND(E554*G554-H554,2)</f>
        <v>69.0</v>
      </c>
      <c r="N554" s="5">
        <f>IF(COUNTIF($A$3:A554,A554)=1,1,0)</f>
        <v>1</v>
      </c>
      <c r="O554" s="6">
        <f>IF(N554=1,ROUND((SUMIFS($M$3:$M$1200,$A$3:$A$1200,A554)+'Settings'!$B$13)*'Settings'!$B$14/100+'Settings'!$B$15,2),0)</f>
        <v>1.33</v>
      </c>
    </row>
    <row r="555">
      <c r="A555" s="3" t="inlineStr">
        <is>
          <t xml:space="preserve">#1407</t>
        </is>
      </c>
      <c r="B555" s="3" t="inlineStr">
        <is>
          <t xml:space="preserve">2026-04-09</t>
        </is>
      </c>
      <c r="C555" s="3" t="inlineStr">
        <is>
          <t xml:space="preserve">SKU-A</t>
        </is>
      </c>
      <c r="D555" s="3" t="inlineStr">
        <is>
          <t xml:space="preserve">Renewal Serum</t>
        </is>
      </c>
      <c r="E555" s="6">
        <f>IF('Settings'!$B$11="Scenario",IFERROR(INDEX('Catalogue'!$E$3:$E$100,MATCH(C555,'Catalogue'!$B$3:$B$100,0)),F555),F555)</f>
        <v>69.9</v>
      </c>
      <c r="F555" s="8">
        <v>69.9</v>
      </c>
      <c r="G555" s="3">
        <v>1</v>
      </c>
      <c r="H555" s="6">
        <f>IF('Settings'!$B$11="Scenario",ROUND(E555*G555*IFERROR(SUMIF('Pricing &amp; promotions'!$A$6:$A$8,L555,'Pricing &amp; promotions'!$B$6:$B$8)/100,0),2),J555)</f>
        <v>10.49</v>
      </c>
      <c r="I555" s="6">
        <f>ROUND((E555*G555-H555)/IF(OR(K555=TRUE,K555="TRUE",K555="YES",K555=1),1+'Settings'!$B$6/100,1),2)</f>
        <v>49.1</v>
      </c>
      <c r="J555" s="8">
        <v>10.49</v>
      </c>
      <c r="K555" s="3" t="inlineStr">
        <is>
          <t xml:space="preserve">TRUE</t>
        </is>
      </c>
      <c r="L555" s="3" t="inlineStr">
        <is>
          <t xml:space="preserve">SUMMER15</t>
        </is>
      </c>
      <c r="M555" s="6">
        <f>ROUND(E555*G555-H555,2)</f>
        <v>59.41</v>
      </c>
      <c r="N555" s="5">
        <f>IF(COUNTIF($A$3:A555,A555)=1,1,0)</f>
        <v>1</v>
      </c>
      <c r="O555" s="6">
        <f>IF(N555=1,ROUND((SUMIFS($M$3:$M$1200,$A$3:$A$1200,A555)+'Settings'!$B$13)*'Settings'!$B$14/100+'Settings'!$B$15,2),0)</f>
        <v>1.19</v>
      </c>
    </row>
    <row r="556">
      <c r="A556" s="3" t="inlineStr">
        <is>
          <t xml:space="preserve">#1408</t>
        </is>
      </c>
      <c r="B556" s="3" t="inlineStr">
        <is>
          <t xml:space="preserve">2026-04-10</t>
        </is>
      </c>
      <c r="C556" s="3" t="inlineStr">
        <is>
          <t xml:space="preserve">SKU-A</t>
        </is>
      </c>
      <c r="D556" s="3" t="inlineStr">
        <is>
          <t xml:space="preserve">Renewal Serum</t>
        </is>
      </c>
      <c r="E556" s="6">
        <f>IF('Settings'!$B$11="Scenario",IFERROR(INDEX('Catalogue'!$E$3:$E$100,MATCH(C556,'Catalogue'!$B$3:$B$100,0)),F556),F556)</f>
        <v>69.9</v>
      </c>
      <c r="F556" s="8">
        <v>69.9</v>
      </c>
      <c r="G556" s="3">
        <v>1</v>
      </c>
      <c r="H556" s="6">
        <f>IF('Settings'!$B$11="Scenario",ROUND(E556*G556*IFERROR(SUMIF('Pricing &amp; promotions'!$A$6:$A$8,L556,'Pricing &amp; promotions'!$B$6:$B$8)/100,0),2),J556)</f>
        <v>0.0</v>
      </c>
      <c r="I556" s="6">
        <f>ROUND((E556*G556-H556)/IF(OR(K556=TRUE,K556="TRUE",K556="YES",K556=1),1+'Settings'!$B$6/100,1),2)</f>
        <v>57.77</v>
      </c>
      <c r="J556" s="8">
        <v>0.0</v>
      </c>
      <c r="K556" s="3" t="inlineStr">
        <is>
          <t xml:space="preserve">TRUE</t>
        </is>
      </c>
      <c r="L556" s="3"/>
      <c r="M556" s="6">
        <f>ROUND(E556*G556-H556,2)</f>
        <v>69.9</v>
      </c>
      <c r="N556" s="5">
        <f>IF(COUNTIF($A$3:A556,A556)=1,1,0)</f>
        <v>1</v>
      </c>
      <c r="O556" s="6">
        <f>IF(N556=1,ROUND((SUMIFS($M$3:$M$1200,$A$3:$A$1200,A556)+'Settings'!$B$13)*'Settings'!$B$14/100+'Settings'!$B$15,2),0)</f>
        <v>3.19</v>
      </c>
    </row>
    <row r="557">
      <c r="A557" s="3" t="inlineStr">
        <is>
          <t xml:space="preserve">#1408</t>
        </is>
      </c>
      <c r="B557" s="3" t="inlineStr">
        <is>
          <t xml:space="preserve">2026-04-10</t>
        </is>
      </c>
      <c r="C557" s="3" t="inlineStr">
        <is>
          <t xml:space="preserve">SKU-F</t>
        </is>
      </c>
      <c r="D557" s="3" t="inlineStr">
        <is>
          <t xml:space="preserve">Cloud Cleanser</t>
        </is>
      </c>
      <c r="E557" s="6">
        <f>IF('Settings'!$B$11="Scenario",IFERROR(INDEX('Catalogue'!$E$3:$E$100,MATCH(C557,'Catalogue'!$B$3:$B$100,0)),F557),F557)</f>
        <v>34</v>
      </c>
      <c r="F557" s="8">
        <v>34</v>
      </c>
      <c r="G557" s="3">
        <v>1</v>
      </c>
      <c r="H557" s="6">
        <f>IF('Settings'!$B$11="Scenario",ROUND(E557*G557*IFERROR(SUMIF('Pricing &amp; promotions'!$A$6:$A$8,L557,'Pricing &amp; promotions'!$B$6:$B$8)/100,0),2),J557)</f>
        <v>0.0</v>
      </c>
      <c r="I557" s="6">
        <f>ROUND((E557*G557-H557)/IF(OR(K557=TRUE,K557="TRUE",K557="YES",K557=1),1+'Settings'!$B$6/100,1),2)</f>
        <v>28.1</v>
      </c>
      <c r="J557" s="8">
        <v>0.0</v>
      </c>
      <c r="K557" s="3" t="inlineStr">
        <is>
          <t xml:space="preserve">TRUE</t>
        </is>
      </c>
      <c r="L557" s="3"/>
      <c r="M557" s="6">
        <f>ROUND(E557*G557-H557,2)</f>
        <v>34.0</v>
      </c>
      <c r="N557" s="5">
        <f>IF(COUNTIF($A$3:A557,A557)=1,1,0)</f>
        <v>0</v>
      </c>
      <c r="O557" s="6">
        <f>IF(N557=1,ROUND((SUMIFS($M$3:$M$1200,$A$3:$A$1200,A557)+'Settings'!$B$13)*'Settings'!$B$14/100+'Settings'!$B$15,2),0)</f>
        <v>0</v>
      </c>
    </row>
    <row r="558">
      <c r="A558" s="3" t="inlineStr">
        <is>
          <t xml:space="preserve">#1408</t>
        </is>
      </c>
      <c r="B558" s="3" t="inlineStr">
        <is>
          <t xml:space="preserve">2026-04-10</t>
        </is>
      </c>
      <c r="C558" s="3" t="inlineStr">
        <is>
          <t xml:space="preserve">SKU-E</t>
        </is>
      </c>
      <c r="D558" s="3" t="inlineStr">
        <is>
          <t xml:space="preserve">Complete Ritual</t>
        </is>
      </c>
      <c r="E558" s="6">
        <f>IF('Settings'!$B$11="Scenario",IFERROR(INDEX('Catalogue'!$E$3:$E$100,MATCH(C558,'Catalogue'!$B$3:$B$100,0)),F558),F558)</f>
        <v>89</v>
      </c>
      <c r="F558" s="8">
        <v>89</v>
      </c>
      <c r="G558" s="3">
        <v>1</v>
      </c>
      <c r="H558" s="6">
        <f>IF('Settings'!$B$11="Scenario",ROUND(E558*G558*IFERROR(SUMIF('Pricing &amp; promotions'!$A$6:$A$8,L558,'Pricing &amp; promotions'!$B$6:$B$8)/100,0),2),J558)</f>
        <v>0.0</v>
      </c>
      <c r="I558" s="6">
        <f>ROUND((E558*G558-H558)/IF(OR(K558=TRUE,K558="TRUE",K558="YES",K558=1),1+'Settings'!$B$6/100,1),2)</f>
        <v>73.55</v>
      </c>
      <c r="J558" s="8">
        <v>0.0</v>
      </c>
      <c r="K558" s="3" t="inlineStr">
        <is>
          <t xml:space="preserve">TRUE</t>
        </is>
      </c>
      <c r="L558" s="3"/>
      <c r="M558" s="6">
        <f>ROUND(E558*G558-H558,2)</f>
        <v>89.0</v>
      </c>
      <c r="N558" s="5">
        <f>IF(COUNTIF($A$3:A558,A558)=1,1,0)</f>
        <v>0</v>
      </c>
      <c r="O558" s="6">
        <f>IF(N558=1,ROUND((SUMIFS($M$3:$M$1200,$A$3:$A$1200,A558)+'Settings'!$B$13)*'Settings'!$B$14/100+'Settings'!$B$15,2),0)</f>
        <v>0</v>
      </c>
    </row>
    <row r="559">
      <c r="A559" s="3" t="inlineStr">
        <is>
          <t xml:space="preserve">#1409</t>
        </is>
      </c>
      <c r="B559" s="3" t="inlineStr">
        <is>
          <t xml:space="preserve">2026-04-10</t>
        </is>
      </c>
      <c r="C559" s="3" t="inlineStr">
        <is>
          <t xml:space="preserve">SKU-D</t>
        </is>
      </c>
      <c r="D559" s="3" t="inlineStr">
        <is>
          <t xml:space="preserve">Daily Duo</t>
        </is>
      </c>
      <c r="E559" s="6">
        <f>IF('Settings'!$B$11="Scenario",IFERROR(INDEX('Catalogue'!$E$3:$E$100,MATCH(C559,'Catalogue'!$B$3:$B$100,0)),F559),F559)</f>
        <v>79</v>
      </c>
      <c r="F559" s="8">
        <v>79</v>
      </c>
      <c r="G559" s="3">
        <v>1</v>
      </c>
      <c r="H559" s="6">
        <f>IF('Settings'!$B$11="Scenario",ROUND(E559*G559*IFERROR(SUMIF('Pricing &amp; promotions'!$A$6:$A$8,L559,'Pricing &amp; promotions'!$B$6:$B$8)/100,0),2),J559)</f>
        <v>15.8</v>
      </c>
      <c r="I559" s="6">
        <f>ROUND((E559*G559-H559)/IF(OR(K559=TRUE,K559="TRUE",K559="YES",K559=1),1+'Settings'!$B$6/100,1),2)</f>
        <v>52.23</v>
      </c>
      <c r="J559" s="8">
        <v>15.8</v>
      </c>
      <c r="K559" s="3" t="inlineStr">
        <is>
          <t xml:space="preserve">TRUE</t>
        </is>
      </c>
      <c r="L559" s="3" t="inlineStr">
        <is>
          <t xml:space="preserve">VIP20</t>
        </is>
      </c>
      <c r="M559" s="6">
        <f>ROUND(E559*G559-H559,2)</f>
        <v>63.2</v>
      </c>
      <c r="N559" s="5">
        <f>IF(COUNTIF($A$3:A559,A559)=1,1,0)</f>
        <v>1</v>
      </c>
      <c r="O559" s="6">
        <f>IF(N559=1,ROUND((SUMIFS($M$3:$M$1200,$A$3:$A$1200,A559)+'Settings'!$B$13)*'Settings'!$B$14/100+'Settings'!$B$15,2),0)</f>
        <v>1.24</v>
      </c>
    </row>
    <row r="560">
      <c r="A560" s="3" t="inlineStr">
        <is>
          <t xml:space="preserve">#1410</t>
        </is>
      </c>
      <c r="B560" s="3" t="inlineStr">
        <is>
          <t xml:space="preserve">2026-04-10</t>
        </is>
      </c>
      <c r="C560" s="3" t="inlineStr">
        <is>
          <t xml:space="preserve">SKU-G</t>
        </is>
      </c>
      <c r="D560" s="3" t="inlineStr">
        <is>
          <t xml:space="preserve">Daily Reset Set</t>
        </is>
      </c>
      <c r="E560" s="6">
        <f>IF('Settings'!$B$11="Scenario",IFERROR(INDEX('Catalogue'!$E$3:$E$100,MATCH(C560,'Catalogue'!$B$3:$B$100,0)),F560),F560)</f>
        <v>69</v>
      </c>
      <c r="F560" s="8">
        <v>69</v>
      </c>
      <c r="G560" s="3">
        <v>1</v>
      </c>
      <c r="H560" s="6">
        <f>IF('Settings'!$B$11="Scenario",ROUND(E560*G560*IFERROR(SUMIF('Pricing &amp; promotions'!$A$6:$A$8,L560,'Pricing &amp; promotions'!$B$6:$B$8)/100,0),2),J560)</f>
        <v>6.9</v>
      </c>
      <c r="I560" s="6">
        <f>ROUND((E560*G560-H560)/IF(OR(K560=TRUE,K560="TRUE",K560="YES",K560=1),1+'Settings'!$B$6/100,1),2)</f>
        <v>51.32</v>
      </c>
      <c r="J560" s="8">
        <v>6.9</v>
      </c>
      <c r="K560" s="3" t="inlineStr">
        <is>
          <t xml:space="preserve">TRUE</t>
        </is>
      </c>
      <c r="L560" s="3" t="inlineStr">
        <is>
          <t xml:space="preserve">WELCOME10</t>
        </is>
      </c>
      <c r="M560" s="6">
        <f>ROUND(E560*G560-H560,2)</f>
        <v>62.1</v>
      </c>
      <c r="N560" s="5">
        <f>IF(COUNTIF($A$3:A560,A560)=1,1,0)</f>
        <v>1</v>
      </c>
      <c r="O560" s="6">
        <f>IF(N560=1,ROUND((SUMIFS($M$3:$M$1200,$A$3:$A$1200,A560)+'Settings'!$B$13)*'Settings'!$B$14/100+'Settings'!$B$15,2),0)</f>
        <v>1.23</v>
      </c>
    </row>
    <row r="561">
      <c r="A561" s="3" t="inlineStr">
        <is>
          <t xml:space="preserve">#1411</t>
        </is>
      </c>
      <c r="B561" s="3" t="inlineStr">
        <is>
          <t xml:space="preserve">2026-04-11</t>
        </is>
      </c>
      <c r="C561" s="3" t="inlineStr">
        <is>
          <t xml:space="preserve">SKU-D</t>
        </is>
      </c>
      <c r="D561" s="3" t="inlineStr">
        <is>
          <t xml:space="preserve">Daily Duo</t>
        </is>
      </c>
      <c r="E561" s="6">
        <f>IF('Settings'!$B$11="Scenario",IFERROR(INDEX('Catalogue'!$E$3:$E$100,MATCH(C561,'Catalogue'!$B$3:$B$100,0)),F561),F561)</f>
        <v>79</v>
      </c>
      <c r="F561" s="8">
        <v>79</v>
      </c>
      <c r="G561" s="3">
        <v>1</v>
      </c>
      <c r="H561" s="6">
        <f>IF('Settings'!$B$11="Scenario",ROUND(E561*G561*IFERROR(SUMIF('Pricing &amp; promotions'!$A$6:$A$8,L561,'Pricing &amp; promotions'!$B$6:$B$8)/100,0),2),J561)</f>
        <v>7.9</v>
      </c>
      <c r="I561" s="6">
        <f>ROUND((E561*G561-H561)/IF(OR(K561=TRUE,K561="TRUE",K561="YES",K561=1),1+'Settings'!$B$6/100,1),2)</f>
        <v>58.76</v>
      </c>
      <c r="J561" s="8">
        <v>7.9</v>
      </c>
      <c r="K561" s="3" t="inlineStr">
        <is>
          <t xml:space="preserve">TRUE</t>
        </is>
      </c>
      <c r="L561" s="3" t="inlineStr">
        <is>
          <t xml:space="preserve">WELCOME10</t>
        </is>
      </c>
      <c r="M561" s="6">
        <f>ROUND(E561*G561-H561,2)</f>
        <v>71.1</v>
      </c>
      <c r="N561" s="5">
        <f>IF(COUNTIF($A$3:A561,A561)=1,1,0)</f>
        <v>1</v>
      </c>
      <c r="O561" s="6">
        <f>IF(N561=1,ROUND((SUMIFS($M$3:$M$1200,$A$3:$A$1200,A561)+'Settings'!$B$13)*'Settings'!$B$14/100+'Settings'!$B$15,2),0)</f>
        <v>1.36</v>
      </c>
    </row>
    <row r="562">
      <c r="A562" s="3" t="inlineStr">
        <is>
          <t xml:space="preserve">#1412</t>
        </is>
      </c>
      <c r="B562" s="3" t="inlineStr">
        <is>
          <t xml:space="preserve">2026-04-11</t>
        </is>
      </c>
      <c r="C562" s="3" t="inlineStr">
        <is>
          <t xml:space="preserve">SKU-C</t>
        </is>
      </c>
      <c r="D562" s="3" t="inlineStr">
        <is>
          <t xml:space="preserve">Contour Stone</t>
        </is>
      </c>
      <c r="E562" s="6">
        <f>IF('Settings'!$B$11="Scenario",IFERROR(INDEX('Catalogue'!$E$3:$E$100,MATCH(C562,'Catalogue'!$B$3:$B$100,0)),F562),F562)</f>
        <v>29</v>
      </c>
      <c r="F562" s="8">
        <v>29</v>
      </c>
      <c r="G562" s="3">
        <v>1</v>
      </c>
      <c r="H562" s="6">
        <f>IF('Settings'!$B$11="Scenario",ROUND(E562*G562*IFERROR(SUMIF('Pricing &amp; promotions'!$A$6:$A$8,L562,'Pricing &amp; promotions'!$B$6:$B$8)/100,0),2),J562)</f>
        <v>0.0</v>
      </c>
      <c r="I562" s="6">
        <f>ROUND((E562*G562-H562)/IF(OR(K562=TRUE,K562="TRUE",K562="YES",K562=1),1+'Settings'!$B$6/100,1),2)</f>
        <v>23.97</v>
      </c>
      <c r="J562" s="8">
        <v>0.0</v>
      </c>
      <c r="K562" s="3" t="inlineStr">
        <is>
          <t xml:space="preserve">TRUE</t>
        </is>
      </c>
      <c r="L562" s="3"/>
      <c r="M562" s="6">
        <f>ROUND(E562*G562-H562,2)</f>
        <v>29.0</v>
      </c>
      <c r="N562" s="5">
        <f>IF(COUNTIF($A$3:A562,A562)=1,1,0)</f>
        <v>1</v>
      </c>
      <c r="O562" s="6">
        <f>IF(N562=1,ROUND((SUMIFS($M$3:$M$1200,$A$3:$A$1200,A562)+'Settings'!$B$13)*'Settings'!$B$14/100+'Settings'!$B$15,2),0)</f>
        <v>0.73</v>
      </c>
    </row>
    <row r="563">
      <c r="A563" s="3" t="inlineStr">
        <is>
          <t xml:space="preserve">#1413</t>
        </is>
      </c>
      <c r="B563" s="3" t="inlineStr">
        <is>
          <t xml:space="preserve">2026-04-12</t>
        </is>
      </c>
      <c r="C563" s="3" t="inlineStr">
        <is>
          <t xml:space="preserve">SKU-F</t>
        </is>
      </c>
      <c r="D563" s="3" t="inlineStr">
        <is>
          <t xml:space="preserve">Cloud Cleanser</t>
        </is>
      </c>
      <c r="E563" s="6">
        <f>IF('Settings'!$B$11="Scenario",IFERROR(INDEX('Catalogue'!$E$3:$E$100,MATCH(C563,'Catalogue'!$B$3:$B$100,0)),F563),F563)</f>
        <v>34</v>
      </c>
      <c r="F563" s="8">
        <v>34</v>
      </c>
      <c r="G563" s="3">
        <v>1</v>
      </c>
      <c r="H563" s="6">
        <f>IF('Settings'!$B$11="Scenario",ROUND(E563*G563*IFERROR(SUMIF('Pricing &amp; promotions'!$A$6:$A$8,L563,'Pricing &amp; promotions'!$B$6:$B$8)/100,0),2),J563)</f>
        <v>3.4</v>
      </c>
      <c r="I563" s="6">
        <f>ROUND((E563*G563-H563)/IF(OR(K563=TRUE,K563="TRUE",K563="YES",K563=1),1+'Settings'!$B$6/100,1),2)</f>
        <v>25.29</v>
      </c>
      <c r="J563" s="8">
        <v>3.4</v>
      </c>
      <c r="K563" s="3" t="inlineStr">
        <is>
          <t xml:space="preserve">TRUE</t>
        </is>
      </c>
      <c r="L563" s="3" t="inlineStr">
        <is>
          <t xml:space="preserve">WELCOME10</t>
        </is>
      </c>
      <c r="M563" s="6">
        <f>ROUND(E563*G563-H563,2)</f>
        <v>30.6</v>
      </c>
      <c r="N563" s="5">
        <f>IF(COUNTIF($A$3:A563,A563)=1,1,0)</f>
        <v>1</v>
      </c>
      <c r="O563" s="6">
        <f>IF(N563=1,ROUND((SUMIFS($M$3:$M$1200,$A$3:$A$1200,A563)+'Settings'!$B$13)*'Settings'!$B$14/100+'Settings'!$B$15,2),0)</f>
        <v>0.75</v>
      </c>
    </row>
    <row r="564">
      <c r="A564" s="3" t="inlineStr">
        <is>
          <t xml:space="preserve">#1414</t>
        </is>
      </c>
      <c r="B564" s="3" t="inlineStr">
        <is>
          <t xml:space="preserve">2026-04-13</t>
        </is>
      </c>
      <c r="C564" s="3" t="inlineStr">
        <is>
          <t xml:space="preserve">SKU-E</t>
        </is>
      </c>
      <c r="D564" s="3" t="inlineStr">
        <is>
          <t xml:space="preserve">Complete Ritual</t>
        </is>
      </c>
      <c r="E564" s="6">
        <f>IF('Settings'!$B$11="Scenario",IFERROR(INDEX('Catalogue'!$E$3:$E$100,MATCH(C564,'Catalogue'!$B$3:$B$100,0)),F564),F564)</f>
        <v>89</v>
      </c>
      <c r="F564" s="8">
        <v>89</v>
      </c>
      <c r="G564" s="3">
        <v>1</v>
      </c>
      <c r="H564" s="6">
        <f>IF('Settings'!$B$11="Scenario",ROUND(E564*G564*IFERROR(SUMIF('Pricing &amp; promotions'!$A$6:$A$8,L564,'Pricing &amp; promotions'!$B$6:$B$8)/100,0),2),J564)</f>
        <v>0.0</v>
      </c>
      <c r="I564" s="6">
        <f>ROUND((E564*G564-H564)/IF(OR(K564=TRUE,K564="TRUE",K564="YES",K564=1),1+'Settings'!$B$6/100,1),2)</f>
        <v>73.55</v>
      </c>
      <c r="J564" s="8">
        <v>0.0</v>
      </c>
      <c r="K564" s="3" t="inlineStr">
        <is>
          <t xml:space="preserve">TRUE</t>
        </is>
      </c>
      <c r="L564" s="3"/>
      <c r="M564" s="6">
        <f>ROUND(E564*G564-H564,2)</f>
        <v>89.0</v>
      </c>
      <c r="N564" s="5">
        <f>IF(COUNTIF($A$3:A564,A564)=1,1,0)</f>
        <v>1</v>
      </c>
      <c r="O564" s="6">
        <f>IF(N564=1,ROUND((SUMIFS($M$3:$M$1200,$A$3:$A$1200,A564)+'Settings'!$B$13)*'Settings'!$B$14/100+'Settings'!$B$15,2),0)</f>
        <v>2.06</v>
      </c>
    </row>
    <row r="565">
      <c r="A565" s="3" t="inlineStr">
        <is>
          <t xml:space="preserve">#1414</t>
        </is>
      </c>
      <c r="B565" s="3" t="inlineStr">
        <is>
          <t xml:space="preserve">2026-04-13</t>
        </is>
      </c>
      <c r="C565" s="3" t="inlineStr">
        <is>
          <t xml:space="preserve">SKU-C</t>
        </is>
      </c>
      <c r="D565" s="3" t="inlineStr">
        <is>
          <t xml:space="preserve">Contour Stone</t>
        </is>
      </c>
      <c r="E565" s="6">
        <f>IF('Settings'!$B$11="Scenario",IFERROR(INDEX('Catalogue'!$E$3:$E$100,MATCH(C565,'Catalogue'!$B$3:$B$100,0)),F565),F565)</f>
        <v>29</v>
      </c>
      <c r="F565" s="8">
        <v>29</v>
      </c>
      <c r="G565" s="3">
        <v>1</v>
      </c>
      <c r="H565" s="6">
        <f>IF('Settings'!$B$11="Scenario",ROUND(E565*G565*IFERROR(SUMIF('Pricing &amp; promotions'!$A$6:$A$8,L565,'Pricing &amp; promotions'!$B$6:$B$8)/100,0),2),J565)</f>
        <v>0.0</v>
      </c>
      <c r="I565" s="6">
        <f>ROUND((E565*G565-H565)/IF(OR(K565=TRUE,K565="TRUE",K565="YES",K565=1),1+'Settings'!$B$6/100,1),2)</f>
        <v>23.97</v>
      </c>
      <c r="J565" s="8">
        <v>0.0</v>
      </c>
      <c r="K565" s="3" t="inlineStr">
        <is>
          <t xml:space="preserve">TRUE</t>
        </is>
      </c>
      <c r="L565" s="3"/>
      <c r="M565" s="6">
        <f>ROUND(E565*G565-H565,2)</f>
        <v>29.0</v>
      </c>
      <c r="N565" s="5">
        <f>IF(COUNTIF($A$3:A565,A565)=1,1,0)</f>
        <v>0</v>
      </c>
      <c r="O565" s="6">
        <f>IF(N565=1,ROUND((SUMIFS($M$3:$M$1200,$A$3:$A$1200,A565)+'Settings'!$B$13)*'Settings'!$B$14/100+'Settings'!$B$15,2),0)</f>
        <v>0</v>
      </c>
    </row>
    <row r="566">
      <c r="A566" s="3" t="inlineStr">
        <is>
          <t xml:space="preserve">#1415</t>
        </is>
      </c>
      <c r="B566" s="3" t="inlineStr">
        <is>
          <t xml:space="preserve">2026-04-13</t>
        </is>
      </c>
      <c r="C566" s="3" t="inlineStr">
        <is>
          <t xml:space="preserve">SKU-A</t>
        </is>
      </c>
      <c r="D566" s="3" t="inlineStr">
        <is>
          <t xml:space="preserve">Renewal Serum</t>
        </is>
      </c>
      <c r="E566" s="6">
        <f>IF('Settings'!$B$11="Scenario",IFERROR(INDEX('Catalogue'!$E$3:$E$100,MATCH(C566,'Catalogue'!$B$3:$B$100,0)),F566),F566)</f>
        <v>69.9</v>
      </c>
      <c r="F566" s="8">
        <v>69.9</v>
      </c>
      <c r="G566" s="3">
        <v>1</v>
      </c>
      <c r="H566" s="6">
        <f>IF('Settings'!$B$11="Scenario",ROUND(E566*G566*IFERROR(SUMIF('Pricing &amp; promotions'!$A$6:$A$8,L566,'Pricing &amp; promotions'!$B$6:$B$8)/100,0),2),J566)</f>
        <v>6.99</v>
      </c>
      <c r="I566" s="6">
        <f>ROUND((E566*G566-H566)/IF(OR(K566=TRUE,K566="TRUE",K566="YES",K566=1),1+'Settings'!$B$6/100,1),2)</f>
        <v>51.99</v>
      </c>
      <c r="J566" s="8">
        <v>6.99</v>
      </c>
      <c r="K566" s="3" t="inlineStr">
        <is>
          <t xml:space="preserve">TRUE</t>
        </is>
      </c>
      <c r="L566" s="3" t="inlineStr">
        <is>
          <t xml:space="preserve">WELCOME10</t>
        </is>
      </c>
      <c r="M566" s="6">
        <f>ROUND(E566*G566-H566,2)</f>
        <v>62.91</v>
      </c>
      <c r="N566" s="5">
        <f>IF(COUNTIF($A$3:A566,A566)=1,1,0)</f>
        <v>1</v>
      </c>
      <c r="O566" s="6">
        <f>IF(N566=1,ROUND((SUMIFS($M$3:$M$1200,$A$3:$A$1200,A566)+'Settings'!$B$13)*'Settings'!$B$14/100+'Settings'!$B$15,2),0)</f>
        <v>2.17</v>
      </c>
    </row>
    <row r="567">
      <c r="A567" s="3" t="inlineStr">
        <is>
          <t xml:space="preserve">#1415</t>
        </is>
      </c>
      <c r="B567" s="3" t="inlineStr">
        <is>
          <t xml:space="preserve">2026-04-13</t>
        </is>
      </c>
      <c r="C567" s="3" t="inlineStr">
        <is>
          <t xml:space="preserve">SKU-G</t>
        </is>
      </c>
      <c r="D567" s="3" t="inlineStr">
        <is>
          <t xml:space="preserve">Daily Reset Set</t>
        </is>
      </c>
      <c r="E567" s="6">
        <f>IF('Settings'!$B$11="Scenario",IFERROR(INDEX('Catalogue'!$E$3:$E$100,MATCH(C567,'Catalogue'!$B$3:$B$100,0)),F567),F567)</f>
        <v>69</v>
      </c>
      <c r="F567" s="8">
        <v>69</v>
      </c>
      <c r="G567" s="3">
        <v>1</v>
      </c>
      <c r="H567" s="6">
        <f>IF('Settings'!$B$11="Scenario",ROUND(E567*G567*IFERROR(SUMIF('Pricing &amp; promotions'!$A$6:$A$8,L567,'Pricing &amp; promotions'!$B$6:$B$8)/100,0),2),J567)</f>
        <v>6.9</v>
      </c>
      <c r="I567" s="6">
        <f>ROUND((E567*G567-H567)/IF(OR(K567=TRUE,K567="TRUE",K567="YES",K567=1),1+'Settings'!$B$6/100,1),2)</f>
        <v>51.32</v>
      </c>
      <c r="J567" s="8">
        <v>6.9</v>
      </c>
      <c r="K567" s="3" t="inlineStr">
        <is>
          <t xml:space="preserve">TRUE</t>
        </is>
      </c>
      <c r="L567" s="3" t="inlineStr">
        <is>
          <t xml:space="preserve">WELCOME10</t>
        </is>
      </c>
      <c r="M567" s="6">
        <f>ROUND(E567*G567-H567,2)</f>
        <v>62.1</v>
      </c>
      <c r="N567" s="5">
        <f>IF(COUNTIF($A$3:A567,A567)=1,1,0)</f>
        <v>0</v>
      </c>
      <c r="O567" s="6">
        <f>IF(N567=1,ROUND((SUMIFS($M$3:$M$1200,$A$3:$A$1200,A567)+'Settings'!$B$13)*'Settings'!$B$14/100+'Settings'!$B$15,2),0)</f>
        <v>0</v>
      </c>
    </row>
    <row r="568">
      <c r="A568" s="3" t="inlineStr">
        <is>
          <t xml:space="preserve">#1416</t>
        </is>
      </c>
      <c r="B568" s="3" t="inlineStr">
        <is>
          <t xml:space="preserve">2026-04-13</t>
        </is>
      </c>
      <c r="C568" s="3" t="inlineStr">
        <is>
          <t xml:space="preserve">SKU-D</t>
        </is>
      </c>
      <c r="D568" s="3" t="inlineStr">
        <is>
          <t xml:space="preserve">Daily Duo</t>
        </is>
      </c>
      <c r="E568" s="6">
        <f>IF('Settings'!$B$11="Scenario",IFERROR(INDEX('Catalogue'!$E$3:$E$100,MATCH(C568,'Catalogue'!$B$3:$B$100,0)),F568),F568)</f>
        <v>79</v>
      </c>
      <c r="F568" s="8">
        <v>79</v>
      </c>
      <c r="G568" s="3">
        <v>1</v>
      </c>
      <c r="H568" s="6">
        <f>IF('Settings'!$B$11="Scenario",ROUND(E568*G568*IFERROR(SUMIF('Pricing &amp; promotions'!$A$6:$A$8,L568,'Pricing &amp; promotions'!$B$6:$B$8)/100,0),2),J568)</f>
        <v>0.0</v>
      </c>
      <c r="I568" s="6">
        <f>ROUND((E568*G568-H568)/IF(OR(K568=TRUE,K568="TRUE",K568="YES",K568=1),1+'Settings'!$B$6/100,1),2)</f>
        <v>65.29</v>
      </c>
      <c r="J568" s="8">
        <v>0.0</v>
      </c>
      <c r="K568" s="3" t="inlineStr">
        <is>
          <t xml:space="preserve">TRUE</t>
        </is>
      </c>
      <c r="L568" s="3"/>
      <c r="M568" s="6">
        <f>ROUND(E568*G568-H568,2)</f>
        <v>79.0</v>
      </c>
      <c r="N568" s="5">
        <f>IF(COUNTIF($A$3:A568,A568)=1,1,0)</f>
        <v>1</v>
      </c>
      <c r="O568" s="6">
        <f>IF(N568=1,ROUND((SUMIFS($M$3:$M$1200,$A$3:$A$1200,A568)+'Settings'!$B$13)*'Settings'!$B$14/100+'Settings'!$B$15,2),0)</f>
        <v>2.51</v>
      </c>
    </row>
    <row r="569">
      <c r="A569" s="3" t="inlineStr">
        <is>
          <t xml:space="preserve">#1416</t>
        </is>
      </c>
      <c r="B569" s="3" t="inlineStr">
        <is>
          <t xml:space="preserve">2026-04-13</t>
        </is>
      </c>
      <c r="C569" s="3" t="inlineStr">
        <is>
          <t xml:space="preserve">SKU-G</t>
        </is>
      </c>
      <c r="D569" s="3" t="inlineStr">
        <is>
          <t xml:space="preserve">Daily Reset Set</t>
        </is>
      </c>
      <c r="E569" s="6">
        <f>IF('Settings'!$B$11="Scenario",IFERROR(INDEX('Catalogue'!$E$3:$E$100,MATCH(C569,'Catalogue'!$B$3:$B$100,0)),F569),F569)</f>
        <v>69</v>
      </c>
      <c r="F569" s="8">
        <v>69</v>
      </c>
      <c r="G569" s="3">
        <v>1</v>
      </c>
      <c r="H569" s="6">
        <f>IF('Settings'!$B$11="Scenario",ROUND(E569*G569*IFERROR(SUMIF('Pricing &amp; promotions'!$A$6:$A$8,L569,'Pricing &amp; promotions'!$B$6:$B$8)/100,0),2),J569)</f>
        <v>0.0</v>
      </c>
      <c r="I569" s="6">
        <f>ROUND((E569*G569-H569)/IF(OR(K569=TRUE,K569="TRUE",K569="YES",K569=1),1+'Settings'!$B$6/100,1),2)</f>
        <v>57.02</v>
      </c>
      <c r="J569" s="8">
        <v>0.0</v>
      </c>
      <c r="K569" s="3" t="inlineStr">
        <is>
          <t xml:space="preserve">TRUE</t>
        </is>
      </c>
      <c r="L569" s="3"/>
      <c r="M569" s="6">
        <f>ROUND(E569*G569-H569,2)</f>
        <v>69.0</v>
      </c>
      <c r="N569" s="5">
        <f>IF(COUNTIF($A$3:A569,A569)=1,1,0)</f>
        <v>0</v>
      </c>
      <c r="O569" s="6">
        <f>IF(N569=1,ROUND((SUMIFS($M$3:$M$1200,$A$3:$A$1200,A569)+'Settings'!$B$13)*'Settings'!$B$14/100+'Settings'!$B$15,2),0)</f>
        <v>0</v>
      </c>
    </row>
    <row r="570">
      <c r="A570" s="3" t="inlineStr">
        <is>
          <t xml:space="preserve">#1417</t>
        </is>
      </c>
      <c r="B570" s="3" t="inlineStr">
        <is>
          <t xml:space="preserve">2026-04-14</t>
        </is>
      </c>
      <c r="C570" s="3" t="inlineStr">
        <is>
          <t xml:space="preserve">SKU-F</t>
        </is>
      </c>
      <c r="D570" s="3" t="inlineStr">
        <is>
          <t xml:space="preserve">Cloud Cleanser</t>
        </is>
      </c>
      <c r="E570" s="6">
        <f>IF('Settings'!$B$11="Scenario",IFERROR(INDEX('Catalogue'!$E$3:$E$100,MATCH(C570,'Catalogue'!$B$3:$B$100,0)),F570),F570)</f>
        <v>34</v>
      </c>
      <c r="F570" s="8">
        <v>34</v>
      </c>
      <c r="G570" s="3">
        <v>1</v>
      </c>
      <c r="H570" s="6">
        <f>IF('Settings'!$B$11="Scenario",ROUND(E570*G570*IFERROR(SUMIF('Pricing &amp; promotions'!$A$6:$A$8,L570,'Pricing &amp; promotions'!$B$6:$B$8)/100,0),2),J570)</f>
        <v>0.0</v>
      </c>
      <c r="I570" s="6">
        <f>ROUND((E570*G570-H570)/IF(OR(K570=TRUE,K570="TRUE",K570="YES",K570=1),1+'Settings'!$B$6/100,1),2)</f>
        <v>28.1</v>
      </c>
      <c r="J570" s="8">
        <v>0.0</v>
      </c>
      <c r="K570" s="3" t="inlineStr">
        <is>
          <t xml:space="preserve">TRUE</t>
        </is>
      </c>
      <c r="L570" s="3"/>
      <c r="M570" s="6">
        <f>ROUND(E570*G570-H570,2)</f>
        <v>34.0</v>
      </c>
      <c r="N570" s="5">
        <f>IF(COUNTIF($A$3:A570,A570)=1,1,0)</f>
        <v>1</v>
      </c>
      <c r="O570" s="6">
        <f>IF(N570=1,ROUND((SUMIFS($M$3:$M$1200,$A$3:$A$1200,A570)+'Settings'!$B$13)*'Settings'!$B$14/100+'Settings'!$B$15,2),0)</f>
        <v>0.8</v>
      </c>
    </row>
    <row r="571">
      <c r="A571" s="3" t="inlineStr">
        <is>
          <t xml:space="preserve">#1418</t>
        </is>
      </c>
      <c r="B571" s="3" t="inlineStr">
        <is>
          <t xml:space="preserve">2026-04-14</t>
        </is>
      </c>
      <c r="C571" s="3" t="inlineStr">
        <is>
          <t xml:space="preserve">SKU-A</t>
        </is>
      </c>
      <c r="D571" s="3" t="inlineStr">
        <is>
          <t xml:space="preserve">Renewal Serum</t>
        </is>
      </c>
      <c r="E571" s="6">
        <f>IF('Settings'!$B$11="Scenario",IFERROR(INDEX('Catalogue'!$E$3:$E$100,MATCH(C571,'Catalogue'!$B$3:$B$100,0)),F571),F571)</f>
        <v>69.9</v>
      </c>
      <c r="F571" s="8">
        <v>69.9</v>
      </c>
      <c r="G571" s="3">
        <v>1</v>
      </c>
      <c r="H571" s="6">
        <f>IF('Settings'!$B$11="Scenario",ROUND(E571*G571*IFERROR(SUMIF('Pricing &amp; promotions'!$A$6:$A$8,L571,'Pricing &amp; promotions'!$B$6:$B$8)/100,0),2),J571)</f>
        <v>0.0</v>
      </c>
      <c r="I571" s="6">
        <f>ROUND((E571*G571-H571)/IF(OR(K571=TRUE,K571="TRUE",K571="YES",K571=1),1+'Settings'!$B$6/100,1),2)</f>
        <v>57.77</v>
      </c>
      <c r="J571" s="8">
        <v>0.0</v>
      </c>
      <c r="K571" s="3" t="inlineStr">
        <is>
          <t xml:space="preserve">TRUE</t>
        </is>
      </c>
      <c r="L571" s="3"/>
      <c r="M571" s="6">
        <f>ROUND(E571*G571-H571,2)</f>
        <v>69.9</v>
      </c>
      <c r="N571" s="5">
        <f>IF(COUNTIF($A$3:A571,A571)=1,1,0)</f>
        <v>1</v>
      </c>
      <c r="O571" s="6">
        <f>IF(N571=1,ROUND((SUMIFS($M$3:$M$1200,$A$3:$A$1200,A571)+'Settings'!$B$13)*'Settings'!$B$14/100+'Settings'!$B$15,2),0)</f>
        <v>1.34</v>
      </c>
    </row>
    <row r="572">
      <c r="A572" s="3" t="inlineStr">
        <is>
          <t xml:space="preserve">#1419</t>
        </is>
      </c>
      <c r="B572" s="3" t="inlineStr">
        <is>
          <t xml:space="preserve">2026-04-15</t>
        </is>
      </c>
      <c r="C572" s="3" t="inlineStr">
        <is>
          <t xml:space="preserve">SKU-D</t>
        </is>
      </c>
      <c r="D572" s="3" t="inlineStr">
        <is>
          <t xml:space="preserve">Daily Duo</t>
        </is>
      </c>
      <c r="E572" s="6">
        <f>IF('Settings'!$B$11="Scenario",IFERROR(INDEX('Catalogue'!$E$3:$E$100,MATCH(C572,'Catalogue'!$B$3:$B$100,0)),F572),F572)</f>
        <v>79</v>
      </c>
      <c r="F572" s="8">
        <v>79</v>
      </c>
      <c r="G572" s="3">
        <v>1</v>
      </c>
      <c r="H572" s="6">
        <f>IF('Settings'!$B$11="Scenario",ROUND(E572*G572*IFERROR(SUMIF('Pricing &amp; promotions'!$A$6:$A$8,L572,'Pricing &amp; promotions'!$B$6:$B$8)/100,0),2),J572)</f>
        <v>0.0</v>
      </c>
      <c r="I572" s="6">
        <f>ROUND((E572*G572-H572)/IF(OR(K572=TRUE,K572="TRUE",K572="YES",K572=1),1+'Settings'!$B$6/100,1),2)</f>
        <v>65.29</v>
      </c>
      <c r="J572" s="8">
        <v>0.0</v>
      </c>
      <c r="K572" s="3" t="inlineStr">
        <is>
          <t xml:space="preserve">TRUE</t>
        </is>
      </c>
      <c r="L572" s="3"/>
      <c r="M572" s="6">
        <f>ROUND(E572*G572-H572,2)</f>
        <v>79.0</v>
      </c>
      <c r="N572" s="5">
        <f>IF(COUNTIF($A$3:A572,A572)=1,1,0)</f>
        <v>1</v>
      </c>
      <c r="O572" s="6">
        <f>IF(N572=1,ROUND((SUMIFS($M$3:$M$1200,$A$3:$A$1200,A572)+'Settings'!$B$13)*'Settings'!$B$14/100+'Settings'!$B$15,2),0)</f>
        <v>1.48</v>
      </c>
    </row>
    <row r="573">
      <c r="A573" s="3" t="inlineStr">
        <is>
          <t xml:space="preserve">#1420</t>
        </is>
      </c>
      <c r="B573" s="3" t="inlineStr">
        <is>
          <t xml:space="preserve">2026-04-15</t>
        </is>
      </c>
      <c r="C573" s="3" t="inlineStr">
        <is>
          <t xml:space="preserve">SKU-E</t>
        </is>
      </c>
      <c r="D573" s="3" t="inlineStr">
        <is>
          <t xml:space="preserve">Complete Ritual</t>
        </is>
      </c>
      <c r="E573" s="6">
        <f>IF('Settings'!$B$11="Scenario",IFERROR(INDEX('Catalogue'!$E$3:$E$100,MATCH(C573,'Catalogue'!$B$3:$B$100,0)),F573),F573)</f>
        <v>89</v>
      </c>
      <c r="F573" s="8">
        <v>89</v>
      </c>
      <c r="G573" s="3">
        <v>1</v>
      </c>
      <c r="H573" s="6">
        <f>IF('Settings'!$B$11="Scenario",ROUND(E573*G573*IFERROR(SUMIF('Pricing &amp; promotions'!$A$6:$A$8,L573,'Pricing &amp; promotions'!$B$6:$B$8)/100,0),2),J573)</f>
        <v>0.0</v>
      </c>
      <c r="I573" s="6">
        <f>ROUND((E573*G573-H573)/IF(OR(K573=TRUE,K573="TRUE",K573="YES",K573=1),1+'Settings'!$B$6/100,1),2)</f>
        <v>73.55</v>
      </c>
      <c r="J573" s="8">
        <v>0.0</v>
      </c>
      <c r="K573" s="3" t="inlineStr">
        <is>
          <t xml:space="preserve">TRUE</t>
        </is>
      </c>
      <c r="L573" s="3"/>
      <c r="M573" s="6">
        <f>ROUND(E573*G573-H573,2)</f>
        <v>89.0</v>
      </c>
      <c r="N573" s="5">
        <f>IF(COUNTIF($A$3:A573,A573)=1,1,0)</f>
        <v>1</v>
      </c>
      <c r="O573" s="6">
        <f>IF(N573=1,ROUND((SUMIFS($M$3:$M$1200,$A$3:$A$1200,A573)+'Settings'!$B$13)*'Settings'!$B$14/100+'Settings'!$B$15,2),0)</f>
        <v>1.63</v>
      </c>
    </row>
    <row r="574">
      <c r="A574" s="3" t="inlineStr">
        <is>
          <t xml:space="preserve">#1421</t>
        </is>
      </c>
      <c r="B574" s="3" t="inlineStr">
        <is>
          <t xml:space="preserve">2026-04-15</t>
        </is>
      </c>
      <c r="C574" s="3" t="inlineStr">
        <is>
          <t xml:space="preserve">SKU-G</t>
        </is>
      </c>
      <c r="D574" s="3" t="inlineStr">
        <is>
          <t xml:space="preserve">Daily Reset Set</t>
        </is>
      </c>
      <c r="E574" s="6">
        <f>IF('Settings'!$B$11="Scenario",IFERROR(INDEX('Catalogue'!$E$3:$E$100,MATCH(C574,'Catalogue'!$B$3:$B$100,0)),F574),F574)</f>
        <v>69</v>
      </c>
      <c r="F574" s="8">
        <v>69</v>
      </c>
      <c r="G574" s="3">
        <v>1</v>
      </c>
      <c r="H574" s="6">
        <f>IF('Settings'!$B$11="Scenario",ROUND(E574*G574*IFERROR(SUMIF('Pricing &amp; promotions'!$A$6:$A$8,L574,'Pricing &amp; promotions'!$B$6:$B$8)/100,0),2),J574)</f>
        <v>6.9</v>
      </c>
      <c r="I574" s="6">
        <f>ROUND((E574*G574-H574)/IF(OR(K574=TRUE,K574="TRUE",K574="YES",K574=1),1+'Settings'!$B$6/100,1),2)</f>
        <v>51.32</v>
      </c>
      <c r="J574" s="8">
        <v>6.9</v>
      </c>
      <c r="K574" s="3" t="inlineStr">
        <is>
          <t xml:space="preserve">TRUE</t>
        </is>
      </c>
      <c r="L574" s="3" t="inlineStr">
        <is>
          <t xml:space="preserve">WELCOME10</t>
        </is>
      </c>
      <c r="M574" s="6">
        <f>ROUND(E574*G574-H574,2)</f>
        <v>62.1</v>
      </c>
      <c r="N574" s="5">
        <f>IF(COUNTIF($A$3:A574,A574)=1,1,0)</f>
        <v>1</v>
      </c>
      <c r="O574" s="6">
        <f>IF(N574=1,ROUND((SUMIFS($M$3:$M$1200,$A$3:$A$1200,A574)+'Settings'!$B$13)*'Settings'!$B$14/100+'Settings'!$B$15,2),0)</f>
        <v>1.23</v>
      </c>
    </row>
    <row r="575">
      <c r="A575" s="3" t="inlineStr">
        <is>
          <t xml:space="preserve">#1422</t>
        </is>
      </c>
      <c r="B575" s="3" t="inlineStr">
        <is>
          <t xml:space="preserve">2026-04-16</t>
        </is>
      </c>
      <c r="C575" s="3" t="inlineStr">
        <is>
          <t xml:space="preserve">SKU-D</t>
        </is>
      </c>
      <c r="D575" s="3" t="inlineStr">
        <is>
          <t xml:space="preserve">Daily Duo</t>
        </is>
      </c>
      <c r="E575" s="6">
        <f>IF('Settings'!$B$11="Scenario",IFERROR(INDEX('Catalogue'!$E$3:$E$100,MATCH(C575,'Catalogue'!$B$3:$B$100,0)),F575),F575)</f>
        <v>79</v>
      </c>
      <c r="F575" s="8">
        <v>79</v>
      </c>
      <c r="G575" s="3">
        <v>1</v>
      </c>
      <c r="H575" s="6">
        <f>IF('Settings'!$B$11="Scenario",ROUND(E575*G575*IFERROR(SUMIF('Pricing &amp; promotions'!$A$6:$A$8,L575,'Pricing &amp; promotions'!$B$6:$B$8)/100,0),2),J575)</f>
        <v>15.8</v>
      </c>
      <c r="I575" s="6">
        <f>ROUND((E575*G575-H575)/IF(OR(K575=TRUE,K575="TRUE",K575="YES",K575=1),1+'Settings'!$B$6/100,1),2)</f>
        <v>52.23</v>
      </c>
      <c r="J575" s="8">
        <v>15.8</v>
      </c>
      <c r="K575" s="3" t="inlineStr">
        <is>
          <t xml:space="preserve">TRUE</t>
        </is>
      </c>
      <c r="L575" s="3" t="inlineStr">
        <is>
          <t xml:space="preserve">VIP20</t>
        </is>
      </c>
      <c r="M575" s="6">
        <f>ROUND(E575*G575-H575,2)</f>
        <v>63.2</v>
      </c>
      <c r="N575" s="5">
        <f>IF(COUNTIF($A$3:A575,A575)=1,1,0)</f>
        <v>1</v>
      </c>
      <c r="O575" s="6">
        <f>IF(N575=1,ROUND((SUMIFS($M$3:$M$1200,$A$3:$A$1200,A575)+'Settings'!$B$13)*'Settings'!$B$14/100+'Settings'!$B$15,2),0)</f>
        <v>1.24</v>
      </c>
    </row>
    <row r="576">
      <c r="A576" s="3" t="inlineStr">
        <is>
          <t xml:space="preserve">#1423</t>
        </is>
      </c>
      <c r="B576" s="3" t="inlineStr">
        <is>
          <t xml:space="preserve">2026-04-16</t>
        </is>
      </c>
      <c r="C576" s="3" t="inlineStr">
        <is>
          <t xml:space="preserve">SKU-E</t>
        </is>
      </c>
      <c r="D576" s="3" t="inlineStr">
        <is>
          <t xml:space="preserve">Complete Ritual</t>
        </is>
      </c>
      <c r="E576" s="6">
        <f>IF('Settings'!$B$11="Scenario",IFERROR(INDEX('Catalogue'!$E$3:$E$100,MATCH(C576,'Catalogue'!$B$3:$B$100,0)),F576),F576)</f>
        <v>89</v>
      </c>
      <c r="F576" s="8">
        <v>89</v>
      </c>
      <c r="G576" s="3">
        <v>1</v>
      </c>
      <c r="H576" s="6">
        <f>IF('Settings'!$B$11="Scenario",ROUND(E576*G576*IFERROR(SUMIF('Pricing &amp; promotions'!$A$6:$A$8,L576,'Pricing &amp; promotions'!$B$6:$B$8)/100,0),2),J576)</f>
        <v>17.8</v>
      </c>
      <c r="I576" s="6">
        <f>ROUND((E576*G576-H576)/IF(OR(K576=TRUE,K576="TRUE",K576="YES",K576=1),1+'Settings'!$B$6/100,1),2)</f>
        <v>58.84</v>
      </c>
      <c r="J576" s="8">
        <v>17.8</v>
      </c>
      <c r="K576" s="3" t="inlineStr">
        <is>
          <t xml:space="preserve">TRUE</t>
        </is>
      </c>
      <c r="L576" s="3" t="inlineStr">
        <is>
          <t xml:space="preserve">VIP20</t>
        </is>
      </c>
      <c r="M576" s="6">
        <f>ROUND(E576*G576-H576,2)</f>
        <v>71.2</v>
      </c>
      <c r="N576" s="5">
        <f>IF(COUNTIF($A$3:A576,A576)=1,1,0)</f>
        <v>1</v>
      </c>
      <c r="O576" s="6">
        <f>IF(N576=1,ROUND((SUMIFS($M$3:$M$1200,$A$3:$A$1200,A576)+'Settings'!$B$13)*'Settings'!$B$14/100+'Settings'!$B$15,2),0)</f>
        <v>1.36</v>
      </c>
    </row>
    <row r="577">
      <c r="A577" s="3" t="inlineStr">
        <is>
          <t xml:space="preserve">#1424</t>
        </is>
      </c>
      <c r="B577" s="3" t="inlineStr">
        <is>
          <t xml:space="preserve">2026-04-16</t>
        </is>
      </c>
      <c r="C577" s="3" t="inlineStr">
        <is>
          <t xml:space="preserve">SKU-A</t>
        </is>
      </c>
      <c r="D577" s="3" t="inlineStr">
        <is>
          <t xml:space="preserve">Renewal Serum</t>
        </is>
      </c>
      <c r="E577" s="6">
        <f>IF('Settings'!$B$11="Scenario",IFERROR(INDEX('Catalogue'!$E$3:$E$100,MATCH(C577,'Catalogue'!$B$3:$B$100,0)),F577),F577)</f>
        <v>69.9</v>
      </c>
      <c r="F577" s="8">
        <v>69.9</v>
      </c>
      <c r="G577" s="3">
        <v>1</v>
      </c>
      <c r="H577" s="6">
        <f>IF('Settings'!$B$11="Scenario",ROUND(E577*G577*IFERROR(SUMIF('Pricing &amp; promotions'!$A$6:$A$8,L577,'Pricing &amp; promotions'!$B$6:$B$8)/100,0),2),J577)</f>
        <v>0.0</v>
      </c>
      <c r="I577" s="6">
        <f>ROUND((E577*G577-H577)/IF(OR(K577=TRUE,K577="TRUE",K577="YES",K577=1),1+'Settings'!$B$6/100,1),2)</f>
        <v>57.77</v>
      </c>
      <c r="J577" s="8">
        <v>0.0</v>
      </c>
      <c r="K577" s="3" t="inlineStr">
        <is>
          <t xml:space="preserve">TRUE</t>
        </is>
      </c>
      <c r="L577" s="3"/>
      <c r="M577" s="6">
        <f>ROUND(E577*G577-H577,2)</f>
        <v>69.9</v>
      </c>
      <c r="N577" s="5">
        <f>IF(COUNTIF($A$3:A577,A577)=1,1,0)</f>
        <v>1</v>
      </c>
      <c r="O577" s="6">
        <f>IF(N577=1,ROUND((SUMIFS($M$3:$M$1200,$A$3:$A$1200,A577)+'Settings'!$B$13)*'Settings'!$B$14/100+'Settings'!$B$15,2),0)</f>
        <v>1.34</v>
      </c>
    </row>
    <row r="578">
      <c r="A578" s="3" t="inlineStr">
        <is>
          <t xml:space="preserve">#1425</t>
        </is>
      </c>
      <c r="B578" s="3" t="inlineStr">
        <is>
          <t xml:space="preserve">2026-04-17</t>
        </is>
      </c>
      <c r="C578" s="3" t="inlineStr">
        <is>
          <t xml:space="preserve">SKU-D</t>
        </is>
      </c>
      <c r="D578" s="3" t="inlineStr">
        <is>
          <t xml:space="preserve">Daily Duo</t>
        </is>
      </c>
      <c r="E578" s="6">
        <f>IF('Settings'!$B$11="Scenario",IFERROR(INDEX('Catalogue'!$E$3:$E$100,MATCH(C578,'Catalogue'!$B$3:$B$100,0)),F578),F578)</f>
        <v>79</v>
      </c>
      <c r="F578" s="8">
        <v>79</v>
      </c>
      <c r="G578" s="3">
        <v>1</v>
      </c>
      <c r="H578" s="6">
        <f>IF('Settings'!$B$11="Scenario",ROUND(E578*G578*IFERROR(SUMIF('Pricing &amp; promotions'!$A$6:$A$8,L578,'Pricing &amp; promotions'!$B$6:$B$8)/100,0),2),J578)</f>
        <v>0.0</v>
      </c>
      <c r="I578" s="6">
        <f>ROUND((E578*G578-H578)/IF(OR(K578=TRUE,K578="TRUE",K578="YES",K578=1),1+'Settings'!$B$6/100,1),2)</f>
        <v>65.29</v>
      </c>
      <c r="J578" s="8">
        <v>0.0</v>
      </c>
      <c r="K578" s="3" t="inlineStr">
        <is>
          <t xml:space="preserve">TRUE</t>
        </is>
      </c>
      <c r="L578" s="3"/>
      <c r="M578" s="6">
        <f>ROUND(E578*G578-H578,2)</f>
        <v>79.0</v>
      </c>
      <c r="N578" s="5">
        <f>IF(COUNTIF($A$3:A578,A578)=1,1,0)</f>
        <v>1</v>
      </c>
      <c r="O578" s="6">
        <f>IF(N578=1,ROUND((SUMIFS($M$3:$M$1200,$A$3:$A$1200,A578)+'Settings'!$B$13)*'Settings'!$B$14/100+'Settings'!$B$15,2),0)</f>
        <v>1.48</v>
      </c>
    </row>
    <row r="579">
      <c r="A579" s="3" t="inlineStr">
        <is>
          <t xml:space="preserve">#1426</t>
        </is>
      </c>
      <c r="B579" s="3" t="inlineStr">
        <is>
          <t xml:space="preserve">2026-04-17</t>
        </is>
      </c>
      <c r="C579" s="3" t="inlineStr">
        <is>
          <t xml:space="preserve">SKU-D</t>
        </is>
      </c>
      <c r="D579" s="3" t="inlineStr">
        <is>
          <t xml:space="preserve">Daily Duo</t>
        </is>
      </c>
      <c r="E579" s="6">
        <f>IF('Settings'!$B$11="Scenario",IFERROR(INDEX('Catalogue'!$E$3:$E$100,MATCH(C579,'Catalogue'!$B$3:$B$100,0)),F579),F579)</f>
        <v>79</v>
      </c>
      <c r="F579" s="8">
        <v>79</v>
      </c>
      <c r="G579" s="3">
        <v>1</v>
      </c>
      <c r="H579" s="6">
        <f>IF('Settings'!$B$11="Scenario",ROUND(E579*G579*IFERROR(SUMIF('Pricing &amp; promotions'!$A$6:$A$8,L579,'Pricing &amp; promotions'!$B$6:$B$8)/100,0),2),J579)</f>
        <v>7.9</v>
      </c>
      <c r="I579" s="6">
        <f>ROUND((E579*G579-H579)/IF(OR(K579=TRUE,K579="TRUE",K579="YES",K579=1),1+'Settings'!$B$6/100,1),2)</f>
        <v>58.76</v>
      </c>
      <c r="J579" s="8">
        <v>7.9</v>
      </c>
      <c r="K579" s="3" t="inlineStr">
        <is>
          <t xml:space="preserve">TRUE</t>
        </is>
      </c>
      <c r="L579" s="3" t="inlineStr">
        <is>
          <t xml:space="preserve">WELCOME10</t>
        </is>
      </c>
      <c r="M579" s="6">
        <f>ROUND(E579*G579-H579,2)</f>
        <v>71.1</v>
      </c>
      <c r="N579" s="5">
        <f>IF(COUNTIF($A$3:A579,A579)=1,1,0)</f>
        <v>1</v>
      </c>
      <c r="O579" s="6">
        <f>IF(N579=1,ROUND((SUMIFS($M$3:$M$1200,$A$3:$A$1200,A579)+'Settings'!$B$13)*'Settings'!$B$14/100+'Settings'!$B$15,2),0)</f>
        <v>2.56</v>
      </c>
    </row>
    <row r="580">
      <c r="A580" s="3" t="inlineStr">
        <is>
          <t xml:space="preserve">#1426</t>
        </is>
      </c>
      <c r="B580" s="3" t="inlineStr">
        <is>
          <t xml:space="preserve">2026-04-17</t>
        </is>
      </c>
      <c r="C580" s="3" t="inlineStr">
        <is>
          <t xml:space="preserve">SKU-E</t>
        </is>
      </c>
      <c r="D580" s="3" t="inlineStr">
        <is>
          <t xml:space="preserve">Complete Ritual</t>
        </is>
      </c>
      <c r="E580" s="6">
        <f>IF('Settings'!$B$11="Scenario",IFERROR(INDEX('Catalogue'!$E$3:$E$100,MATCH(C580,'Catalogue'!$B$3:$B$100,0)),F580),F580)</f>
        <v>89</v>
      </c>
      <c r="F580" s="8">
        <v>89</v>
      </c>
      <c r="G580" s="3">
        <v>1</v>
      </c>
      <c r="H580" s="6">
        <f>IF('Settings'!$B$11="Scenario",ROUND(E580*G580*IFERROR(SUMIF('Pricing &amp; promotions'!$A$6:$A$8,L580,'Pricing &amp; promotions'!$B$6:$B$8)/100,0),2),J580)</f>
        <v>8.9</v>
      </c>
      <c r="I580" s="6">
        <f>ROUND((E580*G580-H580)/IF(OR(K580=TRUE,K580="TRUE",K580="YES",K580=1),1+'Settings'!$B$6/100,1),2)</f>
        <v>66.2</v>
      </c>
      <c r="J580" s="8">
        <v>8.9</v>
      </c>
      <c r="K580" s="3" t="inlineStr">
        <is>
          <t xml:space="preserve">TRUE</t>
        </is>
      </c>
      <c r="L580" s="3" t="inlineStr">
        <is>
          <t xml:space="preserve">WELCOME10</t>
        </is>
      </c>
      <c r="M580" s="6">
        <f>ROUND(E580*G580-H580,2)</f>
        <v>80.1</v>
      </c>
      <c r="N580" s="5">
        <f>IF(COUNTIF($A$3:A580,A580)=1,1,0)</f>
        <v>0</v>
      </c>
      <c r="O580" s="6">
        <f>IF(N580=1,ROUND((SUMIFS($M$3:$M$1200,$A$3:$A$1200,A580)+'Settings'!$B$13)*'Settings'!$B$14/100+'Settings'!$B$15,2),0)</f>
        <v>0</v>
      </c>
    </row>
    <row r="581">
      <c r="A581" s="3" t="inlineStr">
        <is>
          <t xml:space="preserve">#1427</t>
        </is>
      </c>
      <c r="B581" s="3" t="inlineStr">
        <is>
          <t xml:space="preserve">2026-04-19</t>
        </is>
      </c>
      <c r="C581" s="3" t="inlineStr">
        <is>
          <t xml:space="preserve">SKU-D</t>
        </is>
      </c>
      <c r="D581" s="3" t="inlineStr">
        <is>
          <t xml:space="preserve">Daily Duo</t>
        </is>
      </c>
      <c r="E581" s="6">
        <f>IF('Settings'!$B$11="Scenario",IFERROR(INDEX('Catalogue'!$E$3:$E$100,MATCH(C581,'Catalogue'!$B$3:$B$100,0)),F581),F581)</f>
        <v>79</v>
      </c>
      <c r="F581" s="8">
        <v>79</v>
      </c>
      <c r="G581" s="3">
        <v>2</v>
      </c>
      <c r="H581" s="6">
        <f>IF('Settings'!$B$11="Scenario",ROUND(E581*G581*IFERROR(SUMIF('Pricing &amp; promotions'!$A$6:$A$8,L581,'Pricing &amp; promotions'!$B$6:$B$8)/100,0),2),J581)</f>
        <v>0.0</v>
      </c>
      <c r="I581" s="6">
        <f>ROUND((E581*G581-H581)/IF(OR(K581=TRUE,K581="TRUE",K581="YES",K581=1),1+'Settings'!$B$6/100,1),2)</f>
        <v>130.58</v>
      </c>
      <c r="J581" s="8">
        <v>0.0</v>
      </c>
      <c r="K581" s="3" t="inlineStr">
        <is>
          <t xml:space="preserve">TRUE</t>
        </is>
      </c>
      <c r="L581" s="3"/>
      <c r="M581" s="6">
        <f>ROUND(E581*G581-H581,2)</f>
        <v>158.0</v>
      </c>
      <c r="N581" s="5">
        <f>IF(COUNTIF($A$3:A581,A581)=1,1,0)</f>
        <v>1</v>
      </c>
      <c r="O581" s="6">
        <f>IF(N581=1,ROUND((SUMIFS($M$3:$M$1200,$A$3:$A$1200,A581)+'Settings'!$B$13)*'Settings'!$B$14/100+'Settings'!$B$15,2),0)</f>
        <v>2.66</v>
      </c>
    </row>
    <row r="582">
      <c r="A582" s="3" t="inlineStr">
        <is>
          <t xml:space="preserve">#1428</t>
        </is>
      </c>
      <c r="B582" s="3" t="inlineStr">
        <is>
          <t xml:space="preserve">2026-04-19</t>
        </is>
      </c>
      <c r="C582" s="3" t="inlineStr">
        <is>
          <t xml:space="preserve">SKU-E</t>
        </is>
      </c>
      <c r="D582" s="3" t="inlineStr">
        <is>
          <t xml:space="preserve">Complete Ritual</t>
        </is>
      </c>
      <c r="E582" s="6">
        <f>IF('Settings'!$B$11="Scenario",IFERROR(INDEX('Catalogue'!$E$3:$E$100,MATCH(C582,'Catalogue'!$B$3:$B$100,0)),F582),F582)</f>
        <v>89</v>
      </c>
      <c r="F582" s="8">
        <v>89</v>
      </c>
      <c r="G582" s="3">
        <v>2</v>
      </c>
      <c r="H582" s="6">
        <f>IF('Settings'!$B$11="Scenario",ROUND(E582*G582*IFERROR(SUMIF('Pricing &amp; promotions'!$A$6:$A$8,L582,'Pricing &amp; promotions'!$B$6:$B$8)/100,0),2),J582)</f>
        <v>26.7</v>
      </c>
      <c r="I582" s="6">
        <f>ROUND((E582*G582-H582)/IF(OR(K582=TRUE,K582="TRUE",K582="YES",K582=1),1+'Settings'!$B$6/100,1),2)</f>
        <v>125.04</v>
      </c>
      <c r="J582" s="8">
        <v>26.7</v>
      </c>
      <c r="K582" s="3" t="inlineStr">
        <is>
          <t xml:space="preserve">TRUE</t>
        </is>
      </c>
      <c r="L582" s="3" t="inlineStr">
        <is>
          <t xml:space="preserve">SUMMER15</t>
        </is>
      </c>
      <c r="M582" s="6">
        <f>ROUND(E582*G582-H582,2)</f>
        <v>151.3</v>
      </c>
      <c r="N582" s="5">
        <f>IF(COUNTIF($A$3:A582,A582)=1,1,0)</f>
        <v>1</v>
      </c>
      <c r="O582" s="6">
        <f>IF(N582=1,ROUND((SUMIFS($M$3:$M$1200,$A$3:$A$1200,A582)+'Settings'!$B$13)*'Settings'!$B$14/100+'Settings'!$B$15,2),0)</f>
        <v>3.44</v>
      </c>
    </row>
    <row r="583">
      <c r="A583" s="3" t="inlineStr">
        <is>
          <t xml:space="preserve">#1428</t>
        </is>
      </c>
      <c r="B583" s="3" t="inlineStr">
        <is>
          <t xml:space="preserve">2026-04-19</t>
        </is>
      </c>
      <c r="C583" s="3" t="inlineStr">
        <is>
          <t xml:space="preserve">SKU-G</t>
        </is>
      </c>
      <c r="D583" s="3" t="inlineStr">
        <is>
          <t xml:space="preserve">Daily Reset Set</t>
        </is>
      </c>
      <c r="E583" s="6">
        <f>IF('Settings'!$B$11="Scenario",IFERROR(INDEX('Catalogue'!$E$3:$E$100,MATCH(C583,'Catalogue'!$B$3:$B$100,0)),F583),F583)</f>
        <v>69</v>
      </c>
      <c r="F583" s="8">
        <v>69</v>
      </c>
      <c r="G583" s="3">
        <v>1</v>
      </c>
      <c r="H583" s="6">
        <f>IF('Settings'!$B$11="Scenario",ROUND(E583*G583*IFERROR(SUMIF('Pricing &amp; promotions'!$A$6:$A$8,L583,'Pricing &amp; promotions'!$B$6:$B$8)/100,0),2),J583)</f>
        <v>10.35</v>
      </c>
      <c r="I583" s="6">
        <f>ROUND((E583*G583-H583)/IF(OR(K583=TRUE,K583="TRUE",K583="YES",K583=1),1+'Settings'!$B$6/100,1),2)</f>
        <v>48.47</v>
      </c>
      <c r="J583" s="8">
        <v>10.35</v>
      </c>
      <c r="K583" s="3" t="inlineStr">
        <is>
          <t xml:space="preserve">TRUE</t>
        </is>
      </c>
      <c r="L583" s="3" t="inlineStr">
        <is>
          <t xml:space="preserve">SUMMER15</t>
        </is>
      </c>
      <c r="M583" s="6">
        <f>ROUND(E583*G583-H583,2)</f>
        <v>58.65</v>
      </c>
      <c r="N583" s="5">
        <f>IF(COUNTIF($A$3:A583,A583)=1,1,0)</f>
        <v>0</v>
      </c>
      <c r="O583" s="6">
        <f>IF(N583=1,ROUND((SUMIFS($M$3:$M$1200,$A$3:$A$1200,A583)+'Settings'!$B$13)*'Settings'!$B$14/100+'Settings'!$B$15,2),0)</f>
        <v>0</v>
      </c>
    </row>
    <row r="584">
      <c r="A584" s="3" t="inlineStr">
        <is>
          <t xml:space="preserve">#1429</t>
        </is>
      </c>
      <c r="B584" s="3" t="inlineStr">
        <is>
          <t xml:space="preserve">2026-04-19</t>
        </is>
      </c>
      <c r="C584" s="3" t="inlineStr">
        <is>
          <t xml:space="preserve">SKU-D</t>
        </is>
      </c>
      <c r="D584" s="3" t="inlineStr">
        <is>
          <t xml:space="preserve">Daily Duo</t>
        </is>
      </c>
      <c r="E584" s="6">
        <f>IF('Settings'!$B$11="Scenario",IFERROR(INDEX('Catalogue'!$E$3:$E$100,MATCH(C584,'Catalogue'!$B$3:$B$100,0)),F584),F584)</f>
        <v>79</v>
      </c>
      <c r="F584" s="8">
        <v>79</v>
      </c>
      <c r="G584" s="3">
        <v>1</v>
      </c>
      <c r="H584" s="6">
        <f>IF('Settings'!$B$11="Scenario",ROUND(E584*G584*IFERROR(SUMIF('Pricing &amp; promotions'!$A$6:$A$8,L584,'Pricing &amp; promotions'!$B$6:$B$8)/100,0),2),J584)</f>
        <v>0.0</v>
      </c>
      <c r="I584" s="6">
        <f>ROUND((E584*G584-H584)/IF(OR(K584=TRUE,K584="TRUE",K584="YES",K584=1),1+'Settings'!$B$6/100,1),2)</f>
        <v>65.29</v>
      </c>
      <c r="J584" s="8">
        <v>0.0</v>
      </c>
      <c r="K584" s="3" t="inlineStr">
        <is>
          <t xml:space="preserve">TRUE</t>
        </is>
      </c>
      <c r="L584" s="3"/>
      <c r="M584" s="6">
        <f>ROUND(E584*G584-H584,2)</f>
        <v>79.0</v>
      </c>
      <c r="N584" s="5">
        <f>IF(COUNTIF($A$3:A584,A584)=1,1,0)</f>
        <v>1</v>
      </c>
      <c r="O584" s="6">
        <f>IF(N584=1,ROUND((SUMIFS($M$3:$M$1200,$A$3:$A$1200,A584)+'Settings'!$B$13)*'Settings'!$B$14/100+'Settings'!$B$15,2),0)</f>
        <v>1.48</v>
      </c>
    </row>
    <row r="585">
      <c r="A585" s="3" t="inlineStr">
        <is>
          <t xml:space="preserve">#1430</t>
        </is>
      </c>
      <c r="B585" s="3" t="inlineStr">
        <is>
          <t xml:space="preserve">2026-04-20</t>
        </is>
      </c>
      <c r="C585" s="3" t="inlineStr">
        <is>
          <t xml:space="preserve">SKU-G</t>
        </is>
      </c>
      <c r="D585" s="3" t="inlineStr">
        <is>
          <t xml:space="preserve">Daily Reset Set</t>
        </is>
      </c>
      <c r="E585" s="6">
        <f>IF('Settings'!$B$11="Scenario",IFERROR(INDEX('Catalogue'!$E$3:$E$100,MATCH(C585,'Catalogue'!$B$3:$B$100,0)),F585),F585)</f>
        <v>69</v>
      </c>
      <c r="F585" s="8">
        <v>69</v>
      </c>
      <c r="G585" s="3">
        <v>1</v>
      </c>
      <c r="H585" s="6">
        <f>IF('Settings'!$B$11="Scenario",ROUND(E585*G585*IFERROR(SUMIF('Pricing &amp; promotions'!$A$6:$A$8,L585,'Pricing &amp; promotions'!$B$6:$B$8)/100,0),2),J585)</f>
        <v>10.35</v>
      </c>
      <c r="I585" s="6">
        <f>ROUND((E585*G585-H585)/IF(OR(K585=TRUE,K585="TRUE",K585="YES",K585=1),1+'Settings'!$B$6/100,1),2)</f>
        <v>48.47</v>
      </c>
      <c r="J585" s="8">
        <v>10.35</v>
      </c>
      <c r="K585" s="3" t="inlineStr">
        <is>
          <t xml:space="preserve">TRUE</t>
        </is>
      </c>
      <c r="L585" s="3" t="inlineStr">
        <is>
          <t xml:space="preserve">SUMMER15</t>
        </is>
      </c>
      <c r="M585" s="6">
        <f>ROUND(E585*G585-H585,2)</f>
        <v>58.65</v>
      </c>
      <c r="N585" s="5">
        <f>IF(COUNTIF($A$3:A585,A585)=1,1,0)</f>
        <v>1</v>
      </c>
      <c r="O585" s="6">
        <f>IF(N585=1,ROUND((SUMIFS($M$3:$M$1200,$A$3:$A$1200,A585)+'Settings'!$B$13)*'Settings'!$B$14/100+'Settings'!$B$15,2),0)</f>
        <v>2.07</v>
      </c>
    </row>
    <row r="586">
      <c r="A586" s="3" t="inlineStr">
        <is>
          <t xml:space="preserve">#1430</t>
        </is>
      </c>
      <c r="B586" s="3" t="inlineStr">
        <is>
          <t xml:space="preserve">2026-04-20</t>
        </is>
      </c>
      <c r="C586" s="3" t="inlineStr">
        <is>
          <t xml:space="preserve">SKU-A</t>
        </is>
      </c>
      <c r="D586" s="3" t="inlineStr">
        <is>
          <t xml:space="preserve">Renewal Serum</t>
        </is>
      </c>
      <c r="E586" s="6">
        <f>IF('Settings'!$B$11="Scenario",IFERROR(INDEX('Catalogue'!$E$3:$E$100,MATCH(C586,'Catalogue'!$B$3:$B$100,0)),F586),F586)</f>
        <v>69.9</v>
      </c>
      <c r="F586" s="8">
        <v>69.9</v>
      </c>
      <c r="G586" s="3">
        <v>1</v>
      </c>
      <c r="H586" s="6">
        <f>IF('Settings'!$B$11="Scenario",ROUND(E586*G586*IFERROR(SUMIF('Pricing &amp; promotions'!$A$6:$A$8,L586,'Pricing &amp; promotions'!$B$6:$B$8)/100,0),2),J586)</f>
        <v>10.49</v>
      </c>
      <c r="I586" s="6">
        <f>ROUND((E586*G586-H586)/IF(OR(K586=TRUE,K586="TRUE",K586="YES",K586=1),1+'Settings'!$B$6/100,1),2)</f>
        <v>49.1</v>
      </c>
      <c r="J586" s="8">
        <v>10.49</v>
      </c>
      <c r="K586" s="3" t="inlineStr">
        <is>
          <t xml:space="preserve">TRUE</t>
        </is>
      </c>
      <c r="L586" s="3" t="inlineStr">
        <is>
          <t xml:space="preserve">SUMMER15</t>
        </is>
      </c>
      <c r="M586" s="6">
        <f>ROUND(E586*G586-H586,2)</f>
        <v>59.41</v>
      </c>
      <c r="N586" s="5">
        <f>IF(COUNTIF($A$3:A586,A586)=1,1,0)</f>
        <v>0</v>
      </c>
      <c r="O586" s="6">
        <f>IF(N586=1,ROUND((SUMIFS($M$3:$M$1200,$A$3:$A$1200,A586)+'Settings'!$B$13)*'Settings'!$B$14/100+'Settings'!$B$15,2),0)</f>
        <v>0</v>
      </c>
    </row>
    <row r="587">
      <c r="A587" s="3" t="inlineStr">
        <is>
          <t xml:space="preserve">#1431</t>
        </is>
      </c>
      <c r="B587" s="3" t="inlineStr">
        <is>
          <t xml:space="preserve">2026-04-20</t>
        </is>
      </c>
      <c r="C587" s="3" t="inlineStr">
        <is>
          <t xml:space="preserve">SKU-D</t>
        </is>
      </c>
      <c r="D587" s="3" t="inlineStr">
        <is>
          <t xml:space="preserve">Daily Duo</t>
        </is>
      </c>
      <c r="E587" s="6">
        <f>IF('Settings'!$B$11="Scenario",IFERROR(INDEX('Catalogue'!$E$3:$E$100,MATCH(C587,'Catalogue'!$B$3:$B$100,0)),F587),F587)</f>
        <v>79</v>
      </c>
      <c r="F587" s="8">
        <v>79</v>
      </c>
      <c r="G587" s="3">
        <v>1</v>
      </c>
      <c r="H587" s="6">
        <f>IF('Settings'!$B$11="Scenario",ROUND(E587*G587*IFERROR(SUMIF('Pricing &amp; promotions'!$A$6:$A$8,L587,'Pricing &amp; promotions'!$B$6:$B$8)/100,0),2),J587)</f>
        <v>0.0</v>
      </c>
      <c r="I587" s="6">
        <f>ROUND((E587*G587-H587)/IF(OR(K587=TRUE,K587="TRUE",K587="YES",K587=1),1+'Settings'!$B$6/100,1),2)</f>
        <v>65.29</v>
      </c>
      <c r="J587" s="8">
        <v>0.0</v>
      </c>
      <c r="K587" s="3" t="inlineStr">
        <is>
          <t xml:space="preserve">TRUE</t>
        </is>
      </c>
      <c r="L587" s="3"/>
      <c r="M587" s="6">
        <f>ROUND(E587*G587-H587,2)</f>
        <v>79.0</v>
      </c>
      <c r="N587" s="5">
        <f>IF(COUNTIF($A$3:A587,A587)=1,1,0)</f>
        <v>1</v>
      </c>
      <c r="O587" s="6">
        <f>IF(N587=1,ROUND((SUMIFS($M$3:$M$1200,$A$3:$A$1200,A587)+'Settings'!$B$13)*'Settings'!$B$14/100+'Settings'!$B$15,2),0)</f>
        <v>1.48</v>
      </c>
    </row>
    <row r="588">
      <c r="A588" s="3" t="inlineStr">
        <is>
          <t xml:space="preserve">#1432</t>
        </is>
      </c>
      <c r="B588" s="3" t="inlineStr">
        <is>
          <t xml:space="preserve">2026-04-21</t>
        </is>
      </c>
      <c r="C588" s="3" t="inlineStr">
        <is>
          <t xml:space="preserve">SKU-E</t>
        </is>
      </c>
      <c r="D588" s="3" t="inlineStr">
        <is>
          <t xml:space="preserve">Complete Ritual</t>
        </is>
      </c>
      <c r="E588" s="6">
        <f>IF('Settings'!$B$11="Scenario",IFERROR(INDEX('Catalogue'!$E$3:$E$100,MATCH(C588,'Catalogue'!$B$3:$B$100,0)),F588),F588)</f>
        <v>89</v>
      </c>
      <c r="F588" s="8">
        <v>89</v>
      </c>
      <c r="G588" s="3">
        <v>1</v>
      </c>
      <c r="H588" s="6">
        <f>IF('Settings'!$B$11="Scenario",ROUND(E588*G588*IFERROR(SUMIF('Pricing &amp; promotions'!$A$6:$A$8,L588,'Pricing &amp; promotions'!$B$6:$B$8)/100,0),2),J588)</f>
        <v>0.0</v>
      </c>
      <c r="I588" s="6">
        <f>ROUND((E588*G588-H588)/IF(OR(K588=TRUE,K588="TRUE",K588="YES",K588=1),1+'Settings'!$B$6/100,1),2)</f>
        <v>73.55</v>
      </c>
      <c r="J588" s="8">
        <v>0.0</v>
      </c>
      <c r="K588" s="3" t="inlineStr">
        <is>
          <t xml:space="preserve">TRUE</t>
        </is>
      </c>
      <c r="L588" s="3"/>
      <c r="M588" s="6">
        <f>ROUND(E588*G588-H588,2)</f>
        <v>89.0</v>
      </c>
      <c r="N588" s="5">
        <f>IF(COUNTIF($A$3:A588,A588)=1,1,0)</f>
        <v>1</v>
      </c>
      <c r="O588" s="6">
        <f>IF(N588=1,ROUND((SUMIFS($M$3:$M$1200,$A$3:$A$1200,A588)+'Settings'!$B$13)*'Settings'!$B$14/100+'Settings'!$B$15,2),0)</f>
        <v>1.91</v>
      </c>
    </row>
    <row r="589">
      <c r="A589" s="3" t="inlineStr">
        <is>
          <t xml:space="preserve">#1432</t>
        </is>
      </c>
      <c r="B589" s="3" t="inlineStr">
        <is>
          <t xml:space="preserve">2026-04-21</t>
        </is>
      </c>
      <c r="C589" s="3" t="inlineStr">
        <is>
          <t xml:space="preserve">SKU-B</t>
        </is>
      </c>
      <c r="D589" s="3" t="inlineStr">
        <is>
          <t xml:space="preserve">Barrier Balm</t>
        </is>
      </c>
      <c r="E589" s="6">
        <f>IF('Settings'!$B$11="Scenario",IFERROR(INDEX('Catalogue'!$E$3:$E$100,MATCH(C589,'Catalogue'!$B$3:$B$100,0)),F589),F589)</f>
        <v>19</v>
      </c>
      <c r="F589" s="8">
        <v>19</v>
      </c>
      <c r="G589" s="3">
        <v>1</v>
      </c>
      <c r="H589" s="6">
        <f>IF('Settings'!$B$11="Scenario",ROUND(E589*G589*IFERROR(SUMIF('Pricing &amp; promotions'!$A$6:$A$8,L589,'Pricing &amp; promotions'!$B$6:$B$8)/100,0),2),J589)</f>
        <v>0.0</v>
      </c>
      <c r="I589" s="6">
        <f>ROUND((E589*G589-H589)/IF(OR(K589=TRUE,K589="TRUE",K589="YES",K589=1),1+'Settings'!$B$6/100,1),2)</f>
        <v>15.7</v>
      </c>
      <c r="J589" s="8">
        <v>0.0</v>
      </c>
      <c r="K589" s="3" t="inlineStr">
        <is>
          <t xml:space="preserve">TRUE</t>
        </is>
      </c>
      <c r="L589" s="3"/>
      <c r="M589" s="6">
        <f>ROUND(E589*G589-H589,2)</f>
        <v>19.0</v>
      </c>
      <c r="N589" s="5">
        <f>IF(COUNTIF($A$3:A589,A589)=1,1,0)</f>
        <v>0</v>
      </c>
      <c r="O589" s="6">
        <f>IF(N589=1,ROUND((SUMIFS($M$3:$M$1200,$A$3:$A$1200,A589)+'Settings'!$B$13)*'Settings'!$B$14/100+'Settings'!$B$15,2),0)</f>
        <v>0</v>
      </c>
    </row>
    <row r="590">
      <c r="A590" s="3" t="inlineStr">
        <is>
          <t xml:space="preserve">#1433</t>
        </is>
      </c>
      <c r="B590" s="3" t="inlineStr">
        <is>
          <t xml:space="preserve">2026-04-22</t>
        </is>
      </c>
      <c r="C590" s="3" t="inlineStr">
        <is>
          <t xml:space="preserve">SKU-A</t>
        </is>
      </c>
      <c r="D590" s="3" t="inlineStr">
        <is>
          <t xml:space="preserve">Renewal Serum</t>
        </is>
      </c>
      <c r="E590" s="6">
        <f>IF('Settings'!$B$11="Scenario",IFERROR(INDEX('Catalogue'!$E$3:$E$100,MATCH(C590,'Catalogue'!$B$3:$B$100,0)),F590),F590)</f>
        <v>69.9</v>
      </c>
      <c r="F590" s="8">
        <v>69.9</v>
      </c>
      <c r="G590" s="3">
        <v>1</v>
      </c>
      <c r="H590" s="6">
        <f>IF('Settings'!$B$11="Scenario",ROUND(E590*G590*IFERROR(SUMIF('Pricing &amp; promotions'!$A$6:$A$8,L590,'Pricing &amp; promotions'!$B$6:$B$8)/100,0),2),J590)</f>
        <v>0.0</v>
      </c>
      <c r="I590" s="6">
        <f>ROUND((E590*G590-H590)/IF(OR(K590=TRUE,K590="TRUE",K590="YES",K590=1),1+'Settings'!$B$6/100,1),2)</f>
        <v>57.77</v>
      </c>
      <c r="J590" s="8">
        <v>0.0</v>
      </c>
      <c r="K590" s="3" t="inlineStr">
        <is>
          <t xml:space="preserve">TRUE</t>
        </is>
      </c>
      <c r="L590" s="3"/>
      <c r="M590" s="6">
        <f>ROUND(E590*G590-H590,2)</f>
        <v>69.9</v>
      </c>
      <c r="N590" s="5">
        <f>IF(COUNTIF($A$3:A590,A590)=1,1,0)</f>
        <v>1</v>
      </c>
      <c r="O590" s="6">
        <f>IF(N590=1,ROUND((SUMIFS($M$3:$M$1200,$A$3:$A$1200,A590)+'Settings'!$B$13)*'Settings'!$B$14/100+'Settings'!$B$15,2),0)</f>
        <v>3.41</v>
      </c>
    </row>
    <row r="591">
      <c r="A591" s="3" t="inlineStr">
        <is>
          <t xml:space="preserve">#1433</t>
        </is>
      </c>
      <c r="B591" s="3" t="inlineStr">
        <is>
          <t xml:space="preserve">2026-04-22</t>
        </is>
      </c>
      <c r="C591" s="3" t="inlineStr">
        <is>
          <t xml:space="preserve">SKU-G</t>
        </is>
      </c>
      <c r="D591" s="3" t="inlineStr">
        <is>
          <t xml:space="preserve">Daily Reset Set</t>
        </is>
      </c>
      <c r="E591" s="6">
        <f>IF('Settings'!$B$11="Scenario",IFERROR(INDEX('Catalogue'!$E$3:$E$100,MATCH(C591,'Catalogue'!$B$3:$B$100,0)),F591),F591)</f>
        <v>69</v>
      </c>
      <c r="F591" s="8">
        <v>69</v>
      </c>
      <c r="G591" s="3">
        <v>2</v>
      </c>
      <c r="H591" s="6">
        <f>IF('Settings'!$B$11="Scenario",ROUND(E591*G591*IFERROR(SUMIF('Pricing &amp; promotions'!$A$6:$A$8,L591,'Pricing &amp; promotions'!$B$6:$B$8)/100,0),2),J591)</f>
        <v>0.0</v>
      </c>
      <c r="I591" s="6">
        <f>ROUND((E591*G591-H591)/IF(OR(K591=TRUE,K591="TRUE",K591="YES",K591=1),1+'Settings'!$B$6/100,1),2)</f>
        <v>114.05</v>
      </c>
      <c r="J591" s="8">
        <v>0.0</v>
      </c>
      <c r="K591" s="3" t="inlineStr">
        <is>
          <t xml:space="preserve">TRUE</t>
        </is>
      </c>
      <c r="L591" s="3"/>
      <c r="M591" s="6">
        <f>ROUND(E591*G591-H591,2)</f>
        <v>138.0</v>
      </c>
      <c r="N591" s="5">
        <f>IF(COUNTIF($A$3:A591,A591)=1,1,0)</f>
        <v>0</v>
      </c>
      <c r="O591" s="6">
        <f>IF(N591=1,ROUND((SUMIFS($M$3:$M$1200,$A$3:$A$1200,A591)+'Settings'!$B$13)*'Settings'!$B$14/100+'Settings'!$B$15,2),0)</f>
        <v>0</v>
      </c>
    </row>
    <row r="592">
      <c r="A592" s="3" t="inlineStr">
        <is>
          <t xml:space="preserve">#1434</t>
        </is>
      </c>
      <c r="B592" s="3" t="inlineStr">
        <is>
          <t xml:space="preserve">2026-04-22</t>
        </is>
      </c>
      <c r="C592" s="3" t="inlineStr">
        <is>
          <t xml:space="preserve">SKU-G</t>
        </is>
      </c>
      <c r="D592" s="3" t="inlineStr">
        <is>
          <t xml:space="preserve">Daily Reset Set</t>
        </is>
      </c>
      <c r="E592" s="6">
        <f>IF('Settings'!$B$11="Scenario",IFERROR(INDEX('Catalogue'!$E$3:$E$100,MATCH(C592,'Catalogue'!$B$3:$B$100,0)),F592),F592)</f>
        <v>69</v>
      </c>
      <c r="F592" s="8">
        <v>69</v>
      </c>
      <c r="G592" s="3">
        <v>2</v>
      </c>
      <c r="H592" s="6">
        <f>IF('Settings'!$B$11="Scenario",ROUND(E592*G592*IFERROR(SUMIF('Pricing &amp; promotions'!$A$6:$A$8,L592,'Pricing &amp; promotions'!$B$6:$B$8)/100,0),2),J592)</f>
        <v>20.7</v>
      </c>
      <c r="I592" s="6">
        <f>ROUND((E592*G592-H592)/IF(OR(K592=TRUE,K592="TRUE",K592="YES",K592=1),1+'Settings'!$B$6/100,1),2)</f>
        <v>96.94</v>
      </c>
      <c r="J592" s="8">
        <v>20.7</v>
      </c>
      <c r="K592" s="3" t="inlineStr">
        <is>
          <t xml:space="preserve">TRUE</t>
        </is>
      </c>
      <c r="L592" s="3" t="inlineStr">
        <is>
          <t xml:space="preserve">SUMMER15</t>
        </is>
      </c>
      <c r="M592" s="6">
        <f>ROUND(E592*G592-H592,2)</f>
        <v>117.3</v>
      </c>
      <c r="N592" s="5">
        <f>IF(COUNTIF($A$3:A592,A592)=1,1,0)</f>
        <v>1</v>
      </c>
      <c r="O592" s="6">
        <f>IF(N592=1,ROUND((SUMIFS($M$3:$M$1200,$A$3:$A$1200,A592)+'Settings'!$B$13)*'Settings'!$B$14/100+'Settings'!$B$15,2),0)</f>
        <v>2.05</v>
      </c>
    </row>
    <row r="593">
      <c r="A593" s="3" t="inlineStr">
        <is>
          <t xml:space="preserve">#1435</t>
        </is>
      </c>
      <c r="B593" s="3" t="inlineStr">
        <is>
          <t xml:space="preserve">2026-04-24</t>
        </is>
      </c>
      <c r="C593" s="3" t="inlineStr">
        <is>
          <t xml:space="preserve">SKU-D</t>
        </is>
      </c>
      <c r="D593" s="3" t="inlineStr">
        <is>
          <t xml:space="preserve">Daily Duo</t>
        </is>
      </c>
      <c r="E593" s="6">
        <f>IF('Settings'!$B$11="Scenario",IFERROR(INDEX('Catalogue'!$E$3:$E$100,MATCH(C593,'Catalogue'!$B$3:$B$100,0)),F593),F593)</f>
        <v>79</v>
      </c>
      <c r="F593" s="8">
        <v>79</v>
      </c>
      <c r="G593" s="3">
        <v>2</v>
      </c>
      <c r="H593" s="6">
        <f>IF('Settings'!$B$11="Scenario",ROUND(E593*G593*IFERROR(SUMIF('Pricing &amp; promotions'!$A$6:$A$8,L593,'Pricing &amp; promotions'!$B$6:$B$8)/100,0),2),J593)</f>
        <v>23.7</v>
      </c>
      <c r="I593" s="6">
        <f>ROUND((E593*G593-H593)/IF(OR(K593=TRUE,K593="TRUE",K593="YES",K593=1),1+'Settings'!$B$6/100,1),2)</f>
        <v>110.99</v>
      </c>
      <c r="J593" s="8">
        <v>23.7</v>
      </c>
      <c r="K593" s="3" t="inlineStr">
        <is>
          <t xml:space="preserve">TRUE</t>
        </is>
      </c>
      <c r="L593" s="3" t="inlineStr">
        <is>
          <t xml:space="preserve">SUMMER15</t>
        </is>
      </c>
      <c r="M593" s="6">
        <f>ROUND(E593*G593-H593,2)</f>
        <v>134.3</v>
      </c>
      <c r="N593" s="5">
        <f>IF(COUNTIF($A$3:A593,A593)=1,1,0)</f>
        <v>1</v>
      </c>
      <c r="O593" s="6">
        <f>IF(N593=1,ROUND((SUMIFS($M$3:$M$1200,$A$3:$A$1200,A593)+'Settings'!$B$13)*'Settings'!$B$14/100+'Settings'!$B$15,2),0)</f>
        <v>2.31</v>
      </c>
    </row>
    <row r="594">
      <c r="A594" s="3" t="inlineStr">
        <is>
          <t xml:space="preserve">#1436</t>
        </is>
      </c>
      <c r="B594" s="3" t="inlineStr">
        <is>
          <t xml:space="preserve">2026-04-24</t>
        </is>
      </c>
      <c r="C594" s="3" t="inlineStr">
        <is>
          <t xml:space="preserve">SKU-A</t>
        </is>
      </c>
      <c r="D594" s="3" t="inlineStr">
        <is>
          <t xml:space="preserve">Renewal Serum</t>
        </is>
      </c>
      <c r="E594" s="6">
        <f>IF('Settings'!$B$11="Scenario",IFERROR(INDEX('Catalogue'!$E$3:$E$100,MATCH(C594,'Catalogue'!$B$3:$B$100,0)),F594),F594)</f>
        <v>69.9</v>
      </c>
      <c r="F594" s="8">
        <v>69.9</v>
      </c>
      <c r="G594" s="3">
        <v>1</v>
      </c>
      <c r="H594" s="6">
        <f>IF('Settings'!$B$11="Scenario",ROUND(E594*G594*IFERROR(SUMIF('Pricing &amp; promotions'!$A$6:$A$8,L594,'Pricing &amp; promotions'!$B$6:$B$8)/100,0),2),J594)</f>
        <v>0.0</v>
      </c>
      <c r="I594" s="6">
        <f>ROUND((E594*G594-H594)/IF(OR(K594=TRUE,K594="TRUE",K594="YES",K594=1),1+'Settings'!$B$6/100,1),2)</f>
        <v>57.77</v>
      </c>
      <c r="J594" s="8">
        <v>0.0</v>
      </c>
      <c r="K594" s="3" t="inlineStr">
        <is>
          <t xml:space="preserve">TRUE</t>
        </is>
      </c>
      <c r="L594" s="3"/>
      <c r="M594" s="6">
        <f>ROUND(E594*G594-H594,2)</f>
        <v>69.9</v>
      </c>
      <c r="N594" s="5">
        <f>IF(COUNTIF($A$3:A594,A594)=1,1,0)</f>
        <v>1</v>
      </c>
      <c r="O594" s="6">
        <f>IF(N594=1,ROUND((SUMIFS($M$3:$M$1200,$A$3:$A$1200,A594)+'Settings'!$B$13)*'Settings'!$B$14/100+'Settings'!$B$15,2),0)</f>
        <v>1.34</v>
      </c>
    </row>
    <row r="595">
      <c r="A595" s="3" t="inlineStr">
        <is>
          <t xml:space="preserve">#1437</t>
        </is>
      </c>
      <c r="B595" s="3" t="inlineStr">
        <is>
          <t xml:space="preserve">2026-04-25</t>
        </is>
      </c>
      <c r="C595" s="3" t="inlineStr">
        <is>
          <t xml:space="preserve">SKU-E</t>
        </is>
      </c>
      <c r="D595" s="3" t="inlineStr">
        <is>
          <t xml:space="preserve">Complete Ritual</t>
        </is>
      </c>
      <c r="E595" s="6">
        <f>IF('Settings'!$B$11="Scenario",IFERROR(INDEX('Catalogue'!$E$3:$E$100,MATCH(C595,'Catalogue'!$B$3:$B$100,0)),F595),F595)</f>
        <v>89</v>
      </c>
      <c r="F595" s="8">
        <v>89</v>
      </c>
      <c r="G595" s="3">
        <v>1</v>
      </c>
      <c r="H595" s="6">
        <f>IF('Settings'!$B$11="Scenario",ROUND(E595*G595*IFERROR(SUMIF('Pricing &amp; promotions'!$A$6:$A$8,L595,'Pricing &amp; promotions'!$B$6:$B$8)/100,0),2),J595)</f>
        <v>0.0</v>
      </c>
      <c r="I595" s="6">
        <f>ROUND((E595*G595-H595)/IF(OR(K595=TRUE,K595="TRUE",K595="YES",K595=1),1+'Settings'!$B$6/100,1),2)</f>
        <v>73.55</v>
      </c>
      <c r="J595" s="8">
        <v>0.0</v>
      </c>
      <c r="K595" s="3" t="inlineStr">
        <is>
          <t xml:space="preserve">TRUE</t>
        </is>
      </c>
      <c r="L595" s="3"/>
      <c r="M595" s="6">
        <f>ROUND(E595*G595-H595,2)</f>
        <v>89.0</v>
      </c>
      <c r="N595" s="5">
        <f>IF(COUNTIF($A$3:A595,A595)=1,1,0)</f>
        <v>1</v>
      </c>
      <c r="O595" s="6">
        <f>IF(N595=1,ROUND((SUMIFS($M$3:$M$1200,$A$3:$A$1200,A595)+'Settings'!$B$13)*'Settings'!$B$14/100+'Settings'!$B$15,2),0)</f>
        <v>1.63</v>
      </c>
    </row>
    <row r="596">
      <c r="A596" s="3" t="inlineStr">
        <is>
          <t xml:space="preserve">#1438</t>
        </is>
      </c>
      <c r="B596" s="3" t="inlineStr">
        <is>
          <t xml:space="preserve">2026-04-25</t>
        </is>
      </c>
      <c r="C596" s="3" t="inlineStr">
        <is>
          <t xml:space="preserve">SKU-F</t>
        </is>
      </c>
      <c r="D596" s="3" t="inlineStr">
        <is>
          <t xml:space="preserve">Cloud Cleanser</t>
        </is>
      </c>
      <c r="E596" s="6">
        <f>IF('Settings'!$B$11="Scenario",IFERROR(INDEX('Catalogue'!$E$3:$E$100,MATCH(C596,'Catalogue'!$B$3:$B$100,0)),F596),F596)</f>
        <v>34</v>
      </c>
      <c r="F596" s="8">
        <v>34</v>
      </c>
      <c r="G596" s="3">
        <v>1</v>
      </c>
      <c r="H596" s="6">
        <f>IF('Settings'!$B$11="Scenario",ROUND(E596*G596*IFERROR(SUMIF('Pricing &amp; promotions'!$A$6:$A$8,L596,'Pricing &amp; promotions'!$B$6:$B$8)/100,0),2),J596)</f>
        <v>0.0</v>
      </c>
      <c r="I596" s="6">
        <f>ROUND((E596*G596-H596)/IF(OR(K596=TRUE,K596="TRUE",K596="YES",K596=1),1+'Settings'!$B$6/100,1),2)</f>
        <v>28.1</v>
      </c>
      <c r="J596" s="8">
        <v>0.0</v>
      </c>
      <c r="K596" s="3" t="inlineStr">
        <is>
          <t xml:space="preserve">TRUE</t>
        </is>
      </c>
      <c r="L596" s="3"/>
      <c r="M596" s="6">
        <f>ROUND(E596*G596-H596,2)</f>
        <v>34.0</v>
      </c>
      <c r="N596" s="5">
        <f>IF(COUNTIF($A$3:A596,A596)=1,1,0)</f>
        <v>1</v>
      </c>
      <c r="O596" s="6">
        <f>IF(N596=1,ROUND((SUMIFS($M$3:$M$1200,$A$3:$A$1200,A596)+'Settings'!$B$13)*'Settings'!$B$14/100+'Settings'!$B$15,2),0)</f>
        <v>1.99</v>
      </c>
    </row>
    <row r="597">
      <c r="A597" s="3" t="inlineStr">
        <is>
          <t xml:space="preserve">#1438</t>
        </is>
      </c>
      <c r="B597" s="3" t="inlineStr">
        <is>
          <t xml:space="preserve">2026-04-25</t>
        </is>
      </c>
      <c r="C597" s="3" t="inlineStr">
        <is>
          <t xml:space="preserve">SKU-D</t>
        </is>
      </c>
      <c r="D597" s="3" t="inlineStr">
        <is>
          <t xml:space="preserve">Daily Duo</t>
        </is>
      </c>
      <c r="E597" s="6">
        <f>IF('Settings'!$B$11="Scenario",IFERROR(INDEX('Catalogue'!$E$3:$E$100,MATCH(C597,'Catalogue'!$B$3:$B$100,0)),F597),F597)</f>
        <v>79</v>
      </c>
      <c r="F597" s="8">
        <v>79</v>
      </c>
      <c r="G597" s="3">
        <v>1</v>
      </c>
      <c r="H597" s="6">
        <f>IF('Settings'!$B$11="Scenario",ROUND(E597*G597*IFERROR(SUMIF('Pricing &amp; promotions'!$A$6:$A$8,L597,'Pricing &amp; promotions'!$B$6:$B$8)/100,0),2),J597)</f>
        <v>0.0</v>
      </c>
      <c r="I597" s="6">
        <f>ROUND((E597*G597-H597)/IF(OR(K597=TRUE,K597="TRUE",K597="YES",K597=1),1+'Settings'!$B$6/100,1),2)</f>
        <v>65.29</v>
      </c>
      <c r="J597" s="8">
        <v>0.0</v>
      </c>
      <c r="K597" s="3" t="inlineStr">
        <is>
          <t xml:space="preserve">TRUE</t>
        </is>
      </c>
      <c r="L597" s="3"/>
      <c r="M597" s="6">
        <f>ROUND(E597*G597-H597,2)</f>
        <v>79.0</v>
      </c>
      <c r="N597" s="5">
        <f>IF(COUNTIF($A$3:A597,A597)=1,1,0)</f>
        <v>0</v>
      </c>
      <c r="O597" s="6">
        <f>IF(N597=1,ROUND((SUMIFS($M$3:$M$1200,$A$3:$A$1200,A597)+'Settings'!$B$13)*'Settings'!$B$14/100+'Settings'!$B$15,2),0)</f>
        <v>0</v>
      </c>
    </row>
    <row r="598">
      <c r="A598" s="3" t="inlineStr">
        <is>
          <t xml:space="preserve">#1439</t>
        </is>
      </c>
      <c r="B598" s="3" t="inlineStr">
        <is>
          <t xml:space="preserve">2026-04-25</t>
        </is>
      </c>
      <c r="C598" s="3" t="inlineStr">
        <is>
          <t xml:space="preserve">SKU-B</t>
        </is>
      </c>
      <c r="D598" s="3" t="inlineStr">
        <is>
          <t xml:space="preserve">Barrier Balm</t>
        </is>
      </c>
      <c r="E598" s="6">
        <f>IF('Settings'!$B$11="Scenario",IFERROR(INDEX('Catalogue'!$E$3:$E$100,MATCH(C598,'Catalogue'!$B$3:$B$100,0)),F598),F598)</f>
        <v>19</v>
      </c>
      <c r="F598" s="8">
        <v>19</v>
      </c>
      <c r="G598" s="3">
        <v>1</v>
      </c>
      <c r="H598" s="6">
        <f>IF('Settings'!$B$11="Scenario",ROUND(E598*G598*IFERROR(SUMIF('Pricing &amp; promotions'!$A$6:$A$8,L598,'Pricing &amp; promotions'!$B$6:$B$8)/100,0),2),J598)</f>
        <v>1.9</v>
      </c>
      <c r="I598" s="6">
        <f>ROUND((E598*G598-H598)/IF(OR(K598=TRUE,K598="TRUE",K598="YES",K598=1),1+'Settings'!$B$6/100,1),2)</f>
        <v>14.13</v>
      </c>
      <c r="J598" s="8">
        <v>1.9</v>
      </c>
      <c r="K598" s="3" t="inlineStr">
        <is>
          <t xml:space="preserve">TRUE</t>
        </is>
      </c>
      <c r="L598" s="3" t="inlineStr">
        <is>
          <t xml:space="preserve">WELCOME10</t>
        </is>
      </c>
      <c r="M598" s="6">
        <f>ROUND(E598*G598-H598,2)</f>
        <v>17.1</v>
      </c>
      <c r="N598" s="5">
        <f>IF(COUNTIF($A$3:A598,A598)=1,1,0)</f>
        <v>1</v>
      </c>
      <c r="O598" s="6">
        <f>IF(N598=1,ROUND((SUMIFS($M$3:$M$1200,$A$3:$A$1200,A598)+'Settings'!$B$13)*'Settings'!$B$14/100+'Settings'!$B$15,2),0)</f>
        <v>1.62</v>
      </c>
    </row>
    <row r="599">
      <c r="A599" s="3" t="inlineStr">
        <is>
          <t xml:space="preserve">#1439</t>
        </is>
      </c>
      <c r="B599" s="3" t="inlineStr">
        <is>
          <t xml:space="preserve">2026-04-25</t>
        </is>
      </c>
      <c r="C599" s="3" t="inlineStr">
        <is>
          <t xml:space="preserve">SKU-D</t>
        </is>
      </c>
      <c r="D599" s="3" t="inlineStr">
        <is>
          <t xml:space="preserve">Daily Duo</t>
        </is>
      </c>
      <c r="E599" s="6">
        <f>IF('Settings'!$B$11="Scenario",IFERROR(INDEX('Catalogue'!$E$3:$E$100,MATCH(C599,'Catalogue'!$B$3:$B$100,0)),F599),F599)</f>
        <v>79</v>
      </c>
      <c r="F599" s="8">
        <v>79</v>
      </c>
      <c r="G599" s="3">
        <v>1</v>
      </c>
      <c r="H599" s="6">
        <f>IF('Settings'!$B$11="Scenario",ROUND(E599*G599*IFERROR(SUMIF('Pricing &amp; promotions'!$A$6:$A$8,L599,'Pricing &amp; promotions'!$B$6:$B$8)/100,0),2),J599)</f>
        <v>7.9</v>
      </c>
      <c r="I599" s="6">
        <f>ROUND((E599*G599-H599)/IF(OR(K599=TRUE,K599="TRUE",K599="YES",K599=1),1+'Settings'!$B$6/100,1),2)</f>
        <v>58.76</v>
      </c>
      <c r="J599" s="8">
        <v>7.9</v>
      </c>
      <c r="K599" s="3" t="inlineStr">
        <is>
          <t xml:space="preserve">TRUE</t>
        </is>
      </c>
      <c r="L599" s="3" t="inlineStr">
        <is>
          <t xml:space="preserve">WELCOME10</t>
        </is>
      </c>
      <c r="M599" s="6">
        <f>ROUND(E599*G599-H599,2)</f>
        <v>71.1</v>
      </c>
      <c r="N599" s="5">
        <f>IF(COUNTIF($A$3:A599,A599)=1,1,0)</f>
        <v>0</v>
      </c>
      <c r="O599" s="6">
        <f>IF(N599=1,ROUND((SUMIFS($M$3:$M$1200,$A$3:$A$1200,A599)+'Settings'!$B$13)*'Settings'!$B$14/100+'Settings'!$B$15,2),0)</f>
        <v>0</v>
      </c>
    </row>
    <row r="600">
      <c r="A600" s="3" t="inlineStr">
        <is>
          <t xml:space="preserve">#1440</t>
        </is>
      </c>
      <c r="B600" s="3" t="inlineStr">
        <is>
          <t xml:space="preserve">2026-04-25</t>
        </is>
      </c>
      <c r="C600" s="3" t="inlineStr">
        <is>
          <t xml:space="preserve">SKU-E</t>
        </is>
      </c>
      <c r="D600" s="3" t="inlineStr">
        <is>
          <t xml:space="preserve">Complete Ritual</t>
        </is>
      </c>
      <c r="E600" s="6">
        <f>IF('Settings'!$B$11="Scenario",IFERROR(INDEX('Catalogue'!$E$3:$E$100,MATCH(C600,'Catalogue'!$B$3:$B$100,0)),F600),F600)</f>
        <v>89</v>
      </c>
      <c r="F600" s="8">
        <v>89</v>
      </c>
      <c r="G600" s="3">
        <v>2</v>
      </c>
      <c r="H600" s="6">
        <f>IF('Settings'!$B$11="Scenario",ROUND(E600*G600*IFERROR(SUMIF('Pricing &amp; promotions'!$A$6:$A$8,L600,'Pricing &amp; promotions'!$B$6:$B$8)/100,0),2),J600)</f>
        <v>17.8</v>
      </c>
      <c r="I600" s="6">
        <f>ROUND((E600*G600-H600)/IF(OR(K600=TRUE,K600="TRUE",K600="YES",K600=1),1+'Settings'!$B$6/100,1),2)</f>
        <v>132.4</v>
      </c>
      <c r="J600" s="8">
        <v>17.8</v>
      </c>
      <c r="K600" s="3" t="inlineStr">
        <is>
          <t xml:space="preserve">TRUE</t>
        </is>
      </c>
      <c r="L600" s="3" t="inlineStr">
        <is>
          <t xml:space="preserve">WELCOME10</t>
        </is>
      </c>
      <c r="M600" s="6">
        <f>ROUND(E600*G600-H600,2)</f>
        <v>160.2</v>
      </c>
      <c r="N600" s="5">
        <f>IF(COUNTIF($A$3:A600,A600)=1,1,0)</f>
        <v>1</v>
      </c>
      <c r="O600" s="6">
        <f>IF(N600=1,ROUND((SUMIFS($M$3:$M$1200,$A$3:$A$1200,A600)+'Settings'!$B$13)*'Settings'!$B$14/100+'Settings'!$B$15,2),0)</f>
        <v>2.7</v>
      </c>
    </row>
    <row r="601">
      <c r="A601" s="3" t="inlineStr">
        <is>
          <t xml:space="preserve">#1441</t>
        </is>
      </c>
      <c r="B601" s="3" t="inlineStr">
        <is>
          <t xml:space="preserve">2026-04-26</t>
        </is>
      </c>
      <c r="C601" s="3" t="inlineStr">
        <is>
          <t xml:space="preserve">SKU-A</t>
        </is>
      </c>
      <c r="D601" s="3" t="inlineStr">
        <is>
          <t xml:space="preserve">Renewal Serum</t>
        </is>
      </c>
      <c r="E601" s="6">
        <f>IF('Settings'!$B$11="Scenario",IFERROR(INDEX('Catalogue'!$E$3:$E$100,MATCH(C601,'Catalogue'!$B$3:$B$100,0)),F601),F601)</f>
        <v>69.9</v>
      </c>
      <c r="F601" s="8">
        <v>69.9</v>
      </c>
      <c r="G601" s="3">
        <v>1</v>
      </c>
      <c r="H601" s="6">
        <f>IF('Settings'!$B$11="Scenario",ROUND(E601*G601*IFERROR(SUMIF('Pricing &amp; promotions'!$A$6:$A$8,L601,'Pricing &amp; promotions'!$B$6:$B$8)/100,0),2),J601)</f>
        <v>10.49</v>
      </c>
      <c r="I601" s="6">
        <f>ROUND((E601*G601-H601)/IF(OR(K601=TRUE,K601="TRUE",K601="YES",K601=1),1+'Settings'!$B$6/100,1),2)</f>
        <v>49.1</v>
      </c>
      <c r="J601" s="8">
        <v>10.49</v>
      </c>
      <c r="K601" s="3" t="inlineStr">
        <is>
          <t xml:space="preserve">TRUE</t>
        </is>
      </c>
      <c r="L601" s="3" t="inlineStr">
        <is>
          <t xml:space="preserve">SUMMER15</t>
        </is>
      </c>
      <c r="M601" s="6">
        <f>ROUND(E601*G601-H601,2)</f>
        <v>59.41</v>
      </c>
      <c r="N601" s="5">
        <f>IF(COUNTIF($A$3:A601,A601)=1,1,0)</f>
        <v>1</v>
      </c>
      <c r="O601" s="6">
        <f>IF(N601=1,ROUND((SUMIFS($M$3:$M$1200,$A$3:$A$1200,A601)+'Settings'!$B$13)*'Settings'!$B$14/100+'Settings'!$B$15,2),0)</f>
        <v>1.19</v>
      </c>
    </row>
    <row r="602">
      <c r="A602" s="3" t="inlineStr">
        <is>
          <t xml:space="preserve">#1442</t>
        </is>
      </c>
      <c r="B602" s="3" t="inlineStr">
        <is>
          <t xml:space="preserve">2026-04-26</t>
        </is>
      </c>
      <c r="C602" s="3" t="inlineStr">
        <is>
          <t xml:space="preserve">SKU-D</t>
        </is>
      </c>
      <c r="D602" s="3" t="inlineStr">
        <is>
          <t xml:space="preserve">Daily Duo</t>
        </is>
      </c>
      <c r="E602" s="6">
        <f>IF('Settings'!$B$11="Scenario",IFERROR(INDEX('Catalogue'!$E$3:$E$100,MATCH(C602,'Catalogue'!$B$3:$B$100,0)),F602),F602)</f>
        <v>79</v>
      </c>
      <c r="F602" s="8">
        <v>79</v>
      </c>
      <c r="G602" s="3">
        <v>1</v>
      </c>
      <c r="H602" s="6">
        <f>IF('Settings'!$B$11="Scenario",ROUND(E602*G602*IFERROR(SUMIF('Pricing &amp; promotions'!$A$6:$A$8,L602,'Pricing &amp; promotions'!$B$6:$B$8)/100,0),2),J602)</f>
        <v>0.0</v>
      </c>
      <c r="I602" s="6">
        <f>ROUND((E602*G602-H602)/IF(OR(K602=TRUE,K602="TRUE",K602="YES",K602=1),1+'Settings'!$B$6/100,1),2)</f>
        <v>65.29</v>
      </c>
      <c r="J602" s="8">
        <v>0.0</v>
      </c>
      <c r="K602" s="3" t="inlineStr">
        <is>
          <t xml:space="preserve">TRUE</t>
        </is>
      </c>
      <c r="L602" s="3"/>
      <c r="M602" s="6">
        <f>ROUND(E602*G602-H602,2)</f>
        <v>79.0</v>
      </c>
      <c r="N602" s="5">
        <f>IF(COUNTIF($A$3:A602,A602)=1,1,0)</f>
        <v>1</v>
      </c>
      <c r="O602" s="6">
        <f>IF(N602=1,ROUND((SUMIFS($M$3:$M$1200,$A$3:$A$1200,A602)+'Settings'!$B$13)*'Settings'!$B$14/100+'Settings'!$B$15,2),0)</f>
        <v>1.48</v>
      </c>
    </row>
    <row r="603">
      <c r="A603" s="3" t="inlineStr">
        <is>
          <t xml:space="preserve">#1443</t>
        </is>
      </c>
      <c r="B603" s="3" t="inlineStr">
        <is>
          <t xml:space="preserve">2026-04-26</t>
        </is>
      </c>
      <c r="C603" s="3" t="inlineStr">
        <is>
          <t xml:space="preserve">SKU-A</t>
        </is>
      </c>
      <c r="D603" s="3" t="inlineStr">
        <is>
          <t xml:space="preserve">Renewal Serum</t>
        </is>
      </c>
      <c r="E603" s="6">
        <f>IF('Settings'!$B$11="Scenario",IFERROR(INDEX('Catalogue'!$E$3:$E$100,MATCH(C603,'Catalogue'!$B$3:$B$100,0)),F603),F603)</f>
        <v>69.9</v>
      </c>
      <c r="F603" s="8">
        <v>69.9</v>
      </c>
      <c r="G603" s="3">
        <v>1</v>
      </c>
      <c r="H603" s="6">
        <f>IF('Settings'!$B$11="Scenario",ROUND(E603*G603*IFERROR(SUMIF('Pricing &amp; promotions'!$A$6:$A$8,L603,'Pricing &amp; promotions'!$B$6:$B$8)/100,0),2),J603)</f>
        <v>0.0</v>
      </c>
      <c r="I603" s="6">
        <f>ROUND((E603*G603-H603)/IF(OR(K603=TRUE,K603="TRUE",K603="YES",K603=1),1+'Settings'!$B$6/100,1),2)</f>
        <v>57.77</v>
      </c>
      <c r="J603" s="8">
        <v>0.0</v>
      </c>
      <c r="K603" s="3" t="inlineStr">
        <is>
          <t xml:space="preserve">TRUE</t>
        </is>
      </c>
      <c r="L603" s="3"/>
      <c r="M603" s="6">
        <f>ROUND(E603*G603-H603,2)</f>
        <v>69.9</v>
      </c>
      <c r="N603" s="5">
        <f>IF(COUNTIF($A$3:A603,A603)=1,1,0)</f>
        <v>1</v>
      </c>
      <c r="O603" s="6">
        <f>IF(N603=1,ROUND((SUMIFS($M$3:$M$1200,$A$3:$A$1200,A603)+'Settings'!$B$13)*'Settings'!$B$14/100+'Settings'!$B$15,2),0)</f>
        <v>3.56</v>
      </c>
    </row>
    <row r="604">
      <c r="A604" s="3" t="inlineStr">
        <is>
          <t xml:space="preserve">#1443</t>
        </is>
      </c>
      <c r="B604" s="3" t="inlineStr">
        <is>
          <t xml:space="preserve">2026-04-26</t>
        </is>
      </c>
      <c r="C604" s="3" t="inlineStr">
        <is>
          <t xml:space="preserve">SKU-G</t>
        </is>
      </c>
      <c r="D604" s="3" t="inlineStr">
        <is>
          <t xml:space="preserve">Daily Reset Set</t>
        </is>
      </c>
      <c r="E604" s="6">
        <f>IF('Settings'!$B$11="Scenario",IFERROR(INDEX('Catalogue'!$E$3:$E$100,MATCH(C604,'Catalogue'!$B$3:$B$100,0)),F604),F604)</f>
        <v>69</v>
      </c>
      <c r="F604" s="8">
        <v>69</v>
      </c>
      <c r="G604" s="3">
        <v>1</v>
      </c>
      <c r="H604" s="6">
        <f>IF('Settings'!$B$11="Scenario",ROUND(E604*G604*IFERROR(SUMIF('Pricing &amp; promotions'!$A$6:$A$8,L604,'Pricing &amp; promotions'!$B$6:$B$8)/100,0),2),J604)</f>
        <v>0.0</v>
      </c>
      <c r="I604" s="6">
        <f>ROUND((E604*G604-H604)/IF(OR(K604=TRUE,K604="TRUE",K604="YES",K604=1),1+'Settings'!$B$6/100,1),2)</f>
        <v>57.02</v>
      </c>
      <c r="J604" s="8">
        <v>0.0</v>
      </c>
      <c r="K604" s="3" t="inlineStr">
        <is>
          <t xml:space="preserve">TRUE</t>
        </is>
      </c>
      <c r="L604" s="3"/>
      <c r="M604" s="6">
        <f>ROUND(E604*G604-H604,2)</f>
        <v>69.0</v>
      </c>
      <c r="N604" s="5">
        <f>IF(COUNTIF($A$3:A604,A604)=1,1,0)</f>
        <v>0</v>
      </c>
      <c r="O604" s="6">
        <f>IF(N604=1,ROUND((SUMIFS($M$3:$M$1200,$A$3:$A$1200,A604)+'Settings'!$B$13)*'Settings'!$B$14/100+'Settings'!$B$15,2),0)</f>
        <v>0</v>
      </c>
    </row>
    <row r="605">
      <c r="A605" s="3" t="inlineStr">
        <is>
          <t xml:space="preserve">#1443</t>
        </is>
      </c>
      <c r="B605" s="3" t="inlineStr">
        <is>
          <t xml:space="preserve">2026-04-26</t>
        </is>
      </c>
      <c r="C605" s="3" t="inlineStr">
        <is>
          <t xml:space="preserve">SKU-D</t>
        </is>
      </c>
      <c r="D605" s="3" t="inlineStr">
        <is>
          <t xml:space="preserve">Daily Duo</t>
        </is>
      </c>
      <c r="E605" s="6">
        <f>IF('Settings'!$B$11="Scenario",IFERROR(INDEX('Catalogue'!$E$3:$E$100,MATCH(C605,'Catalogue'!$B$3:$B$100,0)),F605),F605)</f>
        <v>79</v>
      </c>
      <c r="F605" s="8">
        <v>79</v>
      </c>
      <c r="G605" s="3">
        <v>1</v>
      </c>
      <c r="H605" s="6">
        <f>IF('Settings'!$B$11="Scenario",ROUND(E605*G605*IFERROR(SUMIF('Pricing &amp; promotions'!$A$6:$A$8,L605,'Pricing &amp; promotions'!$B$6:$B$8)/100,0),2),J605)</f>
        <v>0.0</v>
      </c>
      <c r="I605" s="6">
        <f>ROUND((E605*G605-H605)/IF(OR(K605=TRUE,K605="TRUE",K605="YES",K605=1),1+'Settings'!$B$6/100,1),2)</f>
        <v>65.29</v>
      </c>
      <c r="J605" s="8">
        <v>0.0</v>
      </c>
      <c r="K605" s="3" t="inlineStr">
        <is>
          <t xml:space="preserve">TRUE</t>
        </is>
      </c>
      <c r="L605" s="3"/>
      <c r="M605" s="6">
        <f>ROUND(E605*G605-H605,2)</f>
        <v>79.0</v>
      </c>
      <c r="N605" s="5">
        <f>IF(COUNTIF($A$3:A605,A605)=1,1,0)</f>
        <v>0</v>
      </c>
      <c r="O605" s="6">
        <f>IF(N605=1,ROUND((SUMIFS($M$3:$M$1200,$A$3:$A$1200,A605)+'Settings'!$B$13)*'Settings'!$B$14/100+'Settings'!$B$15,2),0)</f>
        <v>0</v>
      </c>
    </row>
    <row r="606">
      <c r="A606" s="3" t="inlineStr">
        <is>
          <t xml:space="preserve">#1444</t>
        </is>
      </c>
      <c r="B606" s="3" t="inlineStr">
        <is>
          <t xml:space="preserve">2026-04-27</t>
        </is>
      </c>
      <c r="C606" s="3" t="inlineStr">
        <is>
          <t xml:space="preserve">SKU-B</t>
        </is>
      </c>
      <c r="D606" s="3" t="inlineStr">
        <is>
          <t xml:space="preserve">Barrier Balm</t>
        </is>
      </c>
      <c r="E606" s="6">
        <f>IF('Settings'!$B$11="Scenario",IFERROR(INDEX('Catalogue'!$E$3:$E$100,MATCH(C606,'Catalogue'!$B$3:$B$100,0)),F606),F606)</f>
        <v>19</v>
      </c>
      <c r="F606" s="8">
        <v>19</v>
      </c>
      <c r="G606" s="3">
        <v>1</v>
      </c>
      <c r="H606" s="6">
        <f>IF('Settings'!$B$11="Scenario",ROUND(E606*G606*IFERROR(SUMIF('Pricing &amp; promotions'!$A$6:$A$8,L606,'Pricing &amp; promotions'!$B$6:$B$8)/100,0),2),J606)</f>
        <v>0.0</v>
      </c>
      <c r="I606" s="6">
        <f>ROUND((E606*G606-H606)/IF(OR(K606=TRUE,K606="TRUE",K606="YES",K606=1),1+'Settings'!$B$6/100,1),2)</f>
        <v>15.7</v>
      </c>
      <c r="J606" s="8">
        <v>0.0</v>
      </c>
      <c r="K606" s="3" t="inlineStr">
        <is>
          <t xml:space="preserve">TRUE</t>
        </is>
      </c>
      <c r="L606" s="3"/>
      <c r="M606" s="6">
        <f>ROUND(E606*G606-H606,2)</f>
        <v>19.0</v>
      </c>
      <c r="N606" s="5">
        <f>IF(COUNTIF($A$3:A606,A606)=1,1,0)</f>
        <v>1</v>
      </c>
      <c r="O606" s="6">
        <f>IF(N606=1,ROUND((SUMIFS($M$3:$M$1200,$A$3:$A$1200,A606)+'Settings'!$B$13)*'Settings'!$B$14/100+'Settings'!$B$15,2),0)</f>
        <v>0.58</v>
      </c>
    </row>
    <row r="607">
      <c r="A607" s="3" t="inlineStr">
        <is>
          <t xml:space="preserve">#1445</t>
        </is>
      </c>
      <c r="B607" s="3" t="inlineStr">
        <is>
          <t xml:space="preserve">2026-04-27</t>
        </is>
      </c>
      <c r="C607" s="3" t="inlineStr">
        <is>
          <t xml:space="preserve">SKU-A</t>
        </is>
      </c>
      <c r="D607" s="3" t="inlineStr">
        <is>
          <t xml:space="preserve">Renewal Serum</t>
        </is>
      </c>
      <c r="E607" s="6">
        <f>IF('Settings'!$B$11="Scenario",IFERROR(INDEX('Catalogue'!$E$3:$E$100,MATCH(C607,'Catalogue'!$B$3:$B$100,0)),F607),F607)</f>
        <v>69.9</v>
      </c>
      <c r="F607" s="8">
        <v>69.9</v>
      </c>
      <c r="G607" s="3">
        <v>1</v>
      </c>
      <c r="H607" s="6">
        <f>IF('Settings'!$B$11="Scenario",ROUND(E607*G607*IFERROR(SUMIF('Pricing &amp; promotions'!$A$6:$A$8,L607,'Pricing &amp; promotions'!$B$6:$B$8)/100,0),2),J607)</f>
        <v>13.98</v>
      </c>
      <c r="I607" s="6">
        <f>ROUND((E607*G607-H607)/IF(OR(K607=TRUE,K607="TRUE",K607="YES",K607=1),1+'Settings'!$B$6/100,1),2)</f>
        <v>46.21</v>
      </c>
      <c r="J607" s="8">
        <v>13.98</v>
      </c>
      <c r="K607" s="3" t="inlineStr">
        <is>
          <t xml:space="preserve">TRUE</t>
        </is>
      </c>
      <c r="L607" s="3" t="inlineStr">
        <is>
          <t xml:space="preserve">VIP20</t>
        </is>
      </c>
      <c r="M607" s="6">
        <f>ROUND(E607*G607-H607,2)</f>
        <v>55.92</v>
      </c>
      <c r="N607" s="5">
        <f>IF(COUNTIF($A$3:A607,A607)=1,1,0)</f>
        <v>1</v>
      </c>
      <c r="O607" s="6">
        <f>IF(N607=1,ROUND((SUMIFS($M$3:$M$1200,$A$3:$A$1200,A607)+'Settings'!$B$13)*'Settings'!$B$14/100+'Settings'!$B$15,2),0)</f>
        <v>2.2</v>
      </c>
    </row>
    <row r="608">
      <c r="A608" s="3" t="inlineStr">
        <is>
          <t xml:space="preserve">#1445</t>
        </is>
      </c>
      <c r="B608" s="3" t="inlineStr">
        <is>
          <t xml:space="preserve">2026-04-27</t>
        </is>
      </c>
      <c r="C608" s="3" t="inlineStr">
        <is>
          <t xml:space="preserve">SKU-E</t>
        </is>
      </c>
      <c r="D608" s="3" t="inlineStr">
        <is>
          <t xml:space="preserve">Complete Ritual</t>
        </is>
      </c>
      <c r="E608" s="6">
        <f>IF('Settings'!$B$11="Scenario",IFERROR(INDEX('Catalogue'!$E$3:$E$100,MATCH(C608,'Catalogue'!$B$3:$B$100,0)),F608),F608)</f>
        <v>89</v>
      </c>
      <c r="F608" s="8">
        <v>89</v>
      </c>
      <c r="G608" s="3">
        <v>1</v>
      </c>
      <c r="H608" s="6">
        <f>IF('Settings'!$B$11="Scenario",ROUND(E608*G608*IFERROR(SUMIF('Pricing &amp; promotions'!$A$6:$A$8,L608,'Pricing &amp; promotions'!$B$6:$B$8)/100,0),2),J608)</f>
        <v>17.8</v>
      </c>
      <c r="I608" s="6">
        <f>ROUND((E608*G608-H608)/IF(OR(K608=TRUE,K608="TRUE",K608="YES",K608=1),1+'Settings'!$B$6/100,1),2)</f>
        <v>58.84</v>
      </c>
      <c r="J608" s="8">
        <v>17.8</v>
      </c>
      <c r="K608" s="3" t="inlineStr">
        <is>
          <t xml:space="preserve">TRUE</t>
        </is>
      </c>
      <c r="L608" s="3" t="inlineStr">
        <is>
          <t xml:space="preserve">VIP20</t>
        </is>
      </c>
      <c r="M608" s="6">
        <f>ROUND(E608*G608-H608,2)</f>
        <v>71.2</v>
      </c>
      <c r="N608" s="5">
        <f>IF(COUNTIF($A$3:A608,A608)=1,1,0)</f>
        <v>0</v>
      </c>
      <c r="O608" s="6">
        <f>IF(N608=1,ROUND((SUMIFS($M$3:$M$1200,$A$3:$A$1200,A608)+'Settings'!$B$13)*'Settings'!$B$14/100+'Settings'!$B$15,2),0)</f>
        <v>0</v>
      </c>
    </row>
    <row r="609">
      <c r="A609" s="3" t="inlineStr">
        <is>
          <t xml:space="preserve">#1446</t>
        </is>
      </c>
      <c r="B609" s="3" t="inlineStr">
        <is>
          <t xml:space="preserve">2026-04-29</t>
        </is>
      </c>
      <c r="C609" s="3" t="inlineStr">
        <is>
          <t xml:space="preserve">SKU-A</t>
        </is>
      </c>
      <c r="D609" s="3" t="inlineStr">
        <is>
          <t xml:space="preserve">Renewal Serum</t>
        </is>
      </c>
      <c r="E609" s="6">
        <f>IF('Settings'!$B$11="Scenario",IFERROR(INDEX('Catalogue'!$E$3:$E$100,MATCH(C609,'Catalogue'!$B$3:$B$100,0)),F609),F609)</f>
        <v>69.9</v>
      </c>
      <c r="F609" s="8">
        <v>69.9</v>
      </c>
      <c r="G609" s="3">
        <v>1</v>
      </c>
      <c r="H609" s="6">
        <f>IF('Settings'!$B$11="Scenario",ROUND(E609*G609*IFERROR(SUMIF('Pricing &amp; promotions'!$A$6:$A$8,L609,'Pricing &amp; promotions'!$B$6:$B$8)/100,0),2),J609)</f>
        <v>0.0</v>
      </c>
      <c r="I609" s="6">
        <f>ROUND((E609*G609-H609)/IF(OR(K609=TRUE,K609="TRUE",K609="YES",K609=1),1+'Settings'!$B$6/100,1),2)</f>
        <v>57.77</v>
      </c>
      <c r="J609" s="8">
        <v>0.0</v>
      </c>
      <c r="K609" s="3" t="inlineStr">
        <is>
          <t xml:space="preserve">TRUE</t>
        </is>
      </c>
      <c r="L609" s="3"/>
      <c r="M609" s="6">
        <f>ROUND(E609*G609-H609,2)</f>
        <v>69.9</v>
      </c>
      <c r="N609" s="5">
        <f>IF(COUNTIF($A$3:A609,A609)=1,1,0)</f>
        <v>1</v>
      </c>
      <c r="O609" s="6">
        <f>IF(N609=1,ROUND((SUMIFS($M$3:$M$1200,$A$3:$A$1200,A609)+'Settings'!$B$13)*'Settings'!$B$14/100+'Settings'!$B$15,2),0)</f>
        <v>3.71</v>
      </c>
    </row>
    <row r="610">
      <c r="A610" s="3" t="inlineStr">
        <is>
          <t xml:space="preserve">#1446</t>
        </is>
      </c>
      <c r="B610" s="3" t="inlineStr">
        <is>
          <t xml:space="preserve">2026-04-29</t>
        </is>
      </c>
      <c r="C610" s="3" t="inlineStr">
        <is>
          <t xml:space="preserve">SKU-D</t>
        </is>
      </c>
      <c r="D610" s="3" t="inlineStr">
        <is>
          <t xml:space="preserve">Daily Duo</t>
        </is>
      </c>
      <c r="E610" s="6">
        <f>IF('Settings'!$B$11="Scenario",IFERROR(INDEX('Catalogue'!$E$3:$E$100,MATCH(C610,'Catalogue'!$B$3:$B$100,0)),F610),F610)</f>
        <v>79</v>
      </c>
      <c r="F610" s="8">
        <v>79</v>
      </c>
      <c r="G610" s="3">
        <v>2</v>
      </c>
      <c r="H610" s="6">
        <f>IF('Settings'!$B$11="Scenario",ROUND(E610*G610*IFERROR(SUMIF('Pricing &amp; promotions'!$A$6:$A$8,L610,'Pricing &amp; promotions'!$B$6:$B$8)/100,0),2),J610)</f>
        <v>0.0</v>
      </c>
      <c r="I610" s="6">
        <f>ROUND((E610*G610-H610)/IF(OR(K610=TRUE,K610="TRUE",K610="YES",K610=1),1+'Settings'!$B$6/100,1),2)</f>
        <v>130.58</v>
      </c>
      <c r="J610" s="8">
        <v>0.0</v>
      </c>
      <c r="K610" s="3" t="inlineStr">
        <is>
          <t xml:space="preserve">TRUE</t>
        </is>
      </c>
      <c r="L610" s="3"/>
      <c r="M610" s="6">
        <f>ROUND(E610*G610-H610,2)</f>
        <v>158.0</v>
      </c>
      <c r="N610" s="5">
        <f>IF(COUNTIF($A$3:A610,A610)=1,1,0)</f>
        <v>0</v>
      </c>
      <c r="O610" s="6">
        <f>IF(N610=1,ROUND((SUMIFS($M$3:$M$1200,$A$3:$A$1200,A610)+'Settings'!$B$13)*'Settings'!$B$14/100+'Settings'!$B$15,2),0)</f>
        <v>0</v>
      </c>
    </row>
    <row r="611">
      <c r="A611" s="3" t="inlineStr">
        <is>
          <t xml:space="preserve">#1447</t>
        </is>
      </c>
      <c r="B611" s="3" t="inlineStr">
        <is>
          <t xml:space="preserve">2026-04-29</t>
        </is>
      </c>
      <c r="C611" s="3" t="inlineStr">
        <is>
          <t xml:space="preserve">SKU-D</t>
        </is>
      </c>
      <c r="D611" s="3" t="inlineStr">
        <is>
          <t xml:space="preserve">Daily Duo</t>
        </is>
      </c>
      <c r="E611" s="6">
        <f>IF('Settings'!$B$11="Scenario",IFERROR(INDEX('Catalogue'!$E$3:$E$100,MATCH(C611,'Catalogue'!$B$3:$B$100,0)),F611),F611)</f>
        <v>79</v>
      </c>
      <c r="F611" s="8">
        <v>79</v>
      </c>
      <c r="G611" s="3">
        <v>1</v>
      </c>
      <c r="H611" s="6">
        <f>IF('Settings'!$B$11="Scenario",ROUND(E611*G611*IFERROR(SUMIF('Pricing &amp; promotions'!$A$6:$A$8,L611,'Pricing &amp; promotions'!$B$6:$B$8)/100,0),2),J611)</f>
        <v>0.0</v>
      </c>
      <c r="I611" s="6">
        <f>ROUND((E611*G611-H611)/IF(OR(K611=TRUE,K611="TRUE",K611="YES",K611=1),1+'Settings'!$B$6/100,1),2)</f>
        <v>65.29</v>
      </c>
      <c r="J611" s="8">
        <v>0.0</v>
      </c>
      <c r="K611" s="3" t="inlineStr">
        <is>
          <t xml:space="preserve">TRUE</t>
        </is>
      </c>
      <c r="L611" s="3"/>
      <c r="M611" s="6">
        <f>ROUND(E611*G611-H611,2)</f>
        <v>79.0</v>
      </c>
      <c r="N611" s="5">
        <f>IF(COUNTIF($A$3:A611,A611)=1,1,0)</f>
        <v>1</v>
      </c>
      <c r="O611" s="6">
        <f>IF(N611=1,ROUND((SUMIFS($M$3:$M$1200,$A$3:$A$1200,A611)+'Settings'!$B$13)*'Settings'!$B$14/100+'Settings'!$B$15,2),0)</f>
        <v>2.53</v>
      </c>
    </row>
    <row r="612">
      <c r="A612" s="3" t="inlineStr">
        <is>
          <t xml:space="preserve">#1447</t>
        </is>
      </c>
      <c r="B612" s="3" t="inlineStr">
        <is>
          <t xml:space="preserve">2026-04-29</t>
        </is>
      </c>
      <c r="C612" s="3" t="inlineStr">
        <is>
          <t xml:space="preserve">SKU-A</t>
        </is>
      </c>
      <c r="D612" s="3" t="inlineStr">
        <is>
          <t xml:space="preserve">Renewal Serum</t>
        </is>
      </c>
      <c r="E612" s="6">
        <f>IF('Settings'!$B$11="Scenario",IFERROR(INDEX('Catalogue'!$E$3:$E$100,MATCH(C612,'Catalogue'!$B$3:$B$100,0)),F612),F612)</f>
        <v>69.9</v>
      </c>
      <c r="F612" s="8">
        <v>69.9</v>
      </c>
      <c r="G612" s="3">
        <v>1</v>
      </c>
      <c r="H612" s="6">
        <f>IF('Settings'!$B$11="Scenario",ROUND(E612*G612*IFERROR(SUMIF('Pricing &amp; promotions'!$A$6:$A$8,L612,'Pricing &amp; promotions'!$B$6:$B$8)/100,0),2),J612)</f>
        <v>0.0</v>
      </c>
      <c r="I612" s="6">
        <f>ROUND((E612*G612-H612)/IF(OR(K612=TRUE,K612="TRUE",K612="YES",K612=1),1+'Settings'!$B$6/100,1),2)</f>
        <v>57.77</v>
      </c>
      <c r="J612" s="8">
        <v>0.0</v>
      </c>
      <c r="K612" s="3" t="inlineStr">
        <is>
          <t xml:space="preserve">TRUE</t>
        </is>
      </c>
      <c r="L612" s="3"/>
      <c r="M612" s="6">
        <f>ROUND(E612*G612-H612,2)</f>
        <v>69.9</v>
      </c>
      <c r="N612" s="5">
        <f>IF(COUNTIF($A$3:A612,A612)=1,1,0)</f>
        <v>0</v>
      </c>
      <c r="O612" s="6">
        <f>IF(N612=1,ROUND((SUMIFS($M$3:$M$1200,$A$3:$A$1200,A612)+'Settings'!$B$13)*'Settings'!$B$14/100+'Settings'!$B$15,2),0)</f>
        <v>0</v>
      </c>
    </row>
    <row r="613">
      <c r="A613" s="3" t="inlineStr">
        <is>
          <t xml:space="preserve">#1448</t>
        </is>
      </c>
      <c r="B613" s="3" t="inlineStr">
        <is>
          <t xml:space="preserve">2026-04-29</t>
        </is>
      </c>
      <c r="C613" s="3" t="inlineStr">
        <is>
          <t xml:space="preserve">SKU-B</t>
        </is>
      </c>
      <c r="D613" s="3" t="inlineStr">
        <is>
          <t xml:space="preserve">Barrier Balm</t>
        </is>
      </c>
      <c r="E613" s="6">
        <f>IF('Settings'!$B$11="Scenario",IFERROR(INDEX('Catalogue'!$E$3:$E$100,MATCH(C613,'Catalogue'!$B$3:$B$100,0)),F613),F613)</f>
        <v>19</v>
      </c>
      <c r="F613" s="8">
        <v>19</v>
      </c>
      <c r="G613" s="3">
        <v>1</v>
      </c>
      <c r="H613" s="6">
        <f>IF('Settings'!$B$11="Scenario",ROUND(E613*G613*IFERROR(SUMIF('Pricing &amp; promotions'!$A$6:$A$8,L613,'Pricing &amp; promotions'!$B$6:$B$8)/100,0),2),J613)</f>
        <v>0.0</v>
      </c>
      <c r="I613" s="6">
        <f>ROUND((E613*G613-H613)/IF(OR(K613=TRUE,K613="TRUE",K613="YES",K613=1),1+'Settings'!$B$6/100,1),2)</f>
        <v>15.7</v>
      </c>
      <c r="J613" s="8">
        <v>0.0</v>
      </c>
      <c r="K613" s="3" t="inlineStr">
        <is>
          <t xml:space="preserve">TRUE</t>
        </is>
      </c>
      <c r="L613" s="3"/>
      <c r="M613" s="6">
        <f>ROUND(E613*G613-H613,2)</f>
        <v>19.0</v>
      </c>
      <c r="N613" s="5">
        <f>IF(COUNTIF($A$3:A613,A613)=1,1,0)</f>
        <v>1</v>
      </c>
      <c r="O613" s="6">
        <f>IF(N613=1,ROUND((SUMIFS($M$3:$M$1200,$A$3:$A$1200,A613)+'Settings'!$B$13)*'Settings'!$B$14/100+'Settings'!$B$15,2),0)</f>
        <v>0.58</v>
      </c>
    </row>
    <row r="614">
      <c r="A614" s="3" t="inlineStr">
        <is>
          <t xml:space="preserve">#1449</t>
        </is>
      </c>
      <c r="B614" s="3" t="inlineStr">
        <is>
          <t xml:space="preserve">2026-04-29</t>
        </is>
      </c>
      <c r="C614" s="3" t="inlineStr">
        <is>
          <t xml:space="preserve">SKU-A</t>
        </is>
      </c>
      <c r="D614" s="3" t="inlineStr">
        <is>
          <t xml:space="preserve">Renewal Serum</t>
        </is>
      </c>
      <c r="E614" s="6">
        <f>IF('Settings'!$B$11="Scenario",IFERROR(INDEX('Catalogue'!$E$3:$E$100,MATCH(C614,'Catalogue'!$B$3:$B$100,0)),F614),F614)</f>
        <v>69.9</v>
      </c>
      <c r="F614" s="8">
        <v>69.9</v>
      </c>
      <c r="G614" s="3">
        <v>1</v>
      </c>
      <c r="H614" s="6">
        <f>IF('Settings'!$B$11="Scenario",ROUND(E614*G614*IFERROR(SUMIF('Pricing &amp; promotions'!$A$6:$A$8,L614,'Pricing &amp; promotions'!$B$6:$B$8)/100,0),2),J614)</f>
        <v>13.98</v>
      </c>
      <c r="I614" s="6">
        <f>ROUND((E614*G614-H614)/IF(OR(K614=TRUE,K614="TRUE",K614="YES",K614=1),1+'Settings'!$B$6/100,1),2)</f>
        <v>46.21</v>
      </c>
      <c r="J614" s="8">
        <v>13.98</v>
      </c>
      <c r="K614" s="3" t="inlineStr">
        <is>
          <t xml:space="preserve">TRUE</t>
        </is>
      </c>
      <c r="L614" s="3" t="inlineStr">
        <is>
          <t xml:space="preserve">VIP20</t>
        </is>
      </c>
      <c r="M614" s="6">
        <f>ROUND(E614*G614-H614,2)</f>
        <v>55.92</v>
      </c>
      <c r="N614" s="5">
        <f>IF(COUNTIF($A$3:A614,A614)=1,1,0)</f>
        <v>1</v>
      </c>
      <c r="O614" s="6">
        <f>IF(N614=1,ROUND((SUMIFS($M$3:$M$1200,$A$3:$A$1200,A614)+'Settings'!$B$13)*'Settings'!$B$14/100+'Settings'!$B$15,2),0)</f>
        <v>1.13</v>
      </c>
    </row>
    <row r="615">
      <c r="A615" s="3" t="inlineStr">
        <is>
          <t xml:space="preserve">#1450</t>
        </is>
      </c>
      <c r="B615" s="3" t="inlineStr">
        <is>
          <t xml:space="preserve">2026-04-30</t>
        </is>
      </c>
      <c r="C615" s="3" t="inlineStr">
        <is>
          <t xml:space="preserve">SKU-A</t>
        </is>
      </c>
      <c r="D615" s="3" t="inlineStr">
        <is>
          <t xml:space="preserve">Renewal Serum</t>
        </is>
      </c>
      <c r="E615" s="6">
        <f>IF('Settings'!$B$11="Scenario",IFERROR(INDEX('Catalogue'!$E$3:$E$100,MATCH(C615,'Catalogue'!$B$3:$B$100,0)),F615),F615)</f>
        <v>69.9</v>
      </c>
      <c r="F615" s="8">
        <v>69.9</v>
      </c>
      <c r="G615" s="3">
        <v>1</v>
      </c>
      <c r="H615" s="6">
        <f>IF('Settings'!$B$11="Scenario",ROUND(E615*G615*IFERROR(SUMIF('Pricing &amp; promotions'!$A$6:$A$8,L615,'Pricing &amp; promotions'!$B$6:$B$8)/100,0),2),J615)</f>
        <v>0.0</v>
      </c>
      <c r="I615" s="6">
        <f>ROUND((E615*G615-H615)/IF(OR(K615=TRUE,K615="TRUE",K615="YES",K615=1),1+'Settings'!$B$6/100,1),2)</f>
        <v>57.77</v>
      </c>
      <c r="J615" s="8">
        <v>0.0</v>
      </c>
      <c r="K615" s="3" t="inlineStr">
        <is>
          <t xml:space="preserve">TRUE</t>
        </is>
      </c>
      <c r="L615" s="3"/>
      <c r="M615" s="6">
        <f>ROUND(E615*G615-H615,2)</f>
        <v>69.9</v>
      </c>
      <c r="N615" s="5">
        <f>IF(COUNTIF($A$3:A615,A615)=1,1,0)</f>
        <v>1</v>
      </c>
      <c r="O615" s="6">
        <f>IF(N615=1,ROUND((SUMIFS($M$3:$M$1200,$A$3:$A$1200,A615)+'Settings'!$B$13)*'Settings'!$B$14/100+'Settings'!$B$15,2),0)</f>
        <v>1.34</v>
      </c>
    </row>
    <row r="616">
      <c r="A616" s="3" t="inlineStr">
        <is>
          <t xml:space="preserve">#1451</t>
        </is>
      </c>
      <c r="B616" s="3" t="inlineStr">
        <is>
          <t xml:space="preserve">2026-04-30</t>
        </is>
      </c>
      <c r="C616" s="3" t="inlineStr">
        <is>
          <t xml:space="preserve">SKU-E</t>
        </is>
      </c>
      <c r="D616" s="3" t="inlineStr">
        <is>
          <t xml:space="preserve">Complete Ritual</t>
        </is>
      </c>
      <c r="E616" s="6">
        <f>IF('Settings'!$B$11="Scenario",IFERROR(INDEX('Catalogue'!$E$3:$E$100,MATCH(C616,'Catalogue'!$B$3:$B$100,0)),F616),F616)</f>
        <v>89</v>
      </c>
      <c r="F616" s="8">
        <v>89</v>
      </c>
      <c r="G616" s="3">
        <v>1</v>
      </c>
      <c r="H616" s="6">
        <f>IF('Settings'!$B$11="Scenario",ROUND(E616*G616*IFERROR(SUMIF('Pricing &amp; promotions'!$A$6:$A$8,L616,'Pricing &amp; promotions'!$B$6:$B$8)/100,0),2),J616)</f>
        <v>0.0</v>
      </c>
      <c r="I616" s="6">
        <f>ROUND((E616*G616-H616)/IF(OR(K616=TRUE,K616="TRUE",K616="YES",K616=1),1+'Settings'!$B$6/100,1),2)</f>
        <v>73.55</v>
      </c>
      <c r="J616" s="8">
        <v>0.0</v>
      </c>
      <c r="K616" s="3" t="inlineStr">
        <is>
          <t xml:space="preserve">TRUE</t>
        </is>
      </c>
      <c r="L616" s="3"/>
      <c r="M616" s="6">
        <f>ROUND(E616*G616-H616,2)</f>
        <v>89.0</v>
      </c>
      <c r="N616" s="5">
        <f>IF(COUNTIF($A$3:A616,A616)=1,1,0)</f>
        <v>1</v>
      </c>
      <c r="O616" s="6">
        <f>IF(N616=1,ROUND((SUMIFS($M$3:$M$1200,$A$3:$A$1200,A616)+'Settings'!$B$13)*'Settings'!$B$14/100+'Settings'!$B$15,2),0)</f>
        <v>1.63</v>
      </c>
    </row>
    <row r="617">
      <c r="A617" s="3" t="inlineStr">
        <is>
          <t xml:space="preserve">#1452</t>
        </is>
      </c>
      <c r="B617" s="3" t="inlineStr">
        <is>
          <t xml:space="preserve">2026-05-01</t>
        </is>
      </c>
      <c r="C617" s="3" t="inlineStr">
        <is>
          <t xml:space="preserve">SKU-A</t>
        </is>
      </c>
      <c r="D617" s="3" t="inlineStr">
        <is>
          <t xml:space="preserve">Renewal Serum</t>
        </is>
      </c>
      <c r="E617" s="6">
        <f>IF('Settings'!$B$11="Scenario",IFERROR(INDEX('Catalogue'!$E$3:$E$100,MATCH(C617,'Catalogue'!$B$3:$B$100,0)),F617),F617)</f>
        <v>69.9</v>
      </c>
      <c r="F617" s="8">
        <v>69.9</v>
      </c>
      <c r="G617" s="3">
        <v>1</v>
      </c>
      <c r="H617" s="6">
        <f>IF('Settings'!$B$11="Scenario",ROUND(E617*G617*IFERROR(SUMIF('Pricing &amp; promotions'!$A$6:$A$8,L617,'Pricing &amp; promotions'!$B$6:$B$8)/100,0),2),J617)</f>
        <v>0.0</v>
      </c>
      <c r="I617" s="6">
        <f>ROUND((E617*G617-H617)/IF(OR(K617=TRUE,K617="TRUE",K617="YES",K617=1),1+'Settings'!$B$6/100,1),2)</f>
        <v>57.77</v>
      </c>
      <c r="J617" s="8">
        <v>0.0</v>
      </c>
      <c r="K617" s="3" t="inlineStr">
        <is>
          <t xml:space="preserve">TRUE</t>
        </is>
      </c>
      <c r="L617" s="3"/>
      <c r="M617" s="6">
        <f>ROUND(E617*G617-H617,2)</f>
        <v>69.9</v>
      </c>
      <c r="N617" s="5">
        <f>IF(COUNTIF($A$3:A617,A617)=1,1,0)</f>
        <v>1</v>
      </c>
      <c r="O617" s="6">
        <f>IF(N617=1,ROUND((SUMIFS($M$3:$M$1200,$A$3:$A$1200,A617)+'Settings'!$B$13)*'Settings'!$B$14/100+'Settings'!$B$15,2),0)</f>
        <v>1.34</v>
      </c>
    </row>
    <row r="618">
      <c r="A618" s="3" t="inlineStr">
        <is>
          <t xml:space="preserve">#1453</t>
        </is>
      </c>
      <c r="B618" s="3" t="inlineStr">
        <is>
          <t xml:space="preserve">2026-05-01</t>
        </is>
      </c>
      <c r="C618" s="3" t="inlineStr">
        <is>
          <t xml:space="preserve">SKU-A</t>
        </is>
      </c>
      <c r="D618" s="3" t="inlineStr">
        <is>
          <t xml:space="preserve">Renewal Serum</t>
        </is>
      </c>
      <c r="E618" s="6">
        <f>IF('Settings'!$B$11="Scenario",IFERROR(INDEX('Catalogue'!$E$3:$E$100,MATCH(C618,'Catalogue'!$B$3:$B$100,0)),F618),F618)</f>
        <v>69.9</v>
      </c>
      <c r="F618" s="8">
        <v>69.9</v>
      </c>
      <c r="G618" s="3">
        <v>1</v>
      </c>
      <c r="H618" s="6">
        <f>IF('Settings'!$B$11="Scenario",ROUND(E618*G618*IFERROR(SUMIF('Pricing &amp; promotions'!$A$6:$A$8,L618,'Pricing &amp; promotions'!$B$6:$B$8)/100,0),2),J618)</f>
        <v>6.99</v>
      </c>
      <c r="I618" s="6">
        <f>ROUND((E618*G618-H618)/IF(OR(K618=TRUE,K618="TRUE",K618="YES",K618=1),1+'Settings'!$B$6/100,1),2)</f>
        <v>51.99</v>
      </c>
      <c r="J618" s="8">
        <v>6.99</v>
      </c>
      <c r="K618" s="3" t="inlineStr">
        <is>
          <t xml:space="preserve">TRUE</t>
        </is>
      </c>
      <c r="L618" s="3" t="inlineStr">
        <is>
          <t xml:space="preserve">WELCOME10</t>
        </is>
      </c>
      <c r="M618" s="6">
        <f>ROUND(E618*G618-H618,2)</f>
        <v>62.91</v>
      </c>
      <c r="N618" s="5">
        <f>IF(COUNTIF($A$3:A618,A618)=1,1,0)</f>
        <v>1</v>
      </c>
      <c r="O618" s="6">
        <f>IF(N618=1,ROUND((SUMIFS($M$3:$M$1200,$A$3:$A$1200,A618)+'Settings'!$B$13)*'Settings'!$B$14/100+'Settings'!$B$15,2),0)</f>
        <v>1.24</v>
      </c>
    </row>
    <row r="619">
      <c r="A619" s="3" t="inlineStr">
        <is>
          <t xml:space="preserve">#1454</t>
        </is>
      </c>
      <c r="B619" s="3" t="inlineStr">
        <is>
          <t xml:space="preserve">2026-05-02</t>
        </is>
      </c>
      <c r="C619" s="3" t="inlineStr">
        <is>
          <t xml:space="preserve">SKU-A</t>
        </is>
      </c>
      <c r="D619" s="3" t="inlineStr">
        <is>
          <t xml:space="preserve">Renewal Serum</t>
        </is>
      </c>
      <c r="E619" s="6">
        <f>IF('Settings'!$B$11="Scenario",IFERROR(INDEX('Catalogue'!$E$3:$E$100,MATCH(C619,'Catalogue'!$B$3:$B$100,0)),F619),F619)</f>
        <v>69.9</v>
      </c>
      <c r="F619" s="8">
        <v>69.9</v>
      </c>
      <c r="G619" s="3">
        <v>1</v>
      </c>
      <c r="H619" s="6">
        <f>IF('Settings'!$B$11="Scenario",ROUND(E619*G619*IFERROR(SUMIF('Pricing &amp; promotions'!$A$6:$A$8,L619,'Pricing &amp; promotions'!$B$6:$B$8)/100,0),2),J619)</f>
        <v>0.0</v>
      </c>
      <c r="I619" s="6">
        <f>ROUND((E619*G619-H619)/IF(OR(K619=TRUE,K619="TRUE",K619="YES",K619=1),1+'Settings'!$B$6/100,1),2)</f>
        <v>57.77</v>
      </c>
      <c r="J619" s="8">
        <v>0.0</v>
      </c>
      <c r="K619" s="3" t="inlineStr">
        <is>
          <t xml:space="preserve">TRUE</t>
        </is>
      </c>
      <c r="L619" s="3"/>
      <c r="M619" s="6">
        <f>ROUND(E619*G619-H619,2)</f>
        <v>69.9</v>
      </c>
      <c r="N619" s="5">
        <f>IF(COUNTIF($A$3:A619,A619)=1,1,0)</f>
        <v>1</v>
      </c>
      <c r="O619" s="6">
        <f>IF(N619=1,ROUND((SUMIFS($M$3:$M$1200,$A$3:$A$1200,A619)+'Settings'!$B$13)*'Settings'!$B$14/100+'Settings'!$B$15,2),0)</f>
        <v>1.34</v>
      </c>
    </row>
    <row r="620">
      <c r="A620" s="3" t="inlineStr">
        <is>
          <t xml:space="preserve">#1455</t>
        </is>
      </c>
      <c r="B620" s="3" t="inlineStr">
        <is>
          <t xml:space="preserve">2026-05-02</t>
        </is>
      </c>
      <c r="C620" s="3" t="inlineStr">
        <is>
          <t xml:space="preserve">SKU-D</t>
        </is>
      </c>
      <c r="D620" s="3" t="inlineStr">
        <is>
          <t xml:space="preserve">Daily Duo</t>
        </is>
      </c>
      <c r="E620" s="6">
        <f>IF('Settings'!$B$11="Scenario",IFERROR(INDEX('Catalogue'!$E$3:$E$100,MATCH(C620,'Catalogue'!$B$3:$B$100,0)),F620),F620)</f>
        <v>79</v>
      </c>
      <c r="F620" s="8">
        <v>79</v>
      </c>
      <c r="G620" s="3">
        <v>1</v>
      </c>
      <c r="H620" s="6">
        <f>IF('Settings'!$B$11="Scenario",ROUND(E620*G620*IFERROR(SUMIF('Pricing &amp; promotions'!$A$6:$A$8,L620,'Pricing &amp; promotions'!$B$6:$B$8)/100,0),2),J620)</f>
        <v>0.0</v>
      </c>
      <c r="I620" s="6">
        <f>ROUND((E620*G620-H620)/IF(OR(K620=TRUE,K620="TRUE",K620="YES",K620=1),1+'Settings'!$B$6/100,1),2)</f>
        <v>65.29</v>
      </c>
      <c r="J620" s="8">
        <v>0.0</v>
      </c>
      <c r="K620" s="3" t="inlineStr">
        <is>
          <t xml:space="preserve">TRUE</t>
        </is>
      </c>
      <c r="L620" s="3"/>
      <c r="M620" s="6">
        <f>ROUND(E620*G620-H620,2)</f>
        <v>79.0</v>
      </c>
      <c r="N620" s="5">
        <f>IF(COUNTIF($A$3:A620,A620)=1,1,0)</f>
        <v>1</v>
      </c>
      <c r="O620" s="6">
        <f>IF(N620=1,ROUND((SUMIFS($M$3:$M$1200,$A$3:$A$1200,A620)+'Settings'!$B$13)*'Settings'!$B$14/100+'Settings'!$B$15,2),0)</f>
        <v>1.48</v>
      </c>
    </row>
    <row r="621">
      <c r="A621" s="3" t="inlineStr">
        <is>
          <t xml:space="preserve">#1456</t>
        </is>
      </c>
      <c r="B621" s="3" t="inlineStr">
        <is>
          <t xml:space="preserve">2026-05-03</t>
        </is>
      </c>
      <c r="C621" s="3" t="inlineStr">
        <is>
          <t xml:space="preserve">SKU-E</t>
        </is>
      </c>
      <c r="D621" s="3" t="inlineStr">
        <is>
          <t xml:space="preserve">Complete Ritual</t>
        </is>
      </c>
      <c r="E621" s="6">
        <f>IF('Settings'!$B$11="Scenario",IFERROR(INDEX('Catalogue'!$E$3:$E$100,MATCH(C621,'Catalogue'!$B$3:$B$100,0)),F621),F621)</f>
        <v>89</v>
      </c>
      <c r="F621" s="8">
        <v>89</v>
      </c>
      <c r="G621" s="3">
        <v>1</v>
      </c>
      <c r="H621" s="6">
        <f>IF('Settings'!$B$11="Scenario",ROUND(E621*G621*IFERROR(SUMIF('Pricing &amp; promotions'!$A$6:$A$8,L621,'Pricing &amp; promotions'!$B$6:$B$8)/100,0),2),J621)</f>
        <v>0.0</v>
      </c>
      <c r="I621" s="6">
        <f>ROUND((E621*G621-H621)/IF(OR(K621=TRUE,K621="TRUE",K621="YES",K621=1),1+'Settings'!$B$6/100,1),2)</f>
        <v>73.55</v>
      </c>
      <c r="J621" s="8">
        <v>0.0</v>
      </c>
      <c r="K621" s="3" t="inlineStr">
        <is>
          <t xml:space="preserve">TRUE</t>
        </is>
      </c>
      <c r="L621" s="3"/>
      <c r="M621" s="6">
        <f>ROUND(E621*G621-H621,2)</f>
        <v>89.0</v>
      </c>
      <c r="N621" s="5">
        <f>IF(COUNTIF($A$3:A621,A621)=1,1,0)</f>
        <v>1</v>
      </c>
      <c r="O621" s="6">
        <f>IF(N621=1,ROUND((SUMIFS($M$3:$M$1200,$A$3:$A$1200,A621)+'Settings'!$B$13)*'Settings'!$B$14/100+'Settings'!$B$15,2),0)</f>
        <v>1.63</v>
      </c>
    </row>
    <row r="622">
      <c r="A622" s="3" t="inlineStr">
        <is>
          <t xml:space="preserve">#1457</t>
        </is>
      </c>
      <c r="B622" s="3" t="inlineStr">
        <is>
          <t xml:space="preserve">2026-05-03</t>
        </is>
      </c>
      <c r="C622" s="3" t="inlineStr">
        <is>
          <t xml:space="preserve">SKU-D</t>
        </is>
      </c>
      <c r="D622" s="3" t="inlineStr">
        <is>
          <t xml:space="preserve">Daily Duo</t>
        </is>
      </c>
      <c r="E622" s="6">
        <f>IF('Settings'!$B$11="Scenario",IFERROR(INDEX('Catalogue'!$E$3:$E$100,MATCH(C622,'Catalogue'!$B$3:$B$100,0)),F622),F622)</f>
        <v>79</v>
      </c>
      <c r="F622" s="8">
        <v>79</v>
      </c>
      <c r="G622" s="3">
        <v>1</v>
      </c>
      <c r="H622" s="6">
        <f>IF('Settings'!$B$11="Scenario",ROUND(E622*G622*IFERROR(SUMIF('Pricing &amp; promotions'!$A$6:$A$8,L622,'Pricing &amp; promotions'!$B$6:$B$8)/100,0),2),J622)</f>
        <v>0.0</v>
      </c>
      <c r="I622" s="6">
        <f>ROUND((E622*G622-H622)/IF(OR(K622=TRUE,K622="TRUE",K622="YES",K622=1),1+'Settings'!$B$6/100,1),2)</f>
        <v>65.29</v>
      </c>
      <c r="J622" s="8">
        <v>0.0</v>
      </c>
      <c r="K622" s="3" t="inlineStr">
        <is>
          <t xml:space="preserve">TRUE</t>
        </is>
      </c>
      <c r="L622" s="3"/>
      <c r="M622" s="6">
        <f>ROUND(E622*G622-H622,2)</f>
        <v>79.0</v>
      </c>
      <c r="N622" s="5">
        <f>IF(COUNTIF($A$3:A622,A622)=1,1,0)</f>
        <v>1</v>
      </c>
      <c r="O622" s="6">
        <f>IF(N622=1,ROUND((SUMIFS($M$3:$M$1200,$A$3:$A$1200,A622)+'Settings'!$B$13)*'Settings'!$B$14/100+'Settings'!$B$15,2),0)</f>
        <v>1.48</v>
      </c>
    </row>
    <row r="623">
      <c r="A623" s="3" t="inlineStr">
        <is>
          <t xml:space="preserve">#1458</t>
        </is>
      </c>
      <c r="B623" s="3" t="inlineStr">
        <is>
          <t xml:space="preserve">2026-05-03</t>
        </is>
      </c>
      <c r="C623" s="3" t="inlineStr">
        <is>
          <t xml:space="preserve">SKU-E</t>
        </is>
      </c>
      <c r="D623" s="3" t="inlineStr">
        <is>
          <t xml:space="preserve">Complete Ritual</t>
        </is>
      </c>
      <c r="E623" s="6">
        <f>IF('Settings'!$B$11="Scenario",IFERROR(INDEX('Catalogue'!$E$3:$E$100,MATCH(C623,'Catalogue'!$B$3:$B$100,0)),F623),F623)</f>
        <v>89</v>
      </c>
      <c r="F623" s="8">
        <v>89</v>
      </c>
      <c r="G623" s="3">
        <v>2</v>
      </c>
      <c r="H623" s="6">
        <f>IF('Settings'!$B$11="Scenario",ROUND(E623*G623*IFERROR(SUMIF('Pricing &amp; promotions'!$A$6:$A$8,L623,'Pricing &amp; promotions'!$B$6:$B$8)/100,0),2),J623)</f>
        <v>0.0</v>
      </c>
      <c r="I623" s="6">
        <f>ROUND((E623*G623-H623)/IF(OR(K623=TRUE,K623="TRUE",K623="YES",K623=1),1+'Settings'!$B$6/100,1),2)</f>
        <v>147.11</v>
      </c>
      <c r="J623" s="8">
        <v>0.0</v>
      </c>
      <c r="K623" s="3" t="inlineStr">
        <is>
          <t xml:space="preserve">TRUE</t>
        </is>
      </c>
      <c r="L623" s="3"/>
      <c r="M623" s="6">
        <f>ROUND(E623*G623-H623,2)</f>
        <v>178.0</v>
      </c>
      <c r="N623" s="5">
        <f>IF(COUNTIF($A$3:A623,A623)=1,1,0)</f>
        <v>1</v>
      </c>
      <c r="O623" s="6">
        <f>IF(N623=1,ROUND((SUMIFS($M$3:$M$1200,$A$3:$A$1200,A623)+'Settings'!$B$13)*'Settings'!$B$14/100+'Settings'!$B$15,2),0)</f>
        <v>2.96</v>
      </c>
    </row>
    <row r="624">
      <c r="A624" s="3" t="inlineStr">
        <is>
          <t xml:space="preserve">#1459</t>
        </is>
      </c>
      <c r="B624" s="3" t="inlineStr">
        <is>
          <t xml:space="preserve">2026-05-03</t>
        </is>
      </c>
      <c r="C624" s="3" t="inlineStr">
        <is>
          <t xml:space="preserve">SKU-A</t>
        </is>
      </c>
      <c r="D624" s="3" t="inlineStr">
        <is>
          <t xml:space="preserve">Renewal Serum</t>
        </is>
      </c>
      <c r="E624" s="6">
        <f>IF('Settings'!$B$11="Scenario",IFERROR(INDEX('Catalogue'!$E$3:$E$100,MATCH(C624,'Catalogue'!$B$3:$B$100,0)),F624),F624)</f>
        <v>69.9</v>
      </c>
      <c r="F624" s="8">
        <v>69.9</v>
      </c>
      <c r="G624" s="3">
        <v>1</v>
      </c>
      <c r="H624" s="6">
        <f>IF('Settings'!$B$11="Scenario",ROUND(E624*G624*IFERROR(SUMIF('Pricing &amp; promotions'!$A$6:$A$8,L624,'Pricing &amp; promotions'!$B$6:$B$8)/100,0),2),J624)</f>
        <v>6.99</v>
      </c>
      <c r="I624" s="6">
        <f>ROUND((E624*G624-H624)/IF(OR(K624=TRUE,K624="TRUE",K624="YES",K624=1),1+'Settings'!$B$6/100,1),2)</f>
        <v>51.99</v>
      </c>
      <c r="J624" s="8">
        <v>6.99</v>
      </c>
      <c r="K624" s="3" t="inlineStr">
        <is>
          <t xml:space="preserve">TRUE</t>
        </is>
      </c>
      <c r="L624" s="3" t="inlineStr">
        <is>
          <t xml:space="preserve">WELCOME10</t>
        </is>
      </c>
      <c r="M624" s="6">
        <f>ROUND(E624*G624-H624,2)</f>
        <v>62.91</v>
      </c>
      <c r="N624" s="5">
        <f>IF(COUNTIF($A$3:A624,A624)=1,1,0)</f>
        <v>1</v>
      </c>
      <c r="O624" s="6">
        <f>IF(N624=1,ROUND((SUMIFS($M$3:$M$1200,$A$3:$A$1200,A624)+'Settings'!$B$13)*'Settings'!$B$14/100+'Settings'!$B$15,2),0)</f>
        <v>1.24</v>
      </c>
    </row>
    <row r="625">
      <c r="A625" s="3" t="inlineStr">
        <is>
          <t xml:space="preserve">#1460</t>
        </is>
      </c>
      <c r="B625" s="3" t="inlineStr">
        <is>
          <t xml:space="preserve">2026-05-04</t>
        </is>
      </c>
      <c r="C625" s="3" t="inlineStr">
        <is>
          <t xml:space="preserve">SKU-B</t>
        </is>
      </c>
      <c r="D625" s="3" t="inlineStr">
        <is>
          <t xml:space="preserve">Barrier Balm</t>
        </is>
      </c>
      <c r="E625" s="6">
        <f>IF('Settings'!$B$11="Scenario",IFERROR(INDEX('Catalogue'!$E$3:$E$100,MATCH(C625,'Catalogue'!$B$3:$B$100,0)),F625),F625)</f>
        <v>19</v>
      </c>
      <c r="F625" s="8">
        <v>19</v>
      </c>
      <c r="G625" s="3">
        <v>1</v>
      </c>
      <c r="H625" s="6">
        <f>IF('Settings'!$B$11="Scenario",ROUND(E625*G625*IFERROR(SUMIF('Pricing &amp; promotions'!$A$6:$A$8,L625,'Pricing &amp; promotions'!$B$6:$B$8)/100,0),2),J625)</f>
        <v>0.0</v>
      </c>
      <c r="I625" s="6">
        <f>ROUND((E625*G625-H625)/IF(OR(K625=TRUE,K625="TRUE",K625="YES",K625=1),1+'Settings'!$B$6/100,1),2)</f>
        <v>15.7</v>
      </c>
      <c r="J625" s="8">
        <v>0.0</v>
      </c>
      <c r="K625" s="3" t="inlineStr">
        <is>
          <t xml:space="preserve">TRUE</t>
        </is>
      </c>
      <c r="L625" s="3"/>
      <c r="M625" s="6">
        <f>ROUND(E625*G625-H625,2)</f>
        <v>19.0</v>
      </c>
      <c r="N625" s="5">
        <f>IF(COUNTIF($A$3:A625,A625)=1,1,0)</f>
        <v>1</v>
      </c>
      <c r="O625" s="6">
        <f>IF(N625=1,ROUND((SUMIFS($M$3:$M$1200,$A$3:$A$1200,A625)+'Settings'!$B$13)*'Settings'!$B$14/100+'Settings'!$B$15,2),0)</f>
        <v>0.58</v>
      </c>
    </row>
    <row r="626">
      <c r="A626" s="3" t="inlineStr">
        <is>
          <t xml:space="preserve">#1461</t>
        </is>
      </c>
      <c r="B626" s="3" t="inlineStr">
        <is>
          <t xml:space="preserve">2026-05-04</t>
        </is>
      </c>
      <c r="C626" s="3" t="inlineStr">
        <is>
          <t xml:space="preserve">SKU-D</t>
        </is>
      </c>
      <c r="D626" s="3" t="inlineStr">
        <is>
          <t xml:space="preserve">Daily Duo</t>
        </is>
      </c>
      <c r="E626" s="6">
        <f>IF('Settings'!$B$11="Scenario",IFERROR(INDEX('Catalogue'!$E$3:$E$100,MATCH(C626,'Catalogue'!$B$3:$B$100,0)),F626),F626)</f>
        <v>79</v>
      </c>
      <c r="F626" s="8">
        <v>79</v>
      </c>
      <c r="G626" s="3">
        <v>2</v>
      </c>
      <c r="H626" s="6">
        <f>IF('Settings'!$B$11="Scenario",ROUND(E626*G626*IFERROR(SUMIF('Pricing &amp; promotions'!$A$6:$A$8,L626,'Pricing &amp; promotions'!$B$6:$B$8)/100,0),2),J626)</f>
        <v>0.0</v>
      </c>
      <c r="I626" s="6">
        <f>ROUND((E626*G626-H626)/IF(OR(K626=TRUE,K626="TRUE",K626="YES",K626=1),1+'Settings'!$B$6/100,1),2)</f>
        <v>130.58</v>
      </c>
      <c r="J626" s="8">
        <v>0.0</v>
      </c>
      <c r="K626" s="3" t="inlineStr">
        <is>
          <t xml:space="preserve">TRUE</t>
        </is>
      </c>
      <c r="L626" s="3"/>
      <c r="M626" s="6">
        <f>ROUND(E626*G626-H626,2)</f>
        <v>158.0</v>
      </c>
      <c r="N626" s="5">
        <f>IF(COUNTIF($A$3:A626,A626)=1,1,0)</f>
        <v>1</v>
      </c>
      <c r="O626" s="6">
        <f>IF(N626=1,ROUND((SUMIFS($M$3:$M$1200,$A$3:$A$1200,A626)+'Settings'!$B$13)*'Settings'!$B$14/100+'Settings'!$B$15,2),0)</f>
        <v>5.33</v>
      </c>
    </row>
    <row r="627">
      <c r="A627" s="3" t="inlineStr">
        <is>
          <t xml:space="preserve">#1461</t>
        </is>
      </c>
      <c r="B627" s="3" t="inlineStr">
        <is>
          <t xml:space="preserve">2026-05-04</t>
        </is>
      </c>
      <c r="C627" s="3" t="inlineStr">
        <is>
          <t xml:space="preserve">SKU-E</t>
        </is>
      </c>
      <c r="D627" s="3" t="inlineStr">
        <is>
          <t xml:space="preserve">Complete Ritual</t>
        </is>
      </c>
      <c r="E627" s="6">
        <f>IF('Settings'!$B$11="Scenario",IFERROR(INDEX('Catalogue'!$E$3:$E$100,MATCH(C627,'Catalogue'!$B$3:$B$100,0)),F627),F627)</f>
        <v>89</v>
      </c>
      <c r="F627" s="8">
        <v>89</v>
      </c>
      <c r="G627" s="3">
        <v>2</v>
      </c>
      <c r="H627" s="6">
        <f>IF('Settings'!$B$11="Scenario",ROUND(E627*G627*IFERROR(SUMIF('Pricing &amp; promotions'!$A$6:$A$8,L627,'Pricing &amp; promotions'!$B$6:$B$8)/100,0),2),J627)</f>
        <v>0.0</v>
      </c>
      <c r="I627" s="6">
        <f>ROUND((E627*G627-H627)/IF(OR(K627=TRUE,K627="TRUE",K627="YES",K627=1),1+'Settings'!$B$6/100,1),2)</f>
        <v>147.11</v>
      </c>
      <c r="J627" s="8">
        <v>0.0</v>
      </c>
      <c r="K627" s="3" t="inlineStr">
        <is>
          <t xml:space="preserve">TRUE</t>
        </is>
      </c>
      <c r="L627" s="3"/>
      <c r="M627" s="6">
        <f>ROUND(E627*G627-H627,2)</f>
        <v>178.0</v>
      </c>
      <c r="N627" s="5">
        <f>IF(COUNTIF($A$3:A627,A627)=1,1,0)</f>
        <v>0</v>
      </c>
      <c r="O627" s="6">
        <f>IF(N627=1,ROUND((SUMIFS($M$3:$M$1200,$A$3:$A$1200,A627)+'Settings'!$B$13)*'Settings'!$B$14/100+'Settings'!$B$15,2),0)</f>
        <v>0</v>
      </c>
    </row>
    <row r="628">
      <c r="A628" s="3" t="inlineStr">
        <is>
          <t xml:space="preserve">#1462</t>
        </is>
      </c>
      <c r="B628" s="3" t="inlineStr">
        <is>
          <t xml:space="preserve">2026-05-05</t>
        </is>
      </c>
      <c r="C628" s="3" t="inlineStr">
        <is>
          <t xml:space="preserve">SKU-A</t>
        </is>
      </c>
      <c r="D628" s="3" t="inlineStr">
        <is>
          <t xml:space="preserve">Renewal Serum</t>
        </is>
      </c>
      <c r="E628" s="6">
        <f>IF('Settings'!$B$11="Scenario",IFERROR(INDEX('Catalogue'!$E$3:$E$100,MATCH(C628,'Catalogue'!$B$3:$B$100,0)),F628),F628)</f>
        <v>69.9</v>
      </c>
      <c r="F628" s="8">
        <v>69.9</v>
      </c>
      <c r="G628" s="3">
        <v>1</v>
      </c>
      <c r="H628" s="6">
        <f>IF('Settings'!$B$11="Scenario",ROUND(E628*G628*IFERROR(SUMIF('Pricing &amp; promotions'!$A$6:$A$8,L628,'Pricing &amp; promotions'!$B$6:$B$8)/100,0),2),J628)</f>
        <v>0.0</v>
      </c>
      <c r="I628" s="6">
        <f>ROUND((E628*G628-H628)/IF(OR(K628=TRUE,K628="TRUE",K628="YES",K628=1),1+'Settings'!$B$6/100,1),2)</f>
        <v>57.77</v>
      </c>
      <c r="J628" s="8">
        <v>0.0</v>
      </c>
      <c r="K628" s="3" t="inlineStr">
        <is>
          <t xml:space="preserve">TRUE</t>
        </is>
      </c>
      <c r="L628" s="3"/>
      <c r="M628" s="6">
        <f>ROUND(E628*G628-H628,2)</f>
        <v>69.9</v>
      </c>
      <c r="N628" s="5">
        <f>IF(COUNTIF($A$3:A628,A628)=1,1,0)</f>
        <v>1</v>
      </c>
      <c r="O628" s="6">
        <f>IF(N628=1,ROUND((SUMIFS($M$3:$M$1200,$A$3:$A$1200,A628)+'Settings'!$B$13)*'Settings'!$B$14/100+'Settings'!$B$15,2),0)</f>
        <v>1.85</v>
      </c>
    </row>
    <row r="629">
      <c r="A629" s="3" t="inlineStr">
        <is>
          <t xml:space="preserve">#1462</t>
        </is>
      </c>
      <c r="B629" s="3" t="inlineStr">
        <is>
          <t xml:space="preserve">2026-05-05</t>
        </is>
      </c>
      <c r="C629" s="3" t="inlineStr">
        <is>
          <t xml:space="preserve">SKU-F</t>
        </is>
      </c>
      <c r="D629" s="3" t="inlineStr">
        <is>
          <t xml:space="preserve">Cloud Cleanser</t>
        </is>
      </c>
      <c r="E629" s="6">
        <f>IF('Settings'!$B$11="Scenario",IFERROR(INDEX('Catalogue'!$E$3:$E$100,MATCH(C629,'Catalogue'!$B$3:$B$100,0)),F629),F629)</f>
        <v>34</v>
      </c>
      <c r="F629" s="8">
        <v>34</v>
      </c>
      <c r="G629" s="3">
        <v>1</v>
      </c>
      <c r="H629" s="6">
        <f>IF('Settings'!$B$11="Scenario",ROUND(E629*G629*IFERROR(SUMIF('Pricing &amp; promotions'!$A$6:$A$8,L629,'Pricing &amp; promotions'!$B$6:$B$8)/100,0),2),J629)</f>
        <v>0.0</v>
      </c>
      <c r="I629" s="6">
        <f>ROUND((E629*G629-H629)/IF(OR(K629=TRUE,K629="TRUE",K629="YES",K629=1),1+'Settings'!$B$6/100,1),2)</f>
        <v>28.1</v>
      </c>
      <c r="J629" s="8">
        <v>0.0</v>
      </c>
      <c r="K629" s="3" t="inlineStr">
        <is>
          <t xml:space="preserve">TRUE</t>
        </is>
      </c>
      <c r="L629" s="3"/>
      <c r="M629" s="6">
        <f>ROUND(E629*G629-H629,2)</f>
        <v>34.0</v>
      </c>
      <c r="N629" s="5">
        <f>IF(COUNTIF($A$3:A629,A629)=1,1,0)</f>
        <v>0</v>
      </c>
      <c r="O629" s="6">
        <f>IF(N629=1,ROUND((SUMIFS($M$3:$M$1200,$A$3:$A$1200,A629)+'Settings'!$B$13)*'Settings'!$B$14/100+'Settings'!$B$15,2),0)</f>
        <v>0</v>
      </c>
    </row>
    <row r="630">
      <c r="A630" s="3" t="inlineStr">
        <is>
          <t xml:space="preserve">#1463</t>
        </is>
      </c>
      <c r="B630" s="3" t="inlineStr">
        <is>
          <t xml:space="preserve">2026-05-05</t>
        </is>
      </c>
      <c r="C630" s="3" t="inlineStr">
        <is>
          <t xml:space="preserve">SKU-F</t>
        </is>
      </c>
      <c r="D630" s="3" t="inlineStr">
        <is>
          <t xml:space="preserve">Cloud Cleanser</t>
        </is>
      </c>
      <c r="E630" s="6">
        <f>IF('Settings'!$B$11="Scenario",IFERROR(INDEX('Catalogue'!$E$3:$E$100,MATCH(C630,'Catalogue'!$B$3:$B$100,0)),F630),F630)</f>
        <v>34</v>
      </c>
      <c r="F630" s="8">
        <v>34</v>
      </c>
      <c r="G630" s="3">
        <v>1</v>
      </c>
      <c r="H630" s="6">
        <f>IF('Settings'!$B$11="Scenario",ROUND(E630*G630*IFERROR(SUMIF('Pricing &amp; promotions'!$A$6:$A$8,L630,'Pricing &amp; promotions'!$B$6:$B$8)/100,0),2),J630)</f>
        <v>0.0</v>
      </c>
      <c r="I630" s="6">
        <f>ROUND((E630*G630-H630)/IF(OR(K630=TRUE,K630="TRUE",K630="YES",K630=1),1+'Settings'!$B$6/100,1),2)</f>
        <v>28.1</v>
      </c>
      <c r="J630" s="8">
        <v>0.0</v>
      </c>
      <c r="K630" s="3" t="inlineStr">
        <is>
          <t xml:space="preserve">TRUE</t>
        </is>
      </c>
      <c r="L630" s="3"/>
      <c r="M630" s="6">
        <f>ROUND(E630*G630-H630,2)</f>
        <v>34.0</v>
      </c>
      <c r="N630" s="5">
        <f>IF(COUNTIF($A$3:A630,A630)=1,1,0)</f>
        <v>1</v>
      </c>
      <c r="O630" s="6">
        <f>IF(N630=1,ROUND((SUMIFS($M$3:$M$1200,$A$3:$A$1200,A630)+'Settings'!$B$13)*'Settings'!$B$14/100+'Settings'!$B$15,2),0)</f>
        <v>1.85</v>
      </c>
    </row>
    <row r="631">
      <c r="A631" s="3" t="inlineStr">
        <is>
          <t xml:space="preserve">#1463</t>
        </is>
      </c>
      <c r="B631" s="3" t="inlineStr">
        <is>
          <t xml:space="preserve">2026-05-05</t>
        </is>
      </c>
      <c r="C631" s="3" t="inlineStr">
        <is>
          <t xml:space="preserve">SKU-A</t>
        </is>
      </c>
      <c r="D631" s="3" t="inlineStr">
        <is>
          <t xml:space="preserve">Renewal Serum</t>
        </is>
      </c>
      <c r="E631" s="6">
        <f>IF('Settings'!$B$11="Scenario",IFERROR(INDEX('Catalogue'!$E$3:$E$100,MATCH(C631,'Catalogue'!$B$3:$B$100,0)),F631),F631)</f>
        <v>69.9</v>
      </c>
      <c r="F631" s="8">
        <v>69.9</v>
      </c>
      <c r="G631" s="3">
        <v>1</v>
      </c>
      <c r="H631" s="6">
        <f>IF('Settings'!$B$11="Scenario",ROUND(E631*G631*IFERROR(SUMIF('Pricing &amp; promotions'!$A$6:$A$8,L631,'Pricing &amp; promotions'!$B$6:$B$8)/100,0),2),J631)</f>
        <v>0.0</v>
      </c>
      <c r="I631" s="6">
        <f>ROUND((E631*G631-H631)/IF(OR(K631=TRUE,K631="TRUE",K631="YES",K631=1),1+'Settings'!$B$6/100,1),2)</f>
        <v>57.77</v>
      </c>
      <c r="J631" s="8">
        <v>0.0</v>
      </c>
      <c r="K631" s="3" t="inlineStr">
        <is>
          <t xml:space="preserve">TRUE</t>
        </is>
      </c>
      <c r="L631" s="3"/>
      <c r="M631" s="6">
        <f>ROUND(E631*G631-H631,2)</f>
        <v>69.9</v>
      </c>
      <c r="N631" s="5">
        <f>IF(COUNTIF($A$3:A631,A631)=1,1,0)</f>
        <v>0</v>
      </c>
      <c r="O631" s="6">
        <f>IF(N631=1,ROUND((SUMIFS($M$3:$M$1200,$A$3:$A$1200,A631)+'Settings'!$B$13)*'Settings'!$B$14/100+'Settings'!$B$15,2),0)</f>
        <v>0</v>
      </c>
    </row>
    <row r="632">
      <c r="A632" s="3" t="inlineStr">
        <is>
          <t xml:space="preserve">#1464</t>
        </is>
      </c>
      <c r="B632" s="3" t="inlineStr">
        <is>
          <t xml:space="preserve">2026-05-06</t>
        </is>
      </c>
      <c r="C632" s="3" t="inlineStr">
        <is>
          <t xml:space="preserve">SKU-E</t>
        </is>
      </c>
      <c r="D632" s="3" t="inlineStr">
        <is>
          <t xml:space="preserve">Complete Ritual</t>
        </is>
      </c>
      <c r="E632" s="6">
        <f>IF('Settings'!$B$11="Scenario",IFERROR(INDEX('Catalogue'!$E$3:$E$100,MATCH(C632,'Catalogue'!$B$3:$B$100,0)),F632),F632)</f>
        <v>89</v>
      </c>
      <c r="F632" s="8">
        <v>89</v>
      </c>
      <c r="G632" s="3">
        <v>1</v>
      </c>
      <c r="H632" s="6">
        <f>IF('Settings'!$B$11="Scenario",ROUND(E632*G632*IFERROR(SUMIF('Pricing &amp; promotions'!$A$6:$A$8,L632,'Pricing &amp; promotions'!$B$6:$B$8)/100,0),2),J632)</f>
        <v>0.0</v>
      </c>
      <c r="I632" s="6">
        <f>ROUND((E632*G632-H632)/IF(OR(K632=TRUE,K632="TRUE",K632="YES",K632=1),1+'Settings'!$B$6/100,1),2)</f>
        <v>73.55</v>
      </c>
      <c r="J632" s="8">
        <v>0.0</v>
      </c>
      <c r="K632" s="3" t="inlineStr">
        <is>
          <t xml:space="preserve">TRUE</t>
        </is>
      </c>
      <c r="L632" s="3"/>
      <c r="M632" s="6">
        <f>ROUND(E632*G632-H632,2)</f>
        <v>89.0</v>
      </c>
      <c r="N632" s="5">
        <f>IF(COUNTIF($A$3:A632,A632)=1,1,0)</f>
        <v>1</v>
      </c>
      <c r="O632" s="6">
        <f>IF(N632=1,ROUND((SUMIFS($M$3:$M$1200,$A$3:$A$1200,A632)+'Settings'!$B$13)*'Settings'!$B$14/100+'Settings'!$B$15,2),0)</f>
        <v>1.63</v>
      </c>
    </row>
    <row r="633">
      <c r="A633" s="3" t="inlineStr">
        <is>
          <t xml:space="preserve">#1465</t>
        </is>
      </c>
      <c r="B633" s="3" t="inlineStr">
        <is>
          <t xml:space="preserve">2026-05-07</t>
        </is>
      </c>
      <c r="C633" s="3" t="inlineStr">
        <is>
          <t xml:space="preserve">SKU-E</t>
        </is>
      </c>
      <c r="D633" s="3" t="inlineStr">
        <is>
          <t xml:space="preserve">Complete Ritual</t>
        </is>
      </c>
      <c r="E633" s="6">
        <f>IF('Settings'!$B$11="Scenario",IFERROR(INDEX('Catalogue'!$E$3:$E$100,MATCH(C633,'Catalogue'!$B$3:$B$100,0)),F633),F633)</f>
        <v>89</v>
      </c>
      <c r="F633" s="8">
        <v>89</v>
      </c>
      <c r="G633" s="3">
        <v>2</v>
      </c>
      <c r="H633" s="6">
        <f>IF('Settings'!$B$11="Scenario",ROUND(E633*G633*IFERROR(SUMIF('Pricing &amp; promotions'!$A$6:$A$8,L633,'Pricing &amp; promotions'!$B$6:$B$8)/100,0),2),J633)</f>
        <v>0.0</v>
      </c>
      <c r="I633" s="6">
        <f>ROUND((E633*G633-H633)/IF(OR(K633=TRUE,K633="TRUE",K633="YES",K633=1),1+'Settings'!$B$6/100,1),2)</f>
        <v>147.11</v>
      </c>
      <c r="J633" s="8">
        <v>0.0</v>
      </c>
      <c r="K633" s="3" t="inlineStr">
        <is>
          <t xml:space="preserve">TRUE</t>
        </is>
      </c>
      <c r="L633" s="3"/>
      <c r="M633" s="6">
        <f>ROUND(E633*G633-H633,2)</f>
        <v>178.0</v>
      </c>
      <c r="N633" s="5">
        <f>IF(COUNTIF($A$3:A633,A633)=1,1,0)</f>
        <v>1</v>
      </c>
      <c r="O633" s="6">
        <f>IF(N633=1,ROUND((SUMIFS($M$3:$M$1200,$A$3:$A$1200,A633)+'Settings'!$B$13)*'Settings'!$B$14/100+'Settings'!$B$15,2),0)</f>
        <v>4.01</v>
      </c>
    </row>
    <row r="634">
      <c r="A634" s="3" t="inlineStr">
        <is>
          <t xml:space="preserve">#1465</t>
        </is>
      </c>
      <c r="B634" s="3" t="inlineStr">
        <is>
          <t xml:space="preserve">2026-05-07</t>
        </is>
      </c>
      <c r="C634" s="3" t="inlineStr">
        <is>
          <t xml:space="preserve">SKU-A</t>
        </is>
      </c>
      <c r="D634" s="3" t="inlineStr">
        <is>
          <t xml:space="preserve">Renewal Serum</t>
        </is>
      </c>
      <c r="E634" s="6">
        <f>IF('Settings'!$B$11="Scenario",IFERROR(INDEX('Catalogue'!$E$3:$E$100,MATCH(C634,'Catalogue'!$B$3:$B$100,0)),F634),F634)</f>
        <v>69.9</v>
      </c>
      <c r="F634" s="8">
        <v>69.9</v>
      </c>
      <c r="G634" s="3">
        <v>1</v>
      </c>
      <c r="H634" s="6">
        <f>IF('Settings'!$B$11="Scenario",ROUND(E634*G634*IFERROR(SUMIF('Pricing &amp; promotions'!$A$6:$A$8,L634,'Pricing &amp; promotions'!$B$6:$B$8)/100,0),2),J634)</f>
        <v>0.0</v>
      </c>
      <c r="I634" s="6">
        <f>ROUND((E634*G634-H634)/IF(OR(K634=TRUE,K634="TRUE",K634="YES",K634=1),1+'Settings'!$B$6/100,1),2)</f>
        <v>57.77</v>
      </c>
      <c r="J634" s="8">
        <v>0.0</v>
      </c>
      <c r="K634" s="3" t="inlineStr">
        <is>
          <t xml:space="preserve">TRUE</t>
        </is>
      </c>
      <c r="L634" s="3"/>
      <c r="M634" s="6">
        <f>ROUND(E634*G634-H634,2)</f>
        <v>69.9</v>
      </c>
      <c r="N634" s="5">
        <f>IF(COUNTIF($A$3:A634,A634)=1,1,0)</f>
        <v>0</v>
      </c>
      <c r="O634" s="6">
        <f>IF(N634=1,ROUND((SUMIFS($M$3:$M$1200,$A$3:$A$1200,A634)+'Settings'!$B$13)*'Settings'!$B$14/100+'Settings'!$B$15,2),0)</f>
        <v>0</v>
      </c>
    </row>
    <row r="635">
      <c r="A635" s="3" t="inlineStr">
        <is>
          <t xml:space="preserve">#1466</t>
        </is>
      </c>
      <c r="B635" s="3" t="inlineStr">
        <is>
          <t xml:space="preserve">2026-05-07</t>
        </is>
      </c>
      <c r="C635" s="3" t="inlineStr">
        <is>
          <t xml:space="preserve">SKU-D</t>
        </is>
      </c>
      <c r="D635" s="3" t="inlineStr">
        <is>
          <t xml:space="preserve">Daily Duo</t>
        </is>
      </c>
      <c r="E635" s="6">
        <f>IF('Settings'!$B$11="Scenario",IFERROR(INDEX('Catalogue'!$E$3:$E$100,MATCH(C635,'Catalogue'!$B$3:$B$100,0)),F635),F635)</f>
        <v>79</v>
      </c>
      <c r="F635" s="8">
        <v>79</v>
      </c>
      <c r="G635" s="3">
        <v>1</v>
      </c>
      <c r="H635" s="6">
        <f>IF('Settings'!$B$11="Scenario",ROUND(E635*G635*IFERROR(SUMIF('Pricing &amp; promotions'!$A$6:$A$8,L635,'Pricing &amp; promotions'!$B$6:$B$8)/100,0),2),J635)</f>
        <v>0.0</v>
      </c>
      <c r="I635" s="6">
        <f>ROUND((E635*G635-H635)/IF(OR(K635=TRUE,K635="TRUE",K635="YES",K635=1),1+'Settings'!$B$6/100,1),2)</f>
        <v>65.29</v>
      </c>
      <c r="J635" s="8">
        <v>0.0</v>
      </c>
      <c r="K635" s="3" t="inlineStr">
        <is>
          <t xml:space="preserve">TRUE</t>
        </is>
      </c>
      <c r="L635" s="3"/>
      <c r="M635" s="6">
        <f>ROUND(E635*G635-H635,2)</f>
        <v>79.0</v>
      </c>
      <c r="N635" s="5">
        <f>IF(COUNTIF($A$3:A635,A635)=1,1,0)</f>
        <v>1</v>
      </c>
      <c r="O635" s="6">
        <f>IF(N635=1,ROUND((SUMIFS($M$3:$M$1200,$A$3:$A$1200,A635)+'Settings'!$B$13)*'Settings'!$B$14/100+'Settings'!$B$15,2),0)</f>
        <v>1.48</v>
      </c>
    </row>
    <row r="636">
      <c r="A636" s="3" t="inlineStr">
        <is>
          <t xml:space="preserve">#1467</t>
        </is>
      </c>
      <c r="B636" s="3" t="inlineStr">
        <is>
          <t xml:space="preserve">2026-05-07</t>
        </is>
      </c>
      <c r="C636" s="3" t="inlineStr">
        <is>
          <t xml:space="preserve">SKU-E</t>
        </is>
      </c>
      <c r="D636" s="3" t="inlineStr">
        <is>
          <t xml:space="preserve">Complete Ritual</t>
        </is>
      </c>
      <c r="E636" s="6">
        <f>IF('Settings'!$B$11="Scenario",IFERROR(INDEX('Catalogue'!$E$3:$E$100,MATCH(C636,'Catalogue'!$B$3:$B$100,0)),F636),F636)</f>
        <v>89</v>
      </c>
      <c r="F636" s="8">
        <v>89</v>
      </c>
      <c r="G636" s="3">
        <v>1</v>
      </c>
      <c r="H636" s="6">
        <f>IF('Settings'!$B$11="Scenario",ROUND(E636*G636*IFERROR(SUMIF('Pricing &amp; promotions'!$A$6:$A$8,L636,'Pricing &amp; promotions'!$B$6:$B$8)/100,0),2),J636)</f>
        <v>8.9</v>
      </c>
      <c r="I636" s="6">
        <f>ROUND((E636*G636-H636)/IF(OR(K636=TRUE,K636="TRUE",K636="YES",K636=1),1+'Settings'!$B$6/100,1),2)</f>
        <v>66.2</v>
      </c>
      <c r="J636" s="8">
        <v>8.9</v>
      </c>
      <c r="K636" s="3" t="inlineStr">
        <is>
          <t xml:space="preserve">TRUE</t>
        </is>
      </c>
      <c r="L636" s="3" t="inlineStr">
        <is>
          <t xml:space="preserve">WELCOME10</t>
        </is>
      </c>
      <c r="M636" s="6">
        <f>ROUND(E636*G636-H636,2)</f>
        <v>80.1</v>
      </c>
      <c r="N636" s="5">
        <f>IF(COUNTIF($A$3:A636,A636)=1,1,0)</f>
        <v>1</v>
      </c>
      <c r="O636" s="6">
        <f>IF(N636=1,ROUND((SUMIFS($M$3:$M$1200,$A$3:$A$1200,A636)+'Settings'!$B$13)*'Settings'!$B$14/100+'Settings'!$B$15,2),0)</f>
        <v>1.5</v>
      </c>
    </row>
    <row r="637">
      <c r="A637" s="3" t="inlineStr">
        <is>
          <t xml:space="preserve">#1468</t>
        </is>
      </c>
      <c r="B637" s="3" t="inlineStr">
        <is>
          <t xml:space="preserve">2026-05-08</t>
        </is>
      </c>
      <c r="C637" s="3" t="inlineStr">
        <is>
          <t xml:space="preserve">SKU-F</t>
        </is>
      </c>
      <c r="D637" s="3" t="inlineStr">
        <is>
          <t xml:space="preserve">Cloud Cleanser</t>
        </is>
      </c>
      <c r="E637" s="6">
        <f>IF('Settings'!$B$11="Scenario",IFERROR(INDEX('Catalogue'!$E$3:$E$100,MATCH(C637,'Catalogue'!$B$3:$B$100,0)),F637),F637)</f>
        <v>34</v>
      </c>
      <c r="F637" s="8">
        <v>34</v>
      </c>
      <c r="G637" s="3">
        <v>1</v>
      </c>
      <c r="H637" s="6">
        <f>IF('Settings'!$B$11="Scenario",ROUND(E637*G637*IFERROR(SUMIF('Pricing &amp; promotions'!$A$6:$A$8,L637,'Pricing &amp; promotions'!$B$6:$B$8)/100,0),2),J637)</f>
        <v>5.1</v>
      </c>
      <c r="I637" s="6">
        <f>ROUND((E637*G637-H637)/IF(OR(K637=TRUE,K637="TRUE",K637="YES",K637=1),1+'Settings'!$B$6/100,1),2)</f>
        <v>23.88</v>
      </c>
      <c r="J637" s="8">
        <v>5.1</v>
      </c>
      <c r="K637" s="3" t="inlineStr">
        <is>
          <t xml:space="preserve">TRUE</t>
        </is>
      </c>
      <c r="L637" s="3" t="inlineStr">
        <is>
          <t xml:space="preserve">SUMMER15</t>
        </is>
      </c>
      <c r="M637" s="6">
        <f>ROUND(E637*G637-H637,2)</f>
        <v>28.9</v>
      </c>
      <c r="N637" s="5">
        <f>IF(COUNTIF($A$3:A637,A637)=1,1,0)</f>
        <v>1</v>
      </c>
      <c r="O637" s="6">
        <f>IF(N637=1,ROUND((SUMIFS($M$3:$M$1200,$A$3:$A$1200,A637)+'Settings'!$B$13)*'Settings'!$B$14/100+'Settings'!$B$15,2),0)</f>
        <v>1.86</v>
      </c>
    </row>
    <row r="638">
      <c r="A638" s="3" t="inlineStr">
        <is>
          <t xml:space="preserve">#1468</t>
        </is>
      </c>
      <c r="B638" s="3" t="inlineStr">
        <is>
          <t xml:space="preserve">2026-05-08</t>
        </is>
      </c>
      <c r="C638" s="3" t="inlineStr">
        <is>
          <t xml:space="preserve">SKU-E</t>
        </is>
      </c>
      <c r="D638" s="3" t="inlineStr">
        <is>
          <t xml:space="preserve">Complete Ritual</t>
        </is>
      </c>
      <c r="E638" s="6">
        <f>IF('Settings'!$B$11="Scenario",IFERROR(INDEX('Catalogue'!$E$3:$E$100,MATCH(C638,'Catalogue'!$B$3:$B$100,0)),F638),F638)</f>
        <v>89</v>
      </c>
      <c r="F638" s="8">
        <v>89</v>
      </c>
      <c r="G638" s="3">
        <v>1</v>
      </c>
      <c r="H638" s="6">
        <f>IF('Settings'!$B$11="Scenario",ROUND(E638*G638*IFERROR(SUMIF('Pricing &amp; promotions'!$A$6:$A$8,L638,'Pricing &amp; promotions'!$B$6:$B$8)/100,0),2),J638)</f>
        <v>13.35</v>
      </c>
      <c r="I638" s="6">
        <f>ROUND((E638*G638-H638)/IF(OR(K638=TRUE,K638="TRUE",K638="YES",K638=1),1+'Settings'!$B$6/100,1),2)</f>
        <v>62.52</v>
      </c>
      <c r="J638" s="8">
        <v>13.35</v>
      </c>
      <c r="K638" s="3" t="inlineStr">
        <is>
          <t xml:space="preserve">TRUE</t>
        </is>
      </c>
      <c r="L638" s="3" t="inlineStr">
        <is>
          <t xml:space="preserve">SUMMER15</t>
        </is>
      </c>
      <c r="M638" s="6">
        <f>ROUND(E638*G638-H638,2)</f>
        <v>75.65</v>
      </c>
      <c r="N638" s="5">
        <f>IF(COUNTIF($A$3:A638,A638)=1,1,0)</f>
        <v>0</v>
      </c>
      <c r="O638" s="6">
        <f>IF(N638=1,ROUND((SUMIFS($M$3:$M$1200,$A$3:$A$1200,A638)+'Settings'!$B$13)*'Settings'!$B$14/100+'Settings'!$B$15,2),0)</f>
        <v>0</v>
      </c>
    </row>
    <row r="639">
      <c r="A639" s="3" t="inlineStr">
        <is>
          <t xml:space="preserve">#1469</t>
        </is>
      </c>
      <c r="B639" s="3" t="inlineStr">
        <is>
          <t xml:space="preserve">2026-05-08</t>
        </is>
      </c>
      <c r="C639" s="3" t="inlineStr">
        <is>
          <t xml:space="preserve">SKU-A</t>
        </is>
      </c>
      <c r="D639" s="3" t="inlineStr">
        <is>
          <t xml:space="preserve">Renewal Serum</t>
        </is>
      </c>
      <c r="E639" s="6">
        <f>IF('Settings'!$B$11="Scenario",IFERROR(INDEX('Catalogue'!$E$3:$E$100,MATCH(C639,'Catalogue'!$B$3:$B$100,0)),F639),F639)</f>
        <v>69.9</v>
      </c>
      <c r="F639" s="8">
        <v>69.9</v>
      </c>
      <c r="G639" s="3">
        <v>1</v>
      </c>
      <c r="H639" s="6">
        <f>IF('Settings'!$B$11="Scenario",ROUND(E639*G639*IFERROR(SUMIF('Pricing &amp; promotions'!$A$6:$A$8,L639,'Pricing &amp; promotions'!$B$6:$B$8)/100,0),2),J639)</f>
        <v>6.99</v>
      </c>
      <c r="I639" s="6">
        <f>ROUND((E639*G639-H639)/IF(OR(K639=TRUE,K639="TRUE",K639="YES",K639=1),1+'Settings'!$B$6/100,1),2)</f>
        <v>51.99</v>
      </c>
      <c r="J639" s="8">
        <v>6.99</v>
      </c>
      <c r="K639" s="3" t="inlineStr">
        <is>
          <t xml:space="preserve">TRUE</t>
        </is>
      </c>
      <c r="L639" s="3" t="inlineStr">
        <is>
          <t xml:space="preserve">WELCOME10</t>
        </is>
      </c>
      <c r="M639" s="6">
        <f>ROUND(E639*G639-H639,2)</f>
        <v>62.91</v>
      </c>
      <c r="N639" s="5">
        <f>IF(COUNTIF($A$3:A639,A639)=1,1,0)</f>
        <v>1</v>
      </c>
      <c r="O639" s="6">
        <f>IF(N639=1,ROUND((SUMIFS($M$3:$M$1200,$A$3:$A$1200,A639)+'Settings'!$B$13)*'Settings'!$B$14/100+'Settings'!$B$15,2),0)</f>
        <v>2.17</v>
      </c>
    </row>
    <row r="640">
      <c r="A640" s="3" t="inlineStr">
        <is>
          <t xml:space="preserve">#1469</t>
        </is>
      </c>
      <c r="B640" s="3" t="inlineStr">
        <is>
          <t xml:space="preserve">2026-05-08</t>
        </is>
      </c>
      <c r="C640" s="3" t="inlineStr">
        <is>
          <t xml:space="preserve">SKU-G</t>
        </is>
      </c>
      <c r="D640" s="3" t="inlineStr">
        <is>
          <t xml:space="preserve">Daily Reset Set</t>
        </is>
      </c>
      <c r="E640" s="6">
        <f>IF('Settings'!$B$11="Scenario",IFERROR(INDEX('Catalogue'!$E$3:$E$100,MATCH(C640,'Catalogue'!$B$3:$B$100,0)),F640),F640)</f>
        <v>69</v>
      </c>
      <c r="F640" s="8">
        <v>69</v>
      </c>
      <c r="G640" s="3">
        <v>1</v>
      </c>
      <c r="H640" s="6">
        <f>IF('Settings'!$B$11="Scenario",ROUND(E640*G640*IFERROR(SUMIF('Pricing &amp; promotions'!$A$6:$A$8,L640,'Pricing &amp; promotions'!$B$6:$B$8)/100,0),2),J640)</f>
        <v>6.9</v>
      </c>
      <c r="I640" s="6">
        <f>ROUND((E640*G640-H640)/IF(OR(K640=TRUE,K640="TRUE",K640="YES",K640=1),1+'Settings'!$B$6/100,1),2)</f>
        <v>51.32</v>
      </c>
      <c r="J640" s="8">
        <v>6.9</v>
      </c>
      <c r="K640" s="3" t="inlineStr">
        <is>
          <t xml:space="preserve">TRUE</t>
        </is>
      </c>
      <c r="L640" s="3" t="inlineStr">
        <is>
          <t xml:space="preserve">WELCOME10</t>
        </is>
      </c>
      <c r="M640" s="6">
        <f>ROUND(E640*G640-H640,2)</f>
        <v>62.1</v>
      </c>
      <c r="N640" s="5">
        <f>IF(COUNTIF($A$3:A640,A640)=1,1,0)</f>
        <v>0</v>
      </c>
      <c r="O640" s="6">
        <f>IF(N640=1,ROUND((SUMIFS($M$3:$M$1200,$A$3:$A$1200,A640)+'Settings'!$B$13)*'Settings'!$B$14/100+'Settings'!$B$15,2),0)</f>
        <v>0</v>
      </c>
    </row>
    <row r="641">
      <c r="A641" s="3" t="inlineStr">
        <is>
          <t xml:space="preserve">#1470</t>
        </is>
      </c>
      <c r="B641" s="3" t="inlineStr">
        <is>
          <t xml:space="preserve">2026-05-09</t>
        </is>
      </c>
      <c r="C641" s="3" t="inlineStr">
        <is>
          <t xml:space="preserve">SKU-F</t>
        </is>
      </c>
      <c r="D641" s="3" t="inlineStr">
        <is>
          <t xml:space="preserve">Cloud Cleanser</t>
        </is>
      </c>
      <c r="E641" s="6">
        <f>IF('Settings'!$B$11="Scenario",IFERROR(INDEX('Catalogue'!$E$3:$E$100,MATCH(C641,'Catalogue'!$B$3:$B$100,0)),F641),F641)</f>
        <v>34</v>
      </c>
      <c r="F641" s="8">
        <v>34</v>
      </c>
      <c r="G641" s="3">
        <v>1</v>
      </c>
      <c r="H641" s="6">
        <f>IF('Settings'!$B$11="Scenario",ROUND(E641*G641*IFERROR(SUMIF('Pricing &amp; promotions'!$A$6:$A$8,L641,'Pricing &amp; promotions'!$B$6:$B$8)/100,0),2),J641)</f>
        <v>3.4</v>
      </c>
      <c r="I641" s="6">
        <f>ROUND((E641*G641-H641)/IF(OR(K641=TRUE,K641="TRUE",K641="YES",K641=1),1+'Settings'!$B$6/100,1),2)</f>
        <v>25.29</v>
      </c>
      <c r="J641" s="8">
        <v>3.4</v>
      </c>
      <c r="K641" s="3" t="inlineStr">
        <is>
          <t xml:space="preserve">TRUE</t>
        </is>
      </c>
      <c r="L641" s="3" t="inlineStr">
        <is>
          <t xml:space="preserve">WELCOME10</t>
        </is>
      </c>
      <c r="M641" s="6">
        <f>ROUND(E641*G641-H641,2)</f>
        <v>30.6</v>
      </c>
      <c r="N641" s="5">
        <f>IF(COUNTIF($A$3:A641,A641)=1,1,0)</f>
        <v>1</v>
      </c>
      <c r="O641" s="6">
        <f>IF(N641=1,ROUND((SUMIFS($M$3:$M$1200,$A$3:$A$1200,A641)+'Settings'!$B$13)*'Settings'!$B$14/100+'Settings'!$B$15,2),0)</f>
        <v>0.75</v>
      </c>
    </row>
    <row r="642">
      <c r="A642" s="3" t="inlineStr">
        <is>
          <t xml:space="preserve">#1471</t>
        </is>
      </c>
      <c r="B642" s="3" t="inlineStr">
        <is>
          <t xml:space="preserve">2026-05-09</t>
        </is>
      </c>
      <c r="C642" s="3" t="inlineStr">
        <is>
          <t xml:space="preserve">SKU-E</t>
        </is>
      </c>
      <c r="D642" s="3" t="inlineStr">
        <is>
          <t xml:space="preserve">Complete Ritual</t>
        </is>
      </c>
      <c r="E642" s="6">
        <f>IF('Settings'!$B$11="Scenario",IFERROR(INDEX('Catalogue'!$E$3:$E$100,MATCH(C642,'Catalogue'!$B$3:$B$100,0)),F642),F642)</f>
        <v>89</v>
      </c>
      <c r="F642" s="8">
        <v>89</v>
      </c>
      <c r="G642" s="3">
        <v>2</v>
      </c>
      <c r="H642" s="6">
        <f>IF('Settings'!$B$11="Scenario",ROUND(E642*G642*IFERROR(SUMIF('Pricing &amp; promotions'!$A$6:$A$8,L642,'Pricing &amp; promotions'!$B$6:$B$8)/100,0),2),J642)</f>
        <v>0.0</v>
      </c>
      <c r="I642" s="6">
        <f>ROUND((E642*G642-H642)/IF(OR(K642=TRUE,K642="TRUE",K642="YES",K642=1),1+'Settings'!$B$6/100,1),2)</f>
        <v>147.11</v>
      </c>
      <c r="J642" s="8">
        <v>0.0</v>
      </c>
      <c r="K642" s="3" t="inlineStr">
        <is>
          <t xml:space="preserve">TRUE</t>
        </is>
      </c>
      <c r="L642" s="3"/>
      <c r="M642" s="6">
        <f>ROUND(E642*G642-H642,2)</f>
        <v>178.0</v>
      </c>
      <c r="N642" s="5">
        <f>IF(COUNTIF($A$3:A642,A642)=1,1,0)</f>
        <v>1</v>
      </c>
      <c r="O642" s="6">
        <f>IF(N642=1,ROUND((SUMIFS($M$3:$M$1200,$A$3:$A$1200,A642)+'Settings'!$B$13)*'Settings'!$B$14/100+'Settings'!$B$15,2),0)</f>
        <v>2.96</v>
      </c>
    </row>
    <row r="643">
      <c r="A643" s="3" t="inlineStr">
        <is>
          <t xml:space="preserve">#1472</t>
        </is>
      </c>
      <c r="B643" s="3" t="inlineStr">
        <is>
          <t xml:space="preserve">2026-05-09</t>
        </is>
      </c>
      <c r="C643" s="3" t="inlineStr">
        <is>
          <t xml:space="preserve">SKU-E</t>
        </is>
      </c>
      <c r="D643" s="3" t="inlineStr">
        <is>
          <t xml:space="preserve">Complete Ritual</t>
        </is>
      </c>
      <c r="E643" s="6">
        <f>IF('Settings'!$B$11="Scenario",IFERROR(INDEX('Catalogue'!$E$3:$E$100,MATCH(C643,'Catalogue'!$B$3:$B$100,0)),F643),F643)</f>
        <v>89</v>
      </c>
      <c r="F643" s="8">
        <v>89</v>
      </c>
      <c r="G643" s="3">
        <v>1</v>
      </c>
      <c r="H643" s="6">
        <f>IF('Settings'!$B$11="Scenario",ROUND(E643*G643*IFERROR(SUMIF('Pricing &amp; promotions'!$A$6:$A$8,L643,'Pricing &amp; promotions'!$B$6:$B$8)/100,0),2),J643)</f>
        <v>13.35</v>
      </c>
      <c r="I643" s="6">
        <f>ROUND((E643*G643-H643)/IF(OR(K643=TRUE,K643="TRUE",K643="YES",K643=1),1+'Settings'!$B$6/100,1),2)</f>
        <v>62.52</v>
      </c>
      <c r="J643" s="8">
        <v>13.35</v>
      </c>
      <c r="K643" s="3" t="inlineStr">
        <is>
          <t xml:space="preserve">TRUE</t>
        </is>
      </c>
      <c r="L643" s="3" t="inlineStr">
        <is>
          <t xml:space="preserve">SUMMER15</t>
        </is>
      </c>
      <c r="M643" s="6">
        <f>ROUND(E643*G643-H643,2)</f>
        <v>75.65</v>
      </c>
      <c r="N643" s="5">
        <f>IF(COUNTIF($A$3:A643,A643)=1,1,0)</f>
        <v>1</v>
      </c>
      <c r="O643" s="6">
        <f>IF(N643=1,ROUND((SUMIFS($M$3:$M$1200,$A$3:$A$1200,A643)+'Settings'!$B$13)*'Settings'!$B$14/100+'Settings'!$B$15,2),0)</f>
        <v>1.43</v>
      </c>
    </row>
    <row r="644">
      <c r="A644" s="3" t="inlineStr">
        <is>
          <t xml:space="preserve">#1473</t>
        </is>
      </c>
      <c r="B644" s="3" t="inlineStr">
        <is>
          <t xml:space="preserve">2026-05-10</t>
        </is>
      </c>
      <c r="C644" s="3" t="inlineStr">
        <is>
          <t xml:space="preserve">SKU-F</t>
        </is>
      </c>
      <c r="D644" s="3" t="inlineStr">
        <is>
          <t xml:space="preserve">Cloud Cleanser</t>
        </is>
      </c>
      <c r="E644" s="6">
        <f>IF('Settings'!$B$11="Scenario",IFERROR(INDEX('Catalogue'!$E$3:$E$100,MATCH(C644,'Catalogue'!$B$3:$B$100,0)),F644),F644)</f>
        <v>34</v>
      </c>
      <c r="F644" s="8">
        <v>34</v>
      </c>
      <c r="G644" s="3">
        <v>2</v>
      </c>
      <c r="H644" s="6">
        <f>IF('Settings'!$B$11="Scenario",ROUND(E644*G644*IFERROR(SUMIF('Pricing &amp; promotions'!$A$6:$A$8,L644,'Pricing &amp; promotions'!$B$6:$B$8)/100,0),2),J644)</f>
        <v>6.8</v>
      </c>
      <c r="I644" s="6">
        <f>ROUND((E644*G644-H644)/IF(OR(K644=TRUE,K644="TRUE",K644="YES",K644=1),1+'Settings'!$B$6/100,1),2)</f>
        <v>50.58</v>
      </c>
      <c r="J644" s="8">
        <v>6.8</v>
      </c>
      <c r="K644" s="3" t="inlineStr">
        <is>
          <t xml:space="preserve">TRUE</t>
        </is>
      </c>
      <c r="L644" s="3" t="inlineStr">
        <is>
          <t xml:space="preserve">WELCOME10</t>
        </is>
      </c>
      <c r="M644" s="6">
        <f>ROUND(E644*G644-H644,2)</f>
        <v>61.2</v>
      </c>
      <c r="N644" s="5">
        <f>IF(COUNTIF($A$3:A644,A644)=1,1,0)</f>
        <v>1</v>
      </c>
      <c r="O644" s="6">
        <f>IF(N644=1,ROUND((SUMIFS($M$3:$M$1200,$A$3:$A$1200,A644)+'Settings'!$B$13)*'Settings'!$B$14/100+'Settings'!$B$15,2),0)</f>
        <v>1.21</v>
      </c>
    </row>
    <row r="645">
      <c r="A645" s="3" t="inlineStr">
        <is>
          <t xml:space="preserve">#1474</t>
        </is>
      </c>
      <c r="B645" s="3" t="inlineStr">
        <is>
          <t xml:space="preserve">2026-05-10</t>
        </is>
      </c>
      <c r="C645" s="3" t="inlineStr">
        <is>
          <t xml:space="preserve">SKU-A</t>
        </is>
      </c>
      <c r="D645" s="3" t="inlineStr">
        <is>
          <t xml:space="preserve">Renewal Serum</t>
        </is>
      </c>
      <c r="E645" s="6">
        <f>IF('Settings'!$B$11="Scenario",IFERROR(INDEX('Catalogue'!$E$3:$E$100,MATCH(C645,'Catalogue'!$B$3:$B$100,0)),F645),F645)</f>
        <v>69.9</v>
      </c>
      <c r="F645" s="8">
        <v>69.9</v>
      </c>
      <c r="G645" s="3">
        <v>1</v>
      </c>
      <c r="H645" s="6">
        <f>IF('Settings'!$B$11="Scenario",ROUND(E645*G645*IFERROR(SUMIF('Pricing &amp; promotions'!$A$6:$A$8,L645,'Pricing &amp; promotions'!$B$6:$B$8)/100,0),2),J645)</f>
        <v>6.99</v>
      </c>
      <c r="I645" s="6">
        <f>ROUND((E645*G645-H645)/IF(OR(K645=TRUE,K645="TRUE",K645="YES",K645=1),1+'Settings'!$B$6/100,1),2)</f>
        <v>51.99</v>
      </c>
      <c r="J645" s="8">
        <v>6.99</v>
      </c>
      <c r="K645" s="3" t="inlineStr">
        <is>
          <t xml:space="preserve">TRUE</t>
        </is>
      </c>
      <c r="L645" s="3" t="inlineStr">
        <is>
          <t xml:space="preserve">WELCOME10</t>
        </is>
      </c>
      <c r="M645" s="6">
        <f>ROUND(E645*G645-H645,2)</f>
        <v>62.91</v>
      </c>
      <c r="N645" s="5">
        <f>IF(COUNTIF($A$3:A645,A645)=1,1,0)</f>
        <v>1</v>
      </c>
      <c r="O645" s="6">
        <f>IF(N645=1,ROUND((SUMIFS($M$3:$M$1200,$A$3:$A$1200,A645)+'Settings'!$B$13)*'Settings'!$B$14/100+'Settings'!$B$15,2),0)</f>
        <v>1.24</v>
      </c>
    </row>
    <row r="646">
      <c r="A646" s="3" t="inlineStr">
        <is>
          <t xml:space="preserve">#1475</t>
        </is>
      </c>
      <c r="B646" s="3" t="inlineStr">
        <is>
          <t xml:space="preserve">2026-05-11</t>
        </is>
      </c>
      <c r="C646" s="3" t="inlineStr">
        <is>
          <t xml:space="preserve">SKU-F</t>
        </is>
      </c>
      <c r="D646" s="3" t="inlineStr">
        <is>
          <t xml:space="preserve">Cloud Cleanser</t>
        </is>
      </c>
      <c r="E646" s="6">
        <f>IF('Settings'!$B$11="Scenario",IFERROR(INDEX('Catalogue'!$E$3:$E$100,MATCH(C646,'Catalogue'!$B$3:$B$100,0)),F646),F646)</f>
        <v>34</v>
      </c>
      <c r="F646" s="8">
        <v>34</v>
      </c>
      <c r="G646" s="3">
        <v>1</v>
      </c>
      <c r="H646" s="6">
        <f>IF('Settings'!$B$11="Scenario",ROUND(E646*G646*IFERROR(SUMIF('Pricing &amp; promotions'!$A$6:$A$8,L646,'Pricing &amp; promotions'!$B$6:$B$8)/100,0),2),J646)</f>
        <v>0.0</v>
      </c>
      <c r="I646" s="6">
        <f>ROUND((E646*G646-H646)/IF(OR(K646=TRUE,K646="TRUE",K646="YES",K646=1),1+'Settings'!$B$6/100,1),2)</f>
        <v>28.1</v>
      </c>
      <c r="J646" s="8">
        <v>0.0</v>
      </c>
      <c r="K646" s="3" t="inlineStr">
        <is>
          <t xml:space="preserve">TRUE</t>
        </is>
      </c>
      <c r="L646" s="3"/>
      <c r="M646" s="6">
        <f>ROUND(E646*G646-H646,2)</f>
        <v>34.0</v>
      </c>
      <c r="N646" s="5">
        <f>IF(COUNTIF($A$3:A646,A646)=1,1,0)</f>
        <v>1</v>
      </c>
      <c r="O646" s="6">
        <f>IF(N646=1,ROUND((SUMIFS($M$3:$M$1200,$A$3:$A$1200,A646)+'Settings'!$B$13)*'Settings'!$B$14/100+'Settings'!$B$15,2),0)</f>
        <v>2.14</v>
      </c>
    </row>
    <row r="647">
      <c r="A647" s="3" t="inlineStr">
        <is>
          <t xml:space="preserve">#1475</t>
        </is>
      </c>
      <c r="B647" s="3" t="inlineStr">
        <is>
          <t xml:space="preserve">2026-05-11</t>
        </is>
      </c>
      <c r="C647" s="3" t="inlineStr">
        <is>
          <t xml:space="preserve">SKU-E</t>
        </is>
      </c>
      <c r="D647" s="3" t="inlineStr">
        <is>
          <t xml:space="preserve">Complete Ritual</t>
        </is>
      </c>
      <c r="E647" s="6">
        <f>IF('Settings'!$B$11="Scenario",IFERROR(INDEX('Catalogue'!$E$3:$E$100,MATCH(C647,'Catalogue'!$B$3:$B$100,0)),F647),F647)</f>
        <v>89</v>
      </c>
      <c r="F647" s="8">
        <v>89</v>
      </c>
      <c r="G647" s="3">
        <v>1</v>
      </c>
      <c r="H647" s="6">
        <f>IF('Settings'!$B$11="Scenario",ROUND(E647*G647*IFERROR(SUMIF('Pricing &amp; promotions'!$A$6:$A$8,L647,'Pricing &amp; promotions'!$B$6:$B$8)/100,0),2),J647)</f>
        <v>0.0</v>
      </c>
      <c r="I647" s="6">
        <f>ROUND((E647*G647-H647)/IF(OR(K647=TRUE,K647="TRUE",K647="YES",K647=1),1+'Settings'!$B$6/100,1),2)</f>
        <v>73.55</v>
      </c>
      <c r="J647" s="8">
        <v>0.0</v>
      </c>
      <c r="K647" s="3" t="inlineStr">
        <is>
          <t xml:space="preserve">TRUE</t>
        </is>
      </c>
      <c r="L647" s="3"/>
      <c r="M647" s="6">
        <f>ROUND(E647*G647-H647,2)</f>
        <v>89.0</v>
      </c>
      <c r="N647" s="5">
        <f>IF(COUNTIF($A$3:A647,A647)=1,1,0)</f>
        <v>0</v>
      </c>
      <c r="O647" s="6">
        <f>IF(N647=1,ROUND((SUMIFS($M$3:$M$1200,$A$3:$A$1200,A647)+'Settings'!$B$13)*'Settings'!$B$14/100+'Settings'!$B$15,2),0)</f>
        <v>0</v>
      </c>
    </row>
    <row r="648">
      <c r="A648" s="3" t="inlineStr">
        <is>
          <t xml:space="preserve">#1476</t>
        </is>
      </c>
      <c r="B648" s="3" t="inlineStr">
        <is>
          <t xml:space="preserve">2026-05-11</t>
        </is>
      </c>
      <c r="C648" s="3" t="inlineStr">
        <is>
          <t xml:space="preserve">SKU-A</t>
        </is>
      </c>
      <c r="D648" s="3" t="inlineStr">
        <is>
          <t xml:space="preserve">Renewal Serum</t>
        </is>
      </c>
      <c r="E648" s="6">
        <f>IF('Settings'!$B$11="Scenario",IFERROR(INDEX('Catalogue'!$E$3:$E$100,MATCH(C648,'Catalogue'!$B$3:$B$100,0)),F648),F648)</f>
        <v>69.9</v>
      </c>
      <c r="F648" s="8">
        <v>69.9</v>
      </c>
      <c r="G648" s="3">
        <v>1</v>
      </c>
      <c r="H648" s="6">
        <f>IF('Settings'!$B$11="Scenario",ROUND(E648*G648*IFERROR(SUMIF('Pricing &amp; promotions'!$A$6:$A$8,L648,'Pricing &amp; promotions'!$B$6:$B$8)/100,0),2),J648)</f>
        <v>0.0</v>
      </c>
      <c r="I648" s="6">
        <f>ROUND((E648*G648-H648)/IF(OR(K648=TRUE,K648="TRUE",K648="YES",K648=1),1+'Settings'!$B$6/100,1),2)</f>
        <v>57.77</v>
      </c>
      <c r="J648" s="8">
        <v>0.0</v>
      </c>
      <c r="K648" s="3" t="inlineStr">
        <is>
          <t xml:space="preserve">TRUE</t>
        </is>
      </c>
      <c r="L648" s="3"/>
      <c r="M648" s="6">
        <f>ROUND(E648*G648-H648,2)</f>
        <v>69.9</v>
      </c>
      <c r="N648" s="5">
        <f>IF(COUNTIF($A$3:A648,A648)=1,1,0)</f>
        <v>1</v>
      </c>
      <c r="O648" s="6">
        <f>IF(N648=1,ROUND((SUMIFS($M$3:$M$1200,$A$3:$A$1200,A648)+'Settings'!$B$13)*'Settings'!$B$14/100+'Settings'!$B$15,2),0)</f>
        <v>1.34</v>
      </c>
    </row>
    <row r="649">
      <c r="A649" s="3" t="inlineStr">
        <is>
          <t xml:space="preserve">#1477</t>
        </is>
      </c>
      <c r="B649" s="3" t="inlineStr">
        <is>
          <t xml:space="preserve">2026-05-12</t>
        </is>
      </c>
      <c r="C649" s="3" t="inlineStr">
        <is>
          <t xml:space="preserve">SKU-F</t>
        </is>
      </c>
      <c r="D649" s="3" t="inlineStr">
        <is>
          <t xml:space="preserve">Cloud Cleanser</t>
        </is>
      </c>
      <c r="E649" s="6">
        <f>IF('Settings'!$B$11="Scenario",IFERROR(INDEX('Catalogue'!$E$3:$E$100,MATCH(C649,'Catalogue'!$B$3:$B$100,0)),F649),F649)</f>
        <v>34</v>
      </c>
      <c r="F649" s="8">
        <v>34</v>
      </c>
      <c r="G649" s="3">
        <v>1</v>
      </c>
      <c r="H649" s="6">
        <f>IF('Settings'!$B$11="Scenario",ROUND(E649*G649*IFERROR(SUMIF('Pricing &amp; promotions'!$A$6:$A$8,L649,'Pricing &amp; promotions'!$B$6:$B$8)/100,0),2),J649)</f>
        <v>3.4</v>
      </c>
      <c r="I649" s="6">
        <f>ROUND((E649*G649-H649)/IF(OR(K649=TRUE,K649="TRUE",K649="YES",K649=1),1+'Settings'!$B$6/100,1),2)</f>
        <v>25.29</v>
      </c>
      <c r="J649" s="8">
        <v>3.4</v>
      </c>
      <c r="K649" s="3" t="inlineStr">
        <is>
          <t xml:space="preserve">TRUE</t>
        </is>
      </c>
      <c r="L649" s="3" t="inlineStr">
        <is>
          <t xml:space="preserve">WELCOME10</t>
        </is>
      </c>
      <c r="M649" s="6">
        <f>ROUND(E649*G649-H649,2)</f>
        <v>30.6</v>
      </c>
      <c r="N649" s="5">
        <f>IF(COUNTIF($A$3:A649,A649)=1,1,0)</f>
        <v>1</v>
      </c>
      <c r="O649" s="6">
        <f>IF(N649=1,ROUND((SUMIFS($M$3:$M$1200,$A$3:$A$1200,A649)+'Settings'!$B$13)*'Settings'!$B$14/100+'Settings'!$B$15,2),0)</f>
        <v>0.75</v>
      </c>
    </row>
    <row r="650">
      <c r="A650" s="3" t="inlineStr">
        <is>
          <t xml:space="preserve">#1478</t>
        </is>
      </c>
      <c r="B650" s="3" t="inlineStr">
        <is>
          <t xml:space="preserve">2026-05-12</t>
        </is>
      </c>
      <c r="C650" s="3" t="inlineStr">
        <is>
          <t xml:space="preserve">SKU-C</t>
        </is>
      </c>
      <c r="D650" s="3" t="inlineStr">
        <is>
          <t xml:space="preserve">Contour Stone</t>
        </is>
      </c>
      <c r="E650" s="6">
        <f>IF('Settings'!$B$11="Scenario",IFERROR(INDEX('Catalogue'!$E$3:$E$100,MATCH(C650,'Catalogue'!$B$3:$B$100,0)),F650),F650)</f>
        <v>29</v>
      </c>
      <c r="F650" s="8">
        <v>29</v>
      </c>
      <c r="G650" s="3">
        <v>1</v>
      </c>
      <c r="H650" s="6">
        <f>IF('Settings'!$B$11="Scenario",ROUND(E650*G650*IFERROR(SUMIF('Pricing &amp; promotions'!$A$6:$A$8,L650,'Pricing &amp; promotions'!$B$6:$B$8)/100,0),2),J650)</f>
        <v>2.9</v>
      </c>
      <c r="I650" s="6">
        <f>ROUND((E650*G650-H650)/IF(OR(K650=TRUE,K650="TRUE",K650="YES",K650=1),1+'Settings'!$B$6/100,1),2)</f>
        <v>21.57</v>
      </c>
      <c r="J650" s="8">
        <v>2.9</v>
      </c>
      <c r="K650" s="3" t="inlineStr">
        <is>
          <t xml:space="preserve">TRUE</t>
        </is>
      </c>
      <c r="L650" s="3" t="inlineStr">
        <is>
          <t xml:space="preserve">WELCOME10</t>
        </is>
      </c>
      <c r="M650" s="6">
        <f>ROUND(E650*G650-H650,2)</f>
        <v>26.1</v>
      </c>
      <c r="N650" s="5">
        <f>IF(COUNTIF($A$3:A650,A650)=1,1,0)</f>
        <v>1</v>
      </c>
      <c r="O650" s="6">
        <f>IF(N650=1,ROUND((SUMIFS($M$3:$M$1200,$A$3:$A$1200,A650)+'Settings'!$B$13)*'Settings'!$B$14/100+'Settings'!$B$15,2),0)</f>
        <v>0.69</v>
      </c>
    </row>
    <row r="651">
      <c r="A651" s="3" t="inlineStr">
        <is>
          <t xml:space="preserve">#1479</t>
        </is>
      </c>
      <c r="B651" s="3" t="inlineStr">
        <is>
          <t xml:space="preserve">2026-05-13</t>
        </is>
      </c>
      <c r="C651" s="3" t="inlineStr">
        <is>
          <t xml:space="preserve">SKU-A</t>
        </is>
      </c>
      <c r="D651" s="3" t="inlineStr">
        <is>
          <t xml:space="preserve">Renewal Serum</t>
        </is>
      </c>
      <c r="E651" s="6">
        <f>IF('Settings'!$B$11="Scenario",IFERROR(INDEX('Catalogue'!$E$3:$E$100,MATCH(C651,'Catalogue'!$B$3:$B$100,0)),F651),F651)</f>
        <v>69.9</v>
      </c>
      <c r="F651" s="8">
        <v>69.9</v>
      </c>
      <c r="G651" s="3">
        <v>1</v>
      </c>
      <c r="H651" s="6">
        <f>IF('Settings'!$B$11="Scenario",ROUND(E651*G651*IFERROR(SUMIF('Pricing &amp; promotions'!$A$6:$A$8,L651,'Pricing &amp; promotions'!$B$6:$B$8)/100,0),2),J651)</f>
        <v>13.98</v>
      </c>
      <c r="I651" s="6">
        <f>ROUND((E651*G651-H651)/IF(OR(K651=TRUE,K651="TRUE",K651="YES",K651=1),1+'Settings'!$B$6/100,1),2)</f>
        <v>46.21</v>
      </c>
      <c r="J651" s="8">
        <v>13.98</v>
      </c>
      <c r="K651" s="3" t="inlineStr">
        <is>
          <t xml:space="preserve">TRUE</t>
        </is>
      </c>
      <c r="L651" s="3" t="inlineStr">
        <is>
          <t xml:space="preserve">VIP20</t>
        </is>
      </c>
      <c r="M651" s="6">
        <f>ROUND(E651*G651-H651,2)</f>
        <v>55.92</v>
      </c>
      <c r="N651" s="5">
        <f>IF(COUNTIF($A$3:A651,A651)=1,1,0)</f>
        <v>1</v>
      </c>
      <c r="O651" s="6">
        <f>IF(N651=1,ROUND((SUMIFS($M$3:$M$1200,$A$3:$A$1200,A651)+'Settings'!$B$13)*'Settings'!$B$14/100+'Settings'!$B$15,2),0)</f>
        <v>1.96</v>
      </c>
    </row>
    <row r="652">
      <c r="A652" s="3" t="inlineStr">
        <is>
          <t xml:space="preserve">#1479</t>
        </is>
      </c>
      <c r="B652" s="3" t="inlineStr">
        <is>
          <t xml:space="preserve">2026-05-13</t>
        </is>
      </c>
      <c r="C652" s="3" t="inlineStr">
        <is>
          <t xml:space="preserve">SKU-G</t>
        </is>
      </c>
      <c r="D652" s="3" t="inlineStr">
        <is>
          <t xml:space="preserve">Daily Reset Set</t>
        </is>
      </c>
      <c r="E652" s="6">
        <f>IF('Settings'!$B$11="Scenario",IFERROR(INDEX('Catalogue'!$E$3:$E$100,MATCH(C652,'Catalogue'!$B$3:$B$100,0)),F652),F652)</f>
        <v>69</v>
      </c>
      <c r="F652" s="8">
        <v>69</v>
      </c>
      <c r="G652" s="3">
        <v>1</v>
      </c>
      <c r="H652" s="6">
        <f>IF('Settings'!$B$11="Scenario",ROUND(E652*G652*IFERROR(SUMIF('Pricing &amp; promotions'!$A$6:$A$8,L652,'Pricing &amp; promotions'!$B$6:$B$8)/100,0),2),J652)</f>
        <v>13.8</v>
      </c>
      <c r="I652" s="6">
        <f>ROUND((E652*G652-H652)/IF(OR(K652=TRUE,K652="TRUE",K652="YES",K652=1),1+'Settings'!$B$6/100,1),2)</f>
        <v>45.62</v>
      </c>
      <c r="J652" s="8">
        <v>13.8</v>
      </c>
      <c r="K652" s="3" t="inlineStr">
        <is>
          <t xml:space="preserve">TRUE</t>
        </is>
      </c>
      <c r="L652" s="3" t="inlineStr">
        <is>
          <t xml:space="preserve">VIP20</t>
        </is>
      </c>
      <c r="M652" s="6">
        <f>ROUND(E652*G652-H652,2)</f>
        <v>55.2</v>
      </c>
      <c r="N652" s="5">
        <f>IF(COUNTIF($A$3:A652,A652)=1,1,0)</f>
        <v>0</v>
      </c>
      <c r="O652" s="6">
        <f>IF(N652=1,ROUND((SUMIFS($M$3:$M$1200,$A$3:$A$1200,A652)+'Settings'!$B$13)*'Settings'!$B$14/100+'Settings'!$B$15,2),0)</f>
        <v>0</v>
      </c>
    </row>
    <row r="653">
      <c r="A653" s="3" t="inlineStr">
        <is>
          <t xml:space="preserve">#1480</t>
        </is>
      </c>
      <c r="B653" s="3" t="inlineStr">
        <is>
          <t xml:space="preserve">2026-05-13</t>
        </is>
      </c>
      <c r="C653" s="3" t="inlineStr">
        <is>
          <t xml:space="preserve">SKU-B</t>
        </is>
      </c>
      <c r="D653" s="3" t="inlineStr">
        <is>
          <t xml:space="preserve">Barrier Balm</t>
        </is>
      </c>
      <c r="E653" s="6">
        <f>IF('Settings'!$B$11="Scenario",IFERROR(INDEX('Catalogue'!$E$3:$E$100,MATCH(C653,'Catalogue'!$B$3:$B$100,0)),F653),F653)</f>
        <v>19</v>
      </c>
      <c r="F653" s="8">
        <v>19</v>
      </c>
      <c r="G653" s="3">
        <v>1</v>
      </c>
      <c r="H653" s="6">
        <f>IF('Settings'!$B$11="Scenario",ROUND(E653*G653*IFERROR(SUMIF('Pricing &amp; promotions'!$A$6:$A$8,L653,'Pricing &amp; promotions'!$B$6:$B$8)/100,0),2),J653)</f>
        <v>0.0</v>
      </c>
      <c r="I653" s="6">
        <f>ROUND((E653*G653-H653)/IF(OR(K653=TRUE,K653="TRUE",K653="YES",K653=1),1+'Settings'!$B$6/100,1),2)</f>
        <v>15.7</v>
      </c>
      <c r="J653" s="8">
        <v>0.0</v>
      </c>
      <c r="K653" s="3" t="inlineStr">
        <is>
          <t xml:space="preserve">TRUE</t>
        </is>
      </c>
      <c r="L653" s="3"/>
      <c r="M653" s="6">
        <f>ROUND(E653*G653-H653,2)</f>
        <v>19.0</v>
      </c>
      <c r="N653" s="5">
        <f>IF(COUNTIF($A$3:A653,A653)=1,1,0)</f>
        <v>1</v>
      </c>
      <c r="O653" s="6">
        <f>IF(N653=1,ROUND((SUMIFS($M$3:$M$1200,$A$3:$A$1200,A653)+'Settings'!$B$13)*'Settings'!$B$14/100+'Settings'!$B$15,2),0)</f>
        <v>0.58</v>
      </c>
    </row>
    <row r="654">
      <c r="A654" s="3" t="inlineStr">
        <is>
          <t xml:space="preserve">#1481</t>
        </is>
      </c>
      <c r="B654" s="3" t="inlineStr">
        <is>
          <t xml:space="preserve">2026-05-13</t>
        </is>
      </c>
      <c r="C654" s="3" t="inlineStr">
        <is>
          <t xml:space="preserve">SKU-A</t>
        </is>
      </c>
      <c r="D654" s="3" t="inlineStr">
        <is>
          <t xml:space="preserve">Renewal Serum</t>
        </is>
      </c>
      <c r="E654" s="6">
        <f>IF('Settings'!$B$11="Scenario",IFERROR(INDEX('Catalogue'!$E$3:$E$100,MATCH(C654,'Catalogue'!$B$3:$B$100,0)),F654),F654)</f>
        <v>69.9</v>
      </c>
      <c r="F654" s="8">
        <v>69.9</v>
      </c>
      <c r="G654" s="3">
        <v>1</v>
      </c>
      <c r="H654" s="6">
        <f>IF('Settings'!$B$11="Scenario",ROUND(E654*G654*IFERROR(SUMIF('Pricing &amp; promotions'!$A$6:$A$8,L654,'Pricing &amp; promotions'!$B$6:$B$8)/100,0),2),J654)</f>
        <v>6.99</v>
      </c>
      <c r="I654" s="6">
        <f>ROUND((E654*G654-H654)/IF(OR(K654=TRUE,K654="TRUE",K654="YES",K654=1),1+'Settings'!$B$6/100,1),2)</f>
        <v>51.99</v>
      </c>
      <c r="J654" s="8">
        <v>6.99</v>
      </c>
      <c r="K654" s="3" t="inlineStr">
        <is>
          <t xml:space="preserve">TRUE</t>
        </is>
      </c>
      <c r="L654" s="3" t="inlineStr">
        <is>
          <t xml:space="preserve">WELCOME10</t>
        </is>
      </c>
      <c r="M654" s="6">
        <f>ROUND(E654*G654-H654,2)</f>
        <v>62.91</v>
      </c>
      <c r="N654" s="5">
        <f>IF(COUNTIF($A$3:A654,A654)=1,1,0)</f>
        <v>1</v>
      </c>
      <c r="O654" s="6">
        <f>IF(N654=1,ROUND((SUMIFS($M$3:$M$1200,$A$3:$A$1200,A654)+'Settings'!$B$13)*'Settings'!$B$14/100+'Settings'!$B$15,2),0)</f>
        <v>1.49</v>
      </c>
    </row>
    <row r="655">
      <c r="A655" s="3" t="inlineStr">
        <is>
          <t xml:space="preserve">#1481</t>
        </is>
      </c>
      <c r="B655" s="3" t="inlineStr">
        <is>
          <t xml:space="preserve">2026-05-13</t>
        </is>
      </c>
      <c r="C655" s="3" t="inlineStr">
        <is>
          <t xml:space="preserve">SKU-B</t>
        </is>
      </c>
      <c r="D655" s="3" t="inlineStr">
        <is>
          <t xml:space="preserve">Barrier Balm</t>
        </is>
      </c>
      <c r="E655" s="6">
        <f>IF('Settings'!$B$11="Scenario",IFERROR(INDEX('Catalogue'!$E$3:$E$100,MATCH(C655,'Catalogue'!$B$3:$B$100,0)),F655),F655)</f>
        <v>19</v>
      </c>
      <c r="F655" s="8">
        <v>19</v>
      </c>
      <c r="G655" s="3">
        <v>1</v>
      </c>
      <c r="H655" s="6">
        <f>IF('Settings'!$B$11="Scenario",ROUND(E655*G655*IFERROR(SUMIF('Pricing &amp; promotions'!$A$6:$A$8,L655,'Pricing &amp; promotions'!$B$6:$B$8)/100,0),2),J655)</f>
        <v>1.9</v>
      </c>
      <c r="I655" s="6">
        <f>ROUND((E655*G655-H655)/IF(OR(K655=TRUE,K655="TRUE",K655="YES",K655=1),1+'Settings'!$B$6/100,1),2)</f>
        <v>14.13</v>
      </c>
      <c r="J655" s="8">
        <v>1.9</v>
      </c>
      <c r="K655" s="3" t="inlineStr">
        <is>
          <t xml:space="preserve">TRUE</t>
        </is>
      </c>
      <c r="L655" s="3" t="inlineStr">
        <is>
          <t xml:space="preserve">WELCOME10</t>
        </is>
      </c>
      <c r="M655" s="6">
        <f>ROUND(E655*G655-H655,2)</f>
        <v>17.1</v>
      </c>
      <c r="N655" s="5">
        <f>IF(COUNTIF($A$3:A655,A655)=1,1,0)</f>
        <v>0</v>
      </c>
      <c r="O655" s="6">
        <f>IF(N655=1,ROUND((SUMIFS($M$3:$M$1200,$A$3:$A$1200,A655)+'Settings'!$B$13)*'Settings'!$B$14/100+'Settings'!$B$15,2),0)</f>
        <v>0</v>
      </c>
    </row>
    <row r="656">
      <c r="A656" s="3" t="inlineStr">
        <is>
          <t xml:space="preserve">#1482</t>
        </is>
      </c>
      <c r="B656" s="3" t="inlineStr">
        <is>
          <t xml:space="preserve">2026-05-14</t>
        </is>
      </c>
      <c r="C656" s="3" t="inlineStr">
        <is>
          <t xml:space="preserve">SKU-A</t>
        </is>
      </c>
      <c r="D656" s="3" t="inlineStr">
        <is>
          <t xml:space="preserve">Renewal Serum</t>
        </is>
      </c>
      <c r="E656" s="6">
        <f>IF('Settings'!$B$11="Scenario",IFERROR(INDEX('Catalogue'!$E$3:$E$100,MATCH(C656,'Catalogue'!$B$3:$B$100,0)),F656),F656)</f>
        <v>69.9</v>
      </c>
      <c r="F656" s="8">
        <v>69.9</v>
      </c>
      <c r="G656" s="3">
        <v>1</v>
      </c>
      <c r="H656" s="6">
        <f>IF('Settings'!$B$11="Scenario",ROUND(E656*G656*IFERROR(SUMIF('Pricing &amp; promotions'!$A$6:$A$8,L656,'Pricing &amp; promotions'!$B$6:$B$8)/100,0),2),J656)</f>
        <v>0.0</v>
      </c>
      <c r="I656" s="6">
        <f>ROUND((E656*G656-H656)/IF(OR(K656=TRUE,K656="TRUE",K656="YES",K656=1),1+'Settings'!$B$6/100,1),2)</f>
        <v>57.77</v>
      </c>
      <c r="J656" s="8">
        <v>0.0</v>
      </c>
      <c r="K656" s="3" t="inlineStr">
        <is>
          <t xml:space="preserve">TRUE</t>
        </is>
      </c>
      <c r="L656" s="3"/>
      <c r="M656" s="6">
        <f>ROUND(E656*G656-H656,2)</f>
        <v>69.9</v>
      </c>
      <c r="N656" s="5">
        <f>IF(COUNTIF($A$3:A656,A656)=1,1,0)</f>
        <v>1</v>
      </c>
      <c r="O656" s="6">
        <f>IF(N656=1,ROUND((SUMIFS($M$3:$M$1200,$A$3:$A$1200,A656)+'Settings'!$B$13)*'Settings'!$B$14/100+'Settings'!$B$15,2),0)</f>
        <v>1.34</v>
      </c>
    </row>
    <row r="657">
      <c r="A657" s="3" t="inlineStr">
        <is>
          <t xml:space="preserve">#1483</t>
        </is>
      </c>
      <c r="B657" s="3" t="inlineStr">
        <is>
          <t xml:space="preserve">2026-05-14</t>
        </is>
      </c>
      <c r="C657" s="3" t="inlineStr">
        <is>
          <t xml:space="preserve">SKU-A</t>
        </is>
      </c>
      <c r="D657" s="3" t="inlineStr">
        <is>
          <t xml:space="preserve">Renewal Serum</t>
        </is>
      </c>
      <c r="E657" s="6">
        <f>IF('Settings'!$B$11="Scenario",IFERROR(INDEX('Catalogue'!$E$3:$E$100,MATCH(C657,'Catalogue'!$B$3:$B$100,0)),F657),F657)</f>
        <v>69.9</v>
      </c>
      <c r="F657" s="8">
        <v>69.9</v>
      </c>
      <c r="G657" s="3">
        <v>1</v>
      </c>
      <c r="H657" s="6">
        <f>IF('Settings'!$B$11="Scenario",ROUND(E657*G657*IFERROR(SUMIF('Pricing &amp; promotions'!$A$6:$A$8,L657,'Pricing &amp; promotions'!$B$6:$B$8)/100,0),2),J657)</f>
        <v>6.99</v>
      </c>
      <c r="I657" s="6">
        <f>ROUND((E657*G657-H657)/IF(OR(K657=TRUE,K657="TRUE",K657="YES",K657=1),1+'Settings'!$B$6/100,1),2)</f>
        <v>51.99</v>
      </c>
      <c r="J657" s="8">
        <v>6.99</v>
      </c>
      <c r="K657" s="3" t="inlineStr">
        <is>
          <t xml:space="preserve">TRUE</t>
        </is>
      </c>
      <c r="L657" s="3" t="inlineStr">
        <is>
          <t xml:space="preserve">WELCOME10</t>
        </is>
      </c>
      <c r="M657" s="6">
        <f>ROUND(E657*G657-H657,2)</f>
        <v>62.91</v>
      </c>
      <c r="N657" s="5">
        <f>IF(COUNTIF($A$3:A657,A657)=1,1,0)</f>
        <v>1</v>
      </c>
      <c r="O657" s="6">
        <f>IF(N657=1,ROUND((SUMIFS($M$3:$M$1200,$A$3:$A$1200,A657)+'Settings'!$B$13)*'Settings'!$B$14/100+'Settings'!$B$15,2),0)</f>
        <v>2.44</v>
      </c>
    </row>
    <row r="658">
      <c r="A658" s="3" t="inlineStr">
        <is>
          <t xml:space="preserve">#1483</t>
        </is>
      </c>
      <c r="B658" s="3" t="inlineStr">
        <is>
          <t xml:space="preserve">2026-05-14</t>
        </is>
      </c>
      <c r="C658" s="3" t="inlineStr">
        <is>
          <t xml:space="preserve">SKU-E</t>
        </is>
      </c>
      <c r="D658" s="3" t="inlineStr">
        <is>
          <t xml:space="preserve">Complete Ritual</t>
        </is>
      </c>
      <c r="E658" s="6">
        <f>IF('Settings'!$B$11="Scenario",IFERROR(INDEX('Catalogue'!$E$3:$E$100,MATCH(C658,'Catalogue'!$B$3:$B$100,0)),F658),F658)</f>
        <v>89</v>
      </c>
      <c r="F658" s="8">
        <v>89</v>
      </c>
      <c r="G658" s="3">
        <v>1</v>
      </c>
      <c r="H658" s="6">
        <f>IF('Settings'!$B$11="Scenario",ROUND(E658*G658*IFERROR(SUMIF('Pricing &amp; promotions'!$A$6:$A$8,L658,'Pricing &amp; promotions'!$B$6:$B$8)/100,0),2),J658)</f>
        <v>8.9</v>
      </c>
      <c r="I658" s="6">
        <f>ROUND((E658*G658-H658)/IF(OR(K658=TRUE,K658="TRUE",K658="YES",K658=1),1+'Settings'!$B$6/100,1),2)</f>
        <v>66.2</v>
      </c>
      <c r="J658" s="8">
        <v>8.9</v>
      </c>
      <c r="K658" s="3" t="inlineStr">
        <is>
          <t xml:space="preserve">TRUE</t>
        </is>
      </c>
      <c r="L658" s="3" t="inlineStr">
        <is>
          <t xml:space="preserve">WELCOME10</t>
        </is>
      </c>
      <c r="M658" s="6">
        <f>ROUND(E658*G658-H658,2)</f>
        <v>80.1</v>
      </c>
      <c r="N658" s="5">
        <f>IF(COUNTIF($A$3:A658,A658)=1,1,0)</f>
        <v>0</v>
      </c>
      <c r="O658" s="6">
        <f>IF(N658=1,ROUND((SUMIFS($M$3:$M$1200,$A$3:$A$1200,A658)+'Settings'!$B$13)*'Settings'!$B$14/100+'Settings'!$B$15,2),0)</f>
        <v>0</v>
      </c>
    </row>
    <row r="659">
      <c r="A659" s="3" t="inlineStr">
        <is>
          <t xml:space="preserve">#1484</t>
        </is>
      </c>
      <c r="B659" s="3" t="inlineStr">
        <is>
          <t xml:space="preserve">2026-05-14</t>
        </is>
      </c>
      <c r="C659" s="3" t="inlineStr">
        <is>
          <t xml:space="preserve">SKU-E</t>
        </is>
      </c>
      <c r="D659" s="3" t="inlineStr">
        <is>
          <t xml:space="preserve">Complete Ritual</t>
        </is>
      </c>
      <c r="E659" s="6">
        <f>IF('Settings'!$B$11="Scenario",IFERROR(INDEX('Catalogue'!$E$3:$E$100,MATCH(C659,'Catalogue'!$B$3:$B$100,0)),F659),F659)</f>
        <v>89</v>
      </c>
      <c r="F659" s="8">
        <v>89</v>
      </c>
      <c r="G659" s="3">
        <v>1</v>
      </c>
      <c r="H659" s="6">
        <f>IF('Settings'!$B$11="Scenario",ROUND(E659*G659*IFERROR(SUMIF('Pricing &amp; promotions'!$A$6:$A$8,L659,'Pricing &amp; promotions'!$B$6:$B$8)/100,0),2),J659)</f>
        <v>0.0</v>
      </c>
      <c r="I659" s="6">
        <f>ROUND((E659*G659-H659)/IF(OR(K659=TRUE,K659="TRUE",K659="YES",K659=1),1+'Settings'!$B$6/100,1),2)</f>
        <v>73.55</v>
      </c>
      <c r="J659" s="8">
        <v>0.0</v>
      </c>
      <c r="K659" s="3" t="inlineStr">
        <is>
          <t xml:space="preserve">TRUE</t>
        </is>
      </c>
      <c r="L659" s="3"/>
      <c r="M659" s="6">
        <f>ROUND(E659*G659-H659,2)</f>
        <v>89.0</v>
      </c>
      <c r="N659" s="5">
        <f>IF(COUNTIF($A$3:A659,A659)=1,1,0)</f>
        <v>1</v>
      </c>
      <c r="O659" s="6">
        <f>IF(N659=1,ROUND((SUMIFS($M$3:$M$1200,$A$3:$A$1200,A659)+'Settings'!$B$13)*'Settings'!$B$14/100+'Settings'!$B$15,2),0)</f>
        <v>1.63</v>
      </c>
    </row>
    <row r="660">
      <c r="A660" s="3" t="inlineStr">
        <is>
          <t xml:space="preserve">#1485</t>
        </is>
      </c>
      <c r="B660" s="3" t="inlineStr">
        <is>
          <t xml:space="preserve">2026-05-15</t>
        </is>
      </c>
      <c r="C660" s="3" t="inlineStr">
        <is>
          <t xml:space="preserve">SKU-A</t>
        </is>
      </c>
      <c r="D660" s="3" t="inlineStr">
        <is>
          <t xml:space="preserve">Renewal Serum</t>
        </is>
      </c>
      <c r="E660" s="6">
        <f>IF('Settings'!$B$11="Scenario",IFERROR(INDEX('Catalogue'!$E$3:$E$100,MATCH(C660,'Catalogue'!$B$3:$B$100,0)),F660),F660)</f>
        <v>69.9</v>
      </c>
      <c r="F660" s="8">
        <v>69.9</v>
      </c>
      <c r="G660" s="3">
        <v>1</v>
      </c>
      <c r="H660" s="6">
        <f>IF('Settings'!$B$11="Scenario",ROUND(E660*G660*IFERROR(SUMIF('Pricing &amp; promotions'!$A$6:$A$8,L660,'Pricing &amp; promotions'!$B$6:$B$8)/100,0),2),J660)</f>
        <v>0.0</v>
      </c>
      <c r="I660" s="6">
        <f>ROUND((E660*G660-H660)/IF(OR(K660=TRUE,K660="TRUE",K660="YES",K660=1),1+'Settings'!$B$6/100,1),2)</f>
        <v>57.77</v>
      </c>
      <c r="J660" s="8">
        <v>0.0</v>
      </c>
      <c r="K660" s="3" t="inlineStr">
        <is>
          <t xml:space="preserve">TRUE</t>
        </is>
      </c>
      <c r="L660" s="3"/>
      <c r="M660" s="6">
        <f>ROUND(E660*G660-H660,2)</f>
        <v>69.9</v>
      </c>
      <c r="N660" s="5">
        <f>IF(COUNTIF($A$3:A660,A660)=1,1,0)</f>
        <v>1</v>
      </c>
      <c r="O660" s="6">
        <f>IF(N660=1,ROUND((SUMIFS($M$3:$M$1200,$A$3:$A$1200,A660)+'Settings'!$B$13)*'Settings'!$B$14/100+'Settings'!$B$15,2),0)</f>
        <v>1.34</v>
      </c>
    </row>
    <row r="661">
      <c r="A661" s="3" t="inlineStr">
        <is>
          <t xml:space="preserve">#1486</t>
        </is>
      </c>
      <c r="B661" s="3" t="inlineStr">
        <is>
          <t xml:space="preserve">2026-05-16</t>
        </is>
      </c>
      <c r="C661" s="3" t="inlineStr">
        <is>
          <t xml:space="preserve">SKU-D</t>
        </is>
      </c>
      <c r="D661" s="3" t="inlineStr">
        <is>
          <t xml:space="preserve">Daily Duo</t>
        </is>
      </c>
      <c r="E661" s="6">
        <f>IF('Settings'!$B$11="Scenario",IFERROR(INDEX('Catalogue'!$E$3:$E$100,MATCH(C661,'Catalogue'!$B$3:$B$100,0)),F661),F661)</f>
        <v>79</v>
      </c>
      <c r="F661" s="8">
        <v>79</v>
      </c>
      <c r="G661" s="3">
        <v>1</v>
      </c>
      <c r="H661" s="6">
        <f>IF('Settings'!$B$11="Scenario",ROUND(E661*G661*IFERROR(SUMIF('Pricing &amp; promotions'!$A$6:$A$8,L661,'Pricing &amp; promotions'!$B$6:$B$8)/100,0),2),J661)</f>
        <v>0.0</v>
      </c>
      <c r="I661" s="6">
        <f>ROUND((E661*G661-H661)/IF(OR(K661=TRUE,K661="TRUE",K661="YES",K661=1),1+'Settings'!$B$6/100,1),2)</f>
        <v>65.29</v>
      </c>
      <c r="J661" s="8">
        <v>0.0</v>
      </c>
      <c r="K661" s="3" t="inlineStr">
        <is>
          <t xml:space="preserve">TRUE</t>
        </is>
      </c>
      <c r="L661" s="3"/>
      <c r="M661" s="6">
        <f>ROUND(E661*G661-H661,2)</f>
        <v>79.0</v>
      </c>
      <c r="N661" s="5">
        <f>IF(COUNTIF($A$3:A661,A661)=1,1,0)</f>
        <v>1</v>
      </c>
      <c r="O661" s="6">
        <f>IF(N661=1,ROUND((SUMIFS($M$3:$M$1200,$A$3:$A$1200,A661)+'Settings'!$B$13)*'Settings'!$B$14/100+'Settings'!$B$15,2),0)</f>
        <v>2.81</v>
      </c>
    </row>
    <row r="662">
      <c r="A662" s="3" t="inlineStr">
        <is>
          <t xml:space="preserve">#1486</t>
        </is>
      </c>
      <c r="B662" s="3" t="inlineStr">
        <is>
          <t xml:space="preserve">2026-05-16</t>
        </is>
      </c>
      <c r="C662" s="3" t="inlineStr">
        <is>
          <t xml:space="preserve">SKU-E</t>
        </is>
      </c>
      <c r="D662" s="3" t="inlineStr">
        <is>
          <t xml:space="preserve">Complete Ritual</t>
        </is>
      </c>
      <c r="E662" s="6">
        <f>IF('Settings'!$B$11="Scenario",IFERROR(INDEX('Catalogue'!$E$3:$E$100,MATCH(C662,'Catalogue'!$B$3:$B$100,0)),F662),F662)</f>
        <v>89</v>
      </c>
      <c r="F662" s="8">
        <v>89</v>
      </c>
      <c r="G662" s="3">
        <v>1</v>
      </c>
      <c r="H662" s="6">
        <f>IF('Settings'!$B$11="Scenario",ROUND(E662*G662*IFERROR(SUMIF('Pricing &amp; promotions'!$A$6:$A$8,L662,'Pricing &amp; promotions'!$B$6:$B$8)/100,0),2),J662)</f>
        <v>0.0</v>
      </c>
      <c r="I662" s="6">
        <f>ROUND((E662*G662-H662)/IF(OR(K662=TRUE,K662="TRUE",K662="YES",K662=1),1+'Settings'!$B$6/100,1),2)</f>
        <v>73.55</v>
      </c>
      <c r="J662" s="8">
        <v>0.0</v>
      </c>
      <c r="K662" s="3" t="inlineStr">
        <is>
          <t xml:space="preserve">TRUE</t>
        </is>
      </c>
      <c r="L662" s="3"/>
      <c r="M662" s="6">
        <f>ROUND(E662*G662-H662,2)</f>
        <v>89.0</v>
      </c>
      <c r="N662" s="5">
        <f>IF(COUNTIF($A$3:A662,A662)=1,1,0)</f>
        <v>0</v>
      </c>
      <c r="O662" s="6">
        <f>IF(N662=1,ROUND((SUMIFS($M$3:$M$1200,$A$3:$A$1200,A662)+'Settings'!$B$13)*'Settings'!$B$14/100+'Settings'!$B$15,2),0)</f>
        <v>0</v>
      </c>
    </row>
    <row r="663">
      <c r="A663" s="3" t="inlineStr">
        <is>
          <t xml:space="preserve">#1487</t>
        </is>
      </c>
      <c r="B663" s="3" t="inlineStr">
        <is>
          <t xml:space="preserve">2026-05-16</t>
        </is>
      </c>
      <c r="C663" s="3" t="inlineStr">
        <is>
          <t xml:space="preserve">SKU-G</t>
        </is>
      </c>
      <c r="D663" s="3" t="inlineStr">
        <is>
          <t xml:space="preserve">Daily Reset Set</t>
        </is>
      </c>
      <c r="E663" s="6">
        <f>IF('Settings'!$B$11="Scenario",IFERROR(INDEX('Catalogue'!$E$3:$E$100,MATCH(C663,'Catalogue'!$B$3:$B$100,0)),F663),F663)</f>
        <v>69</v>
      </c>
      <c r="F663" s="8">
        <v>69</v>
      </c>
      <c r="G663" s="3">
        <v>1</v>
      </c>
      <c r="H663" s="6">
        <f>IF('Settings'!$B$11="Scenario",ROUND(E663*G663*IFERROR(SUMIF('Pricing &amp; promotions'!$A$6:$A$8,L663,'Pricing &amp; promotions'!$B$6:$B$8)/100,0),2),J663)</f>
        <v>6.9</v>
      </c>
      <c r="I663" s="6">
        <f>ROUND((E663*G663-H663)/IF(OR(K663=TRUE,K663="TRUE",K663="YES",K663=1),1+'Settings'!$B$6/100,1),2)</f>
        <v>51.32</v>
      </c>
      <c r="J663" s="8">
        <v>6.9</v>
      </c>
      <c r="K663" s="3" t="inlineStr">
        <is>
          <t xml:space="preserve">TRUE</t>
        </is>
      </c>
      <c r="L663" s="3" t="inlineStr">
        <is>
          <t xml:space="preserve">WELCOME10</t>
        </is>
      </c>
      <c r="M663" s="6">
        <f>ROUND(E663*G663-H663,2)</f>
        <v>62.1</v>
      </c>
      <c r="N663" s="5">
        <f>IF(COUNTIF($A$3:A663,A663)=1,1,0)</f>
        <v>1</v>
      </c>
      <c r="O663" s="6">
        <f>IF(N663=1,ROUND((SUMIFS($M$3:$M$1200,$A$3:$A$1200,A663)+'Settings'!$B$13)*'Settings'!$B$14/100+'Settings'!$B$15,2),0)</f>
        <v>1.62</v>
      </c>
    </row>
    <row r="664">
      <c r="A664" s="3" t="inlineStr">
        <is>
          <t xml:space="preserve">#1487</t>
        </is>
      </c>
      <c r="B664" s="3" t="inlineStr">
        <is>
          <t xml:space="preserve">2026-05-16</t>
        </is>
      </c>
      <c r="C664" s="3" t="inlineStr">
        <is>
          <t xml:space="preserve">SKU-C</t>
        </is>
      </c>
      <c r="D664" s="3" t="inlineStr">
        <is>
          <t xml:space="preserve">Contour Stone</t>
        </is>
      </c>
      <c r="E664" s="6">
        <f>IF('Settings'!$B$11="Scenario",IFERROR(INDEX('Catalogue'!$E$3:$E$100,MATCH(C664,'Catalogue'!$B$3:$B$100,0)),F664),F664)</f>
        <v>29</v>
      </c>
      <c r="F664" s="8">
        <v>29</v>
      </c>
      <c r="G664" s="3">
        <v>1</v>
      </c>
      <c r="H664" s="6">
        <f>IF('Settings'!$B$11="Scenario",ROUND(E664*G664*IFERROR(SUMIF('Pricing &amp; promotions'!$A$6:$A$8,L664,'Pricing &amp; promotions'!$B$6:$B$8)/100,0),2),J664)</f>
        <v>2.9</v>
      </c>
      <c r="I664" s="6">
        <f>ROUND((E664*G664-H664)/IF(OR(K664=TRUE,K664="TRUE",K664="YES",K664=1),1+'Settings'!$B$6/100,1),2)</f>
        <v>21.57</v>
      </c>
      <c r="J664" s="8">
        <v>2.9</v>
      </c>
      <c r="K664" s="3" t="inlineStr">
        <is>
          <t xml:space="preserve">TRUE</t>
        </is>
      </c>
      <c r="L664" s="3" t="inlineStr">
        <is>
          <t xml:space="preserve">WELCOME10</t>
        </is>
      </c>
      <c r="M664" s="6">
        <f>ROUND(E664*G664-H664,2)</f>
        <v>26.1</v>
      </c>
      <c r="N664" s="5">
        <f>IF(COUNTIF($A$3:A664,A664)=1,1,0)</f>
        <v>0</v>
      </c>
      <c r="O664" s="6">
        <f>IF(N664=1,ROUND((SUMIFS($M$3:$M$1200,$A$3:$A$1200,A664)+'Settings'!$B$13)*'Settings'!$B$14/100+'Settings'!$B$15,2),0)</f>
        <v>0</v>
      </c>
    </row>
    <row r="665">
      <c r="A665" s="3" t="inlineStr">
        <is>
          <t xml:space="preserve">#1488</t>
        </is>
      </c>
      <c r="B665" s="3" t="inlineStr">
        <is>
          <t xml:space="preserve">2026-05-17</t>
        </is>
      </c>
      <c r="C665" s="3" t="inlineStr">
        <is>
          <t xml:space="preserve">SKU-C</t>
        </is>
      </c>
      <c r="D665" s="3" t="inlineStr">
        <is>
          <t xml:space="preserve">Contour Stone</t>
        </is>
      </c>
      <c r="E665" s="6">
        <f>IF('Settings'!$B$11="Scenario",IFERROR(INDEX('Catalogue'!$E$3:$E$100,MATCH(C665,'Catalogue'!$B$3:$B$100,0)),F665),F665)</f>
        <v>29</v>
      </c>
      <c r="F665" s="8">
        <v>29</v>
      </c>
      <c r="G665" s="3">
        <v>1</v>
      </c>
      <c r="H665" s="6">
        <f>IF('Settings'!$B$11="Scenario",ROUND(E665*G665*IFERROR(SUMIF('Pricing &amp; promotions'!$A$6:$A$8,L665,'Pricing &amp; promotions'!$B$6:$B$8)/100,0),2),J665)</f>
        <v>5.8</v>
      </c>
      <c r="I665" s="6">
        <f>ROUND((E665*G665-H665)/IF(OR(K665=TRUE,K665="TRUE",K665="YES",K665=1),1+'Settings'!$B$6/100,1),2)</f>
        <v>19.17</v>
      </c>
      <c r="J665" s="8">
        <v>5.8</v>
      </c>
      <c r="K665" s="3" t="inlineStr">
        <is>
          <t xml:space="preserve">TRUE</t>
        </is>
      </c>
      <c r="L665" s="3" t="inlineStr">
        <is>
          <t xml:space="preserve">VIP20</t>
        </is>
      </c>
      <c r="M665" s="6">
        <f>ROUND(E665*G665-H665,2)</f>
        <v>23.2</v>
      </c>
      <c r="N665" s="5">
        <f>IF(COUNTIF($A$3:A665,A665)=1,1,0)</f>
        <v>1</v>
      </c>
      <c r="O665" s="6">
        <f>IF(N665=1,ROUND((SUMIFS($M$3:$M$1200,$A$3:$A$1200,A665)+'Settings'!$B$13)*'Settings'!$B$14/100+'Settings'!$B$15,2),0)</f>
        <v>1.48</v>
      </c>
    </row>
    <row r="666">
      <c r="A666" s="3" t="inlineStr">
        <is>
          <t xml:space="preserve">#1488</t>
        </is>
      </c>
      <c r="B666" s="3" t="inlineStr">
        <is>
          <t xml:space="preserve">2026-05-17</t>
        </is>
      </c>
      <c r="C666" s="3" t="inlineStr">
        <is>
          <t xml:space="preserve">SKU-A</t>
        </is>
      </c>
      <c r="D666" s="3" t="inlineStr">
        <is>
          <t xml:space="preserve">Renewal Serum</t>
        </is>
      </c>
      <c r="E666" s="6">
        <f>IF('Settings'!$B$11="Scenario",IFERROR(INDEX('Catalogue'!$E$3:$E$100,MATCH(C666,'Catalogue'!$B$3:$B$100,0)),F666),F666)</f>
        <v>69.9</v>
      </c>
      <c r="F666" s="8">
        <v>69.9</v>
      </c>
      <c r="G666" s="3">
        <v>1</v>
      </c>
      <c r="H666" s="6">
        <f>IF('Settings'!$B$11="Scenario",ROUND(E666*G666*IFERROR(SUMIF('Pricing &amp; promotions'!$A$6:$A$8,L666,'Pricing &amp; promotions'!$B$6:$B$8)/100,0),2),J666)</f>
        <v>13.98</v>
      </c>
      <c r="I666" s="6">
        <f>ROUND((E666*G666-H666)/IF(OR(K666=TRUE,K666="TRUE",K666="YES",K666=1),1+'Settings'!$B$6/100,1),2)</f>
        <v>46.21</v>
      </c>
      <c r="J666" s="8">
        <v>13.98</v>
      </c>
      <c r="K666" s="3" t="inlineStr">
        <is>
          <t xml:space="preserve">TRUE</t>
        </is>
      </c>
      <c r="L666" s="3" t="inlineStr">
        <is>
          <t xml:space="preserve">VIP20</t>
        </is>
      </c>
      <c r="M666" s="6">
        <f>ROUND(E666*G666-H666,2)</f>
        <v>55.92</v>
      </c>
      <c r="N666" s="5">
        <f>IF(COUNTIF($A$3:A666,A666)=1,1,0)</f>
        <v>0</v>
      </c>
      <c r="O666" s="6">
        <f>IF(N666=1,ROUND((SUMIFS($M$3:$M$1200,$A$3:$A$1200,A666)+'Settings'!$B$13)*'Settings'!$B$14/100+'Settings'!$B$15,2),0)</f>
        <v>0</v>
      </c>
    </row>
    <row r="667">
      <c r="A667" s="3" t="inlineStr">
        <is>
          <t xml:space="preserve">#1489</t>
        </is>
      </c>
      <c r="B667" s="3" t="inlineStr">
        <is>
          <t xml:space="preserve">2026-05-17</t>
        </is>
      </c>
      <c r="C667" s="3" t="inlineStr">
        <is>
          <t xml:space="preserve">SKU-B</t>
        </is>
      </c>
      <c r="D667" s="3" t="inlineStr">
        <is>
          <t xml:space="preserve">Barrier Balm</t>
        </is>
      </c>
      <c r="E667" s="6">
        <f>IF('Settings'!$B$11="Scenario",IFERROR(INDEX('Catalogue'!$E$3:$E$100,MATCH(C667,'Catalogue'!$B$3:$B$100,0)),F667),F667)</f>
        <v>19</v>
      </c>
      <c r="F667" s="8">
        <v>19</v>
      </c>
      <c r="G667" s="3">
        <v>2</v>
      </c>
      <c r="H667" s="6">
        <f>IF('Settings'!$B$11="Scenario",ROUND(E667*G667*IFERROR(SUMIF('Pricing &amp; promotions'!$A$6:$A$8,L667,'Pricing &amp; promotions'!$B$6:$B$8)/100,0),2),J667)</f>
        <v>0.0</v>
      </c>
      <c r="I667" s="6">
        <f>ROUND((E667*G667-H667)/IF(OR(K667=TRUE,K667="TRUE",K667="YES",K667=1),1+'Settings'!$B$6/100,1),2)</f>
        <v>31.4</v>
      </c>
      <c r="J667" s="8">
        <v>0.0</v>
      </c>
      <c r="K667" s="3" t="inlineStr">
        <is>
          <t xml:space="preserve">TRUE</t>
        </is>
      </c>
      <c r="L667" s="3"/>
      <c r="M667" s="6">
        <f>ROUND(E667*G667-H667,2)</f>
        <v>38.0</v>
      </c>
      <c r="N667" s="5">
        <f>IF(COUNTIF($A$3:A667,A667)=1,1,0)</f>
        <v>1</v>
      </c>
      <c r="O667" s="6">
        <f>IF(N667=1,ROUND((SUMIFS($M$3:$M$1200,$A$3:$A$1200,A667)+'Settings'!$B$13)*'Settings'!$B$14/100+'Settings'!$B$15,2),0)</f>
        <v>3.23</v>
      </c>
    </row>
    <row r="668">
      <c r="A668" s="3" t="inlineStr">
        <is>
          <t xml:space="preserve">#1489</t>
        </is>
      </c>
      <c r="B668" s="3" t="inlineStr">
        <is>
          <t xml:space="preserve">2026-05-17</t>
        </is>
      </c>
      <c r="C668" s="3" t="inlineStr">
        <is>
          <t xml:space="preserve">SKU-D</t>
        </is>
      </c>
      <c r="D668" s="3" t="inlineStr">
        <is>
          <t xml:space="preserve">Daily Duo</t>
        </is>
      </c>
      <c r="E668" s="6">
        <f>IF('Settings'!$B$11="Scenario",IFERROR(INDEX('Catalogue'!$E$3:$E$100,MATCH(C668,'Catalogue'!$B$3:$B$100,0)),F668),F668)</f>
        <v>79</v>
      </c>
      <c r="F668" s="8">
        <v>79</v>
      </c>
      <c r="G668" s="3">
        <v>2</v>
      </c>
      <c r="H668" s="6">
        <f>IF('Settings'!$B$11="Scenario",ROUND(E668*G668*IFERROR(SUMIF('Pricing &amp; promotions'!$A$6:$A$8,L668,'Pricing &amp; promotions'!$B$6:$B$8)/100,0),2),J668)</f>
        <v>0.0</v>
      </c>
      <c r="I668" s="6">
        <f>ROUND((E668*G668-H668)/IF(OR(K668=TRUE,K668="TRUE",K668="YES",K668=1),1+'Settings'!$B$6/100,1),2)</f>
        <v>130.58</v>
      </c>
      <c r="J668" s="8">
        <v>0.0</v>
      </c>
      <c r="K668" s="3" t="inlineStr">
        <is>
          <t xml:space="preserve">TRUE</t>
        </is>
      </c>
      <c r="L668" s="3"/>
      <c r="M668" s="6">
        <f>ROUND(E668*G668-H668,2)</f>
        <v>158.0</v>
      </c>
      <c r="N668" s="5">
        <f>IF(COUNTIF($A$3:A668,A668)=1,1,0)</f>
        <v>0</v>
      </c>
      <c r="O668" s="6">
        <f>IF(N668=1,ROUND((SUMIFS($M$3:$M$1200,$A$3:$A$1200,A668)+'Settings'!$B$13)*'Settings'!$B$14/100+'Settings'!$B$15,2),0)</f>
        <v>0</v>
      </c>
    </row>
    <row r="669">
      <c r="A669" s="3" t="inlineStr">
        <is>
          <t xml:space="preserve">#1490</t>
        </is>
      </c>
      <c r="B669" s="3" t="inlineStr">
        <is>
          <t xml:space="preserve">2026-05-19</t>
        </is>
      </c>
      <c r="C669" s="3" t="inlineStr">
        <is>
          <t xml:space="preserve">SKU-E</t>
        </is>
      </c>
      <c r="D669" s="3" t="inlineStr">
        <is>
          <t xml:space="preserve">Complete Ritual</t>
        </is>
      </c>
      <c r="E669" s="6">
        <f>IF('Settings'!$B$11="Scenario",IFERROR(INDEX('Catalogue'!$E$3:$E$100,MATCH(C669,'Catalogue'!$B$3:$B$100,0)),F669),F669)</f>
        <v>89</v>
      </c>
      <c r="F669" s="8">
        <v>89</v>
      </c>
      <c r="G669" s="3">
        <v>1</v>
      </c>
      <c r="H669" s="6">
        <f>IF('Settings'!$B$11="Scenario",ROUND(E669*G669*IFERROR(SUMIF('Pricing &amp; promotions'!$A$6:$A$8,L669,'Pricing &amp; promotions'!$B$6:$B$8)/100,0),2),J669)</f>
        <v>13.35</v>
      </c>
      <c r="I669" s="6">
        <f>ROUND((E669*G669-H669)/IF(OR(K669=TRUE,K669="TRUE",K669="YES",K669=1),1+'Settings'!$B$6/100,1),2)</f>
        <v>62.52</v>
      </c>
      <c r="J669" s="8">
        <v>13.35</v>
      </c>
      <c r="K669" s="3" t="inlineStr">
        <is>
          <t xml:space="preserve">TRUE</t>
        </is>
      </c>
      <c r="L669" s="3" t="inlineStr">
        <is>
          <t xml:space="preserve">SUMMER15</t>
        </is>
      </c>
      <c r="M669" s="6">
        <f>ROUND(E669*G669-H669,2)</f>
        <v>75.65</v>
      </c>
      <c r="N669" s="5">
        <f>IF(COUNTIF($A$3:A669,A669)=1,1,0)</f>
        <v>1</v>
      </c>
      <c r="O669" s="6">
        <f>IF(N669=1,ROUND((SUMIFS($M$3:$M$1200,$A$3:$A$1200,A669)+'Settings'!$B$13)*'Settings'!$B$14/100+'Settings'!$B$15,2),0)</f>
        <v>2.75</v>
      </c>
    </row>
    <row r="670">
      <c r="A670" s="3" t="inlineStr">
        <is>
          <t xml:space="preserve">#1490</t>
        </is>
      </c>
      <c r="B670" s="3" t="inlineStr">
        <is>
          <t xml:space="preserve">2026-05-19</t>
        </is>
      </c>
      <c r="C670" s="3" t="inlineStr">
        <is>
          <t xml:space="preserve">SKU-F</t>
        </is>
      </c>
      <c r="D670" s="3" t="inlineStr">
        <is>
          <t xml:space="preserve">Cloud Cleanser</t>
        </is>
      </c>
      <c r="E670" s="6">
        <f>IF('Settings'!$B$11="Scenario",IFERROR(INDEX('Catalogue'!$E$3:$E$100,MATCH(C670,'Catalogue'!$B$3:$B$100,0)),F670),F670)</f>
        <v>34</v>
      </c>
      <c r="F670" s="8">
        <v>34</v>
      </c>
      <c r="G670" s="3">
        <v>1</v>
      </c>
      <c r="H670" s="6">
        <f>IF('Settings'!$B$11="Scenario",ROUND(E670*G670*IFERROR(SUMIF('Pricing &amp; promotions'!$A$6:$A$8,L670,'Pricing &amp; promotions'!$B$6:$B$8)/100,0),2),J670)</f>
        <v>5.1</v>
      </c>
      <c r="I670" s="6">
        <f>ROUND((E670*G670-H670)/IF(OR(K670=TRUE,K670="TRUE",K670="YES",K670=1),1+'Settings'!$B$6/100,1),2)</f>
        <v>23.88</v>
      </c>
      <c r="J670" s="8">
        <v>5.1</v>
      </c>
      <c r="K670" s="3" t="inlineStr">
        <is>
          <t xml:space="preserve">TRUE</t>
        </is>
      </c>
      <c r="L670" s="3" t="inlineStr">
        <is>
          <t xml:space="preserve">SUMMER15</t>
        </is>
      </c>
      <c r="M670" s="6">
        <f>ROUND(E670*G670-H670,2)</f>
        <v>28.9</v>
      </c>
      <c r="N670" s="5">
        <f>IF(COUNTIF($A$3:A670,A670)=1,1,0)</f>
        <v>0</v>
      </c>
      <c r="O670" s="6">
        <f>IF(N670=1,ROUND((SUMIFS($M$3:$M$1200,$A$3:$A$1200,A670)+'Settings'!$B$13)*'Settings'!$B$14/100+'Settings'!$B$15,2),0)</f>
        <v>0</v>
      </c>
    </row>
    <row r="671">
      <c r="A671" s="3" t="inlineStr">
        <is>
          <t xml:space="preserve">#1490</t>
        </is>
      </c>
      <c r="B671" s="3" t="inlineStr">
        <is>
          <t xml:space="preserve">2026-05-19</t>
        </is>
      </c>
      <c r="C671" s="3" t="inlineStr">
        <is>
          <t xml:space="preserve">SKU-A</t>
        </is>
      </c>
      <c r="D671" s="3" t="inlineStr">
        <is>
          <t xml:space="preserve">Renewal Serum</t>
        </is>
      </c>
      <c r="E671" s="6">
        <f>IF('Settings'!$B$11="Scenario",IFERROR(INDEX('Catalogue'!$E$3:$E$100,MATCH(C671,'Catalogue'!$B$3:$B$100,0)),F671),F671)</f>
        <v>69.9</v>
      </c>
      <c r="F671" s="8">
        <v>69.9</v>
      </c>
      <c r="G671" s="3">
        <v>1</v>
      </c>
      <c r="H671" s="6">
        <f>IF('Settings'!$B$11="Scenario",ROUND(E671*G671*IFERROR(SUMIF('Pricing &amp; promotions'!$A$6:$A$8,L671,'Pricing &amp; promotions'!$B$6:$B$8)/100,0),2),J671)</f>
        <v>10.49</v>
      </c>
      <c r="I671" s="6">
        <f>ROUND((E671*G671-H671)/IF(OR(K671=TRUE,K671="TRUE",K671="YES",K671=1),1+'Settings'!$B$6/100,1),2)</f>
        <v>49.1</v>
      </c>
      <c r="J671" s="8">
        <v>10.49</v>
      </c>
      <c r="K671" s="3" t="inlineStr">
        <is>
          <t xml:space="preserve">TRUE</t>
        </is>
      </c>
      <c r="L671" s="3" t="inlineStr">
        <is>
          <t xml:space="preserve">SUMMER15</t>
        </is>
      </c>
      <c r="M671" s="6">
        <f>ROUND(E671*G671-H671,2)</f>
        <v>59.41</v>
      </c>
      <c r="N671" s="5">
        <f>IF(COUNTIF($A$3:A671,A671)=1,1,0)</f>
        <v>0</v>
      </c>
      <c r="O671" s="6">
        <f>IF(N671=1,ROUND((SUMIFS($M$3:$M$1200,$A$3:$A$1200,A671)+'Settings'!$B$13)*'Settings'!$B$14/100+'Settings'!$B$15,2),0)</f>
        <v>0</v>
      </c>
    </row>
    <row r="672">
      <c r="A672" s="3" t="inlineStr">
        <is>
          <t xml:space="preserve">#1491</t>
        </is>
      </c>
      <c r="B672" s="3" t="inlineStr">
        <is>
          <t xml:space="preserve">2026-05-20</t>
        </is>
      </c>
      <c r="C672" s="3" t="inlineStr">
        <is>
          <t xml:space="preserve">SKU-E</t>
        </is>
      </c>
      <c r="D672" s="3" t="inlineStr">
        <is>
          <t xml:space="preserve">Complete Ritual</t>
        </is>
      </c>
      <c r="E672" s="6">
        <f>IF('Settings'!$B$11="Scenario",IFERROR(INDEX('Catalogue'!$E$3:$E$100,MATCH(C672,'Catalogue'!$B$3:$B$100,0)),F672),F672)</f>
        <v>89</v>
      </c>
      <c r="F672" s="8">
        <v>89</v>
      </c>
      <c r="G672" s="3">
        <v>1</v>
      </c>
      <c r="H672" s="6">
        <f>IF('Settings'!$B$11="Scenario",ROUND(E672*G672*IFERROR(SUMIF('Pricing &amp; promotions'!$A$6:$A$8,L672,'Pricing &amp; promotions'!$B$6:$B$8)/100,0),2),J672)</f>
        <v>8.9</v>
      </c>
      <c r="I672" s="6">
        <f>ROUND((E672*G672-H672)/IF(OR(K672=TRUE,K672="TRUE",K672="YES",K672=1),1+'Settings'!$B$6/100,1),2)</f>
        <v>66.2</v>
      </c>
      <c r="J672" s="8">
        <v>8.9</v>
      </c>
      <c r="K672" s="3" t="inlineStr">
        <is>
          <t xml:space="preserve">TRUE</t>
        </is>
      </c>
      <c r="L672" s="3" t="inlineStr">
        <is>
          <t xml:space="preserve">WELCOME10</t>
        </is>
      </c>
      <c r="M672" s="6">
        <f>ROUND(E672*G672-H672,2)</f>
        <v>80.1</v>
      </c>
      <c r="N672" s="5">
        <f>IF(COUNTIF($A$3:A672,A672)=1,1,0)</f>
        <v>1</v>
      </c>
      <c r="O672" s="6">
        <f>IF(N672=1,ROUND((SUMIFS($M$3:$M$1200,$A$3:$A$1200,A672)+'Settings'!$B$13)*'Settings'!$B$14/100+'Settings'!$B$15,2),0)</f>
        <v>1.5</v>
      </c>
    </row>
    <row r="673">
      <c r="A673" s="3" t="inlineStr">
        <is>
          <t xml:space="preserve">#1492</t>
        </is>
      </c>
      <c r="B673" s="3" t="inlineStr">
        <is>
          <t xml:space="preserve">2026-05-20</t>
        </is>
      </c>
      <c r="C673" s="3" t="inlineStr">
        <is>
          <t xml:space="preserve">SKU-D</t>
        </is>
      </c>
      <c r="D673" s="3" t="inlineStr">
        <is>
          <t xml:space="preserve">Daily Duo</t>
        </is>
      </c>
      <c r="E673" s="6">
        <f>IF('Settings'!$B$11="Scenario",IFERROR(INDEX('Catalogue'!$E$3:$E$100,MATCH(C673,'Catalogue'!$B$3:$B$100,0)),F673),F673)</f>
        <v>79</v>
      </c>
      <c r="F673" s="8">
        <v>79</v>
      </c>
      <c r="G673" s="3">
        <v>1</v>
      </c>
      <c r="H673" s="6">
        <f>IF('Settings'!$B$11="Scenario",ROUND(E673*G673*IFERROR(SUMIF('Pricing &amp; promotions'!$A$6:$A$8,L673,'Pricing &amp; promotions'!$B$6:$B$8)/100,0),2),J673)</f>
        <v>11.85</v>
      </c>
      <c r="I673" s="6">
        <f>ROUND((E673*G673-H673)/IF(OR(K673=TRUE,K673="TRUE",K673="YES",K673=1),1+'Settings'!$B$6/100,1),2)</f>
        <v>55.5</v>
      </c>
      <c r="J673" s="8">
        <v>11.85</v>
      </c>
      <c r="K673" s="3" t="inlineStr">
        <is>
          <t xml:space="preserve">TRUE</t>
        </is>
      </c>
      <c r="L673" s="3" t="inlineStr">
        <is>
          <t xml:space="preserve">SUMMER15</t>
        </is>
      </c>
      <c r="M673" s="6">
        <f>ROUND(E673*G673-H673,2)</f>
        <v>67.15</v>
      </c>
      <c r="N673" s="5">
        <f>IF(COUNTIF($A$3:A673,A673)=1,1,0)</f>
        <v>1</v>
      </c>
      <c r="O673" s="6">
        <f>IF(N673=1,ROUND((SUMIFS($M$3:$M$1200,$A$3:$A$1200,A673)+'Settings'!$B$13)*'Settings'!$B$14/100+'Settings'!$B$15,2),0)</f>
        <v>2.18</v>
      </c>
    </row>
    <row r="674">
      <c r="A674" s="3" t="inlineStr">
        <is>
          <t xml:space="preserve">#1492</t>
        </is>
      </c>
      <c r="B674" s="3" t="inlineStr">
        <is>
          <t xml:space="preserve">2026-05-20</t>
        </is>
      </c>
      <c r="C674" s="3" t="inlineStr">
        <is>
          <t xml:space="preserve">SKU-G</t>
        </is>
      </c>
      <c r="D674" s="3" t="inlineStr">
        <is>
          <t xml:space="preserve">Daily Reset Set</t>
        </is>
      </c>
      <c r="E674" s="6">
        <f>IF('Settings'!$B$11="Scenario",IFERROR(INDEX('Catalogue'!$E$3:$E$100,MATCH(C674,'Catalogue'!$B$3:$B$100,0)),F674),F674)</f>
        <v>69</v>
      </c>
      <c r="F674" s="8">
        <v>69</v>
      </c>
      <c r="G674" s="3">
        <v>1</v>
      </c>
      <c r="H674" s="6">
        <f>IF('Settings'!$B$11="Scenario",ROUND(E674*G674*IFERROR(SUMIF('Pricing &amp; promotions'!$A$6:$A$8,L674,'Pricing &amp; promotions'!$B$6:$B$8)/100,0),2),J674)</f>
        <v>10.35</v>
      </c>
      <c r="I674" s="6">
        <f>ROUND((E674*G674-H674)/IF(OR(K674=TRUE,K674="TRUE",K674="YES",K674=1),1+'Settings'!$B$6/100,1),2)</f>
        <v>48.47</v>
      </c>
      <c r="J674" s="8">
        <v>10.35</v>
      </c>
      <c r="K674" s="3" t="inlineStr">
        <is>
          <t xml:space="preserve">TRUE</t>
        </is>
      </c>
      <c r="L674" s="3" t="inlineStr">
        <is>
          <t xml:space="preserve">SUMMER15</t>
        </is>
      </c>
      <c r="M674" s="6">
        <f>ROUND(E674*G674-H674,2)</f>
        <v>58.65</v>
      </c>
      <c r="N674" s="5">
        <f>IF(COUNTIF($A$3:A674,A674)=1,1,0)</f>
        <v>0</v>
      </c>
      <c r="O674" s="6">
        <f>IF(N674=1,ROUND((SUMIFS($M$3:$M$1200,$A$3:$A$1200,A674)+'Settings'!$B$13)*'Settings'!$B$14/100+'Settings'!$B$15,2),0)</f>
        <v>0</v>
      </c>
    </row>
    <row r="675">
      <c r="A675" s="3" t="inlineStr">
        <is>
          <t xml:space="preserve">#1493</t>
        </is>
      </c>
      <c r="B675" s="3" t="inlineStr">
        <is>
          <t xml:space="preserve">2026-05-21</t>
        </is>
      </c>
      <c r="C675" s="3" t="inlineStr">
        <is>
          <t xml:space="preserve">SKU-A</t>
        </is>
      </c>
      <c r="D675" s="3" t="inlineStr">
        <is>
          <t xml:space="preserve">Renewal Serum</t>
        </is>
      </c>
      <c r="E675" s="6">
        <f>IF('Settings'!$B$11="Scenario",IFERROR(INDEX('Catalogue'!$E$3:$E$100,MATCH(C675,'Catalogue'!$B$3:$B$100,0)),F675),F675)</f>
        <v>69.9</v>
      </c>
      <c r="F675" s="8">
        <v>69.9</v>
      </c>
      <c r="G675" s="3">
        <v>1</v>
      </c>
      <c r="H675" s="6">
        <f>IF('Settings'!$B$11="Scenario",ROUND(E675*G675*IFERROR(SUMIF('Pricing &amp; promotions'!$A$6:$A$8,L675,'Pricing &amp; promotions'!$B$6:$B$8)/100,0),2),J675)</f>
        <v>6.99</v>
      </c>
      <c r="I675" s="6">
        <f>ROUND((E675*G675-H675)/IF(OR(K675=TRUE,K675="TRUE",K675="YES",K675=1),1+'Settings'!$B$6/100,1),2)</f>
        <v>51.99</v>
      </c>
      <c r="J675" s="8">
        <v>6.99</v>
      </c>
      <c r="K675" s="3" t="inlineStr">
        <is>
          <t xml:space="preserve">TRUE</t>
        </is>
      </c>
      <c r="L675" s="3" t="inlineStr">
        <is>
          <t xml:space="preserve">WELCOME10</t>
        </is>
      </c>
      <c r="M675" s="6">
        <f>ROUND(E675*G675-H675,2)</f>
        <v>62.91</v>
      </c>
      <c r="N675" s="5">
        <f>IF(COUNTIF($A$3:A675,A675)=1,1,0)</f>
        <v>1</v>
      </c>
      <c r="O675" s="6">
        <f>IF(N675=1,ROUND((SUMIFS($M$3:$M$1200,$A$3:$A$1200,A675)+'Settings'!$B$13)*'Settings'!$B$14/100+'Settings'!$B$15,2),0)</f>
        <v>1.24</v>
      </c>
    </row>
    <row r="676">
      <c r="A676" s="3" t="inlineStr">
        <is>
          <t xml:space="preserve">#1494</t>
        </is>
      </c>
      <c r="B676" s="3" t="inlineStr">
        <is>
          <t xml:space="preserve">2026-05-21</t>
        </is>
      </c>
      <c r="C676" s="3" t="inlineStr">
        <is>
          <t xml:space="preserve">SKU-F</t>
        </is>
      </c>
      <c r="D676" s="3" t="inlineStr">
        <is>
          <t xml:space="preserve">Cloud Cleanser</t>
        </is>
      </c>
      <c r="E676" s="6">
        <f>IF('Settings'!$B$11="Scenario",IFERROR(INDEX('Catalogue'!$E$3:$E$100,MATCH(C676,'Catalogue'!$B$3:$B$100,0)),F676),F676)</f>
        <v>34</v>
      </c>
      <c r="F676" s="8">
        <v>34</v>
      </c>
      <c r="G676" s="3">
        <v>1</v>
      </c>
      <c r="H676" s="6">
        <f>IF('Settings'!$B$11="Scenario",ROUND(E676*G676*IFERROR(SUMIF('Pricing &amp; promotions'!$A$6:$A$8,L676,'Pricing &amp; promotions'!$B$6:$B$8)/100,0),2),J676)</f>
        <v>0.0</v>
      </c>
      <c r="I676" s="6">
        <f>ROUND((E676*G676-H676)/IF(OR(K676=TRUE,K676="TRUE",K676="YES",K676=1),1+'Settings'!$B$6/100,1),2)</f>
        <v>28.1</v>
      </c>
      <c r="J676" s="8">
        <v>0.0</v>
      </c>
      <c r="K676" s="3" t="inlineStr">
        <is>
          <t xml:space="preserve">TRUE</t>
        </is>
      </c>
      <c r="L676" s="3"/>
      <c r="M676" s="6">
        <f>ROUND(E676*G676-H676,2)</f>
        <v>34.0</v>
      </c>
      <c r="N676" s="5">
        <f>IF(COUNTIF($A$3:A676,A676)=1,1,0)</f>
        <v>1</v>
      </c>
      <c r="O676" s="6">
        <f>IF(N676=1,ROUND((SUMIFS($M$3:$M$1200,$A$3:$A$1200,A676)+'Settings'!$B$13)*'Settings'!$B$14/100+'Settings'!$B$15,2),0)</f>
        <v>0.8</v>
      </c>
    </row>
    <row r="677">
      <c r="A677" s="3" t="inlineStr">
        <is>
          <t xml:space="preserve">#1495</t>
        </is>
      </c>
      <c r="B677" s="3" t="inlineStr">
        <is>
          <t xml:space="preserve">2026-05-22</t>
        </is>
      </c>
      <c r="C677" s="3" t="inlineStr">
        <is>
          <t xml:space="preserve">SKU-G</t>
        </is>
      </c>
      <c r="D677" s="3" t="inlineStr">
        <is>
          <t xml:space="preserve">Daily Reset Set</t>
        </is>
      </c>
      <c r="E677" s="6">
        <f>IF('Settings'!$B$11="Scenario",IFERROR(INDEX('Catalogue'!$E$3:$E$100,MATCH(C677,'Catalogue'!$B$3:$B$100,0)),F677),F677)</f>
        <v>69</v>
      </c>
      <c r="F677" s="8">
        <v>69</v>
      </c>
      <c r="G677" s="3">
        <v>2</v>
      </c>
      <c r="H677" s="6">
        <f>IF('Settings'!$B$11="Scenario",ROUND(E677*G677*IFERROR(SUMIF('Pricing &amp; promotions'!$A$6:$A$8,L677,'Pricing &amp; promotions'!$B$6:$B$8)/100,0),2),J677)</f>
        <v>0.0</v>
      </c>
      <c r="I677" s="6">
        <f>ROUND((E677*G677-H677)/IF(OR(K677=TRUE,K677="TRUE",K677="YES",K677=1),1+'Settings'!$B$6/100,1),2)</f>
        <v>114.05</v>
      </c>
      <c r="J677" s="8">
        <v>0.0</v>
      </c>
      <c r="K677" s="3" t="inlineStr">
        <is>
          <t xml:space="preserve">TRUE</t>
        </is>
      </c>
      <c r="L677" s="3"/>
      <c r="M677" s="6">
        <f>ROUND(E677*G677-H677,2)</f>
        <v>138.0</v>
      </c>
      <c r="N677" s="5">
        <f>IF(COUNTIF($A$3:A677,A677)=1,1,0)</f>
        <v>1</v>
      </c>
      <c r="O677" s="6">
        <f>IF(N677=1,ROUND((SUMIFS($M$3:$M$1200,$A$3:$A$1200,A677)+'Settings'!$B$13)*'Settings'!$B$14/100+'Settings'!$B$15,2),0)</f>
        <v>2.36</v>
      </c>
    </row>
    <row r="678">
      <c r="A678" s="3" t="inlineStr">
        <is>
          <t xml:space="preserve">#1496</t>
        </is>
      </c>
      <c r="B678" s="3" t="inlineStr">
        <is>
          <t xml:space="preserve">2026-05-22</t>
        </is>
      </c>
      <c r="C678" s="3" t="inlineStr">
        <is>
          <t xml:space="preserve">SKU-D</t>
        </is>
      </c>
      <c r="D678" s="3" t="inlineStr">
        <is>
          <t xml:space="preserve">Daily Duo</t>
        </is>
      </c>
      <c r="E678" s="6">
        <f>IF('Settings'!$B$11="Scenario",IFERROR(INDEX('Catalogue'!$E$3:$E$100,MATCH(C678,'Catalogue'!$B$3:$B$100,0)),F678),F678)</f>
        <v>79</v>
      </c>
      <c r="F678" s="8">
        <v>79</v>
      </c>
      <c r="G678" s="3">
        <v>1</v>
      </c>
      <c r="H678" s="6">
        <f>IF('Settings'!$B$11="Scenario",ROUND(E678*G678*IFERROR(SUMIF('Pricing &amp; promotions'!$A$6:$A$8,L678,'Pricing &amp; promotions'!$B$6:$B$8)/100,0),2),J678)</f>
        <v>7.9</v>
      </c>
      <c r="I678" s="6">
        <f>ROUND((E678*G678-H678)/IF(OR(K678=TRUE,K678="TRUE",K678="YES",K678=1),1+'Settings'!$B$6/100,1),2)</f>
        <v>58.76</v>
      </c>
      <c r="J678" s="8">
        <v>7.9</v>
      </c>
      <c r="K678" s="3" t="inlineStr">
        <is>
          <t xml:space="preserve">TRUE</t>
        </is>
      </c>
      <c r="L678" s="3" t="inlineStr">
        <is>
          <t xml:space="preserve">WELCOME10</t>
        </is>
      </c>
      <c r="M678" s="6">
        <f>ROUND(E678*G678-H678,2)</f>
        <v>71.1</v>
      </c>
      <c r="N678" s="5">
        <f>IF(COUNTIF($A$3:A678,A678)=1,1,0)</f>
        <v>1</v>
      </c>
      <c r="O678" s="6">
        <f>IF(N678=1,ROUND((SUMIFS($M$3:$M$1200,$A$3:$A$1200,A678)+'Settings'!$B$13)*'Settings'!$B$14/100+'Settings'!$B$15,2),0)</f>
        <v>1.36</v>
      </c>
    </row>
    <row r="679">
      <c r="A679" s="3" t="inlineStr">
        <is>
          <t xml:space="preserve">#1497</t>
        </is>
      </c>
      <c r="B679" s="3" t="inlineStr">
        <is>
          <t xml:space="preserve">2026-05-23</t>
        </is>
      </c>
      <c r="C679" s="3" t="inlineStr">
        <is>
          <t xml:space="preserve">SKU-G</t>
        </is>
      </c>
      <c r="D679" s="3" t="inlineStr">
        <is>
          <t xml:space="preserve">Daily Reset Set</t>
        </is>
      </c>
      <c r="E679" s="6">
        <f>IF('Settings'!$B$11="Scenario",IFERROR(INDEX('Catalogue'!$E$3:$E$100,MATCH(C679,'Catalogue'!$B$3:$B$100,0)),F679),F679)</f>
        <v>69</v>
      </c>
      <c r="F679" s="8">
        <v>69</v>
      </c>
      <c r="G679" s="3">
        <v>2</v>
      </c>
      <c r="H679" s="6">
        <f>IF('Settings'!$B$11="Scenario",ROUND(E679*G679*IFERROR(SUMIF('Pricing &amp; promotions'!$A$6:$A$8,L679,'Pricing &amp; promotions'!$B$6:$B$8)/100,0),2),J679)</f>
        <v>20.7</v>
      </c>
      <c r="I679" s="6">
        <f>ROUND((E679*G679-H679)/IF(OR(K679=TRUE,K679="TRUE",K679="YES",K679=1),1+'Settings'!$B$6/100,1),2)</f>
        <v>96.94</v>
      </c>
      <c r="J679" s="8">
        <v>20.7</v>
      </c>
      <c r="K679" s="3" t="inlineStr">
        <is>
          <t xml:space="preserve">TRUE</t>
        </is>
      </c>
      <c r="L679" s="3" t="inlineStr">
        <is>
          <t xml:space="preserve">SUMMER15</t>
        </is>
      </c>
      <c r="M679" s="6">
        <f>ROUND(E679*G679-H679,2)</f>
        <v>117.3</v>
      </c>
      <c r="N679" s="5">
        <f>IF(COUNTIF($A$3:A679,A679)=1,1,0)</f>
        <v>1</v>
      </c>
      <c r="O679" s="6">
        <f>IF(N679=1,ROUND((SUMIFS($M$3:$M$1200,$A$3:$A$1200,A679)+'Settings'!$B$13)*'Settings'!$B$14/100+'Settings'!$B$15,2),0)</f>
        <v>2.05</v>
      </c>
    </row>
    <row r="680">
      <c r="A680" s="3" t="inlineStr">
        <is>
          <t xml:space="preserve">#1498</t>
        </is>
      </c>
      <c r="B680" s="3" t="inlineStr">
        <is>
          <t xml:space="preserve">2026-05-24</t>
        </is>
      </c>
      <c r="C680" s="3" t="inlineStr">
        <is>
          <t xml:space="preserve">SKU-A</t>
        </is>
      </c>
      <c r="D680" s="3" t="inlineStr">
        <is>
          <t xml:space="preserve">Renewal Serum</t>
        </is>
      </c>
      <c r="E680" s="6">
        <f>IF('Settings'!$B$11="Scenario",IFERROR(INDEX('Catalogue'!$E$3:$E$100,MATCH(C680,'Catalogue'!$B$3:$B$100,0)),F680),F680)</f>
        <v>69.9</v>
      </c>
      <c r="F680" s="8">
        <v>69.9</v>
      </c>
      <c r="G680" s="3">
        <v>1</v>
      </c>
      <c r="H680" s="6">
        <f>IF('Settings'!$B$11="Scenario",ROUND(E680*G680*IFERROR(SUMIF('Pricing &amp; promotions'!$A$6:$A$8,L680,'Pricing &amp; promotions'!$B$6:$B$8)/100,0),2),J680)</f>
        <v>6.99</v>
      </c>
      <c r="I680" s="6">
        <f>ROUND((E680*G680-H680)/IF(OR(K680=TRUE,K680="TRUE",K680="YES",K680=1),1+'Settings'!$B$6/100,1),2)</f>
        <v>51.99</v>
      </c>
      <c r="J680" s="8">
        <v>6.99</v>
      </c>
      <c r="K680" s="3" t="inlineStr">
        <is>
          <t xml:space="preserve">TRUE</t>
        </is>
      </c>
      <c r="L680" s="3" t="inlineStr">
        <is>
          <t xml:space="preserve">WELCOME10</t>
        </is>
      </c>
      <c r="M680" s="6">
        <f>ROUND(E680*G680-H680,2)</f>
        <v>62.91</v>
      </c>
      <c r="N680" s="5">
        <f>IF(COUNTIF($A$3:A680,A680)=1,1,0)</f>
        <v>1</v>
      </c>
      <c r="O680" s="6">
        <f>IF(N680=1,ROUND((SUMIFS($M$3:$M$1200,$A$3:$A$1200,A680)+'Settings'!$B$13)*'Settings'!$B$14/100+'Settings'!$B$15,2),0)</f>
        <v>1.24</v>
      </c>
    </row>
    <row r="681">
      <c r="A681" s="3" t="inlineStr">
        <is>
          <t xml:space="preserve">#1499</t>
        </is>
      </c>
      <c r="B681" s="3" t="inlineStr">
        <is>
          <t xml:space="preserve">2026-05-24</t>
        </is>
      </c>
      <c r="C681" s="3" t="inlineStr">
        <is>
          <t xml:space="preserve">SKU-E</t>
        </is>
      </c>
      <c r="D681" s="3" t="inlineStr">
        <is>
          <t xml:space="preserve">Complete Ritual</t>
        </is>
      </c>
      <c r="E681" s="6">
        <f>IF('Settings'!$B$11="Scenario",IFERROR(INDEX('Catalogue'!$E$3:$E$100,MATCH(C681,'Catalogue'!$B$3:$B$100,0)),F681),F681)</f>
        <v>89</v>
      </c>
      <c r="F681" s="8">
        <v>89</v>
      </c>
      <c r="G681" s="3">
        <v>1</v>
      </c>
      <c r="H681" s="6">
        <f>IF('Settings'!$B$11="Scenario",ROUND(E681*G681*IFERROR(SUMIF('Pricing &amp; promotions'!$A$6:$A$8,L681,'Pricing &amp; promotions'!$B$6:$B$8)/100,0),2),J681)</f>
        <v>0.0</v>
      </c>
      <c r="I681" s="6">
        <f>ROUND((E681*G681-H681)/IF(OR(K681=TRUE,K681="TRUE",K681="YES",K681=1),1+'Settings'!$B$6/100,1),2)</f>
        <v>73.55</v>
      </c>
      <c r="J681" s="8">
        <v>0.0</v>
      </c>
      <c r="K681" s="3" t="inlineStr">
        <is>
          <t xml:space="preserve">TRUE</t>
        </is>
      </c>
      <c r="L681" s="3"/>
      <c r="M681" s="6">
        <f>ROUND(E681*G681-H681,2)</f>
        <v>89.0</v>
      </c>
      <c r="N681" s="5">
        <f>IF(COUNTIF($A$3:A681,A681)=1,1,0)</f>
        <v>1</v>
      </c>
      <c r="O681" s="6">
        <f>IF(N681=1,ROUND((SUMIFS($M$3:$M$1200,$A$3:$A$1200,A681)+'Settings'!$B$13)*'Settings'!$B$14/100+'Settings'!$B$15,2),0)</f>
        <v>1.63</v>
      </c>
    </row>
    <row r="682">
      <c r="A682" s="3" t="inlineStr">
        <is>
          <t xml:space="preserve">#1500</t>
        </is>
      </c>
      <c r="B682" s="3" t="inlineStr">
        <is>
          <t xml:space="preserve">2026-05-24</t>
        </is>
      </c>
      <c r="C682" s="3" t="inlineStr">
        <is>
          <t xml:space="preserve">SKU-A</t>
        </is>
      </c>
      <c r="D682" s="3" t="inlineStr">
        <is>
          <t xml:space="preserve">Renewal Serum</t>
        </is>
      </c>
      <c r="E682" s="6">
        <f>IF('Settings'!$B$11="Scenario",IFERROR(INDEX('Catalogue'!$E$3:$E$100,MATCH(C682,'Catalogue'!$B$3:$B$100,0)),F682),F682)</f>
        <v>69.9</v>
      </c>
      <c r="F682" s="8">
        <v>69.9</v>
      </c>
      <c r="G682" s="3">
        <v>1</v>
      </c>
      <c r="H682" s="6">
        <f>IF('Settings'!$B$11="Scenario",ROUND(E682*G682*IFERROR(SUMIF('Pricing &amp; promotions'!$A$6:$A$8,L682,'Pricing &amp; promotions'!$B$6:$B$8)/100,0),2),J682)</f>
        <v>0.0</v>
      </c>
      <c r="I682" s="6">
        <f>ROUND((E682*G682-H682)/IF(OR(K682=TRUE,K682="TRUE",K682="YES",K682=1),1+'Settings'!$B$6/100,1),2)</f>
        <v>57.77</v>
      </c>
      <c r="J682" s="8">
        <v>0.0</v>
      </c>
      <c r="K682" s="3" t="inlineStr">
        <is>
          <t xml:space="preserve">TRUE</t>
        </is>
      </c>
      <c r="L682" s="3"/>
      <c r="M682" s="6">
        <f>ROUND(E682*G682-H682,2)</f>
        <v>69.9</v>
      </c>
      <c r="N682" s="5">
        <f>IF(COUNTIF($A$3:A682,A682)=1,1,0)</f>
        <v>1</v>
      </c>
      <c r="O682" s="6">
        <f>IF(N682=1,ROUND((SUMIFS($M$3:$M$1200,$A$3:$A$1200,A682)+'Settings'!$B$13)*'Settings'!$B$14/100+'Settings'!$B$15,2),0)</f>
        <v>1.34</v>
      </c>
    </row>
    <row r="683">
      <c r="A683" s="3" t="inlineStr">
        <is>
          <t xml:space="preserve">#1501</t>
        </is>
      </c>
      <c r="B683" s="3" t="inlineStr">
        <is>
          <t xml:space="preserve">2026-05-25</t>
        </is>
      </c>
      <c r="C683" s="3" t="inlineStr">
        <is>
          <t xml:space="preserve">SKU-B</t>
        </is>
      </c>
      <c r="D683" s="3" t="inlineStr">
        <is>
          <t xml:space="preserve">Barrier Balm</t>
        </is>
      </c>
      <c r="E683" s="6">
        <f>IF('Settings'!$B$11="Scenario",IFERROR(INDEX('Catalogue'!$E$3:$E$100,MATCH(C683,'Catalogue'!$B$3:$B$100,0)),F683),F683)</f>
        <v>19</v>
      </c>
      <c r="F683" s="8">
        <v>19</v>
      </c>
      <c r="G683" s="3">
        <v>1</v>
      </c>
      <c r="H683" s="6">
        <f>IF('Settings'!$B$11="Scenario",ROUND(E683*G683*IFERROR(SUMIF('Pricing &amp; promotions'!$A$6:$A$8,L683,'Pricing &amp; promotions'!$B$6:$B$8)/100,0),2),J683)</f>
        <v>2.85</v>
      </c>
      <c r="I683" s="6">
        <f>ROUND((E683*G683-H683)/IF(OR(K683=TRUE,K683="TRUE",K683="YES",K683=1),1+'Settings'!$B$6/100,1),2)</f>
        <v>13.35</v>
      </c>
      <c r="J683" s="8">
        <v>2.85</v>
      </c>
      <c r="K683" s="3" t="inlineStr">
        <is>
          <t xml:space="preserve">TRUE</t>
        </is>
      </c>
      <c r="L683" s="3" t="inlineStr">
        <is>
          <t xml:space="preserve">SUMMER15</t>
        </is>
      </c>
      <c r="M683" s="6">
        <f>ROUND(E683*G683-H683,2)</f>
        <v>16.15</v>
      </c>
      <c r="N683" s="5">
        <f>IF(COUNTIF($A$3:A683,A683)=1,1,0)</f>
        <v>1</v>
      </c>
      <c r="O683" s="6">
        <f>IF(N683=1,ROUND((SUMIFS($M$3:$M$1200,$A$3:$A$1200,A683)+'Settings'!$B$13)*'Settings'!$B$14/100+'Settings'!$B$15,2),0)</f>
        <v>1.54</v>
      </c>
    </row>
    <row r="684">
      <c r="A684" s="3" t="inlineStr">
        <is>
          <t xml:space="preserve">#1501</t>
        </is>
      </c>
      <c r="B684" s="3" t="inlineStr">
        <is>
          <t xml:space="preserve">2026-05-25</t>
        </is>
      </c>
      <c r="C684" s="3" t="inlineStr">
        <is>
          <t xml:space="preserve">SKU-D</t>
        </is>
      </c>
      <c r="D684" s="3" t="inlineStr">
        <is>
          <t xml:space="preserve">Daily Duo</t>
        </is>
      </c>
      <c r="E684" s="6">
        <f>IF('Settings'!$B$11="Scenario",IFERROR(INDEX('Catalogue'!$E$3:$E$100,MATCH(C684,'Catalogue'!$B$3:$B$100,0)),F684),F684)</f>
        <v>79</v>
      </c>
      <c r="F684" s="8">
        <v>79</v>
      </c>
      <c r="G684" s="3">
        <v>1</v>
      </c>
      <c r="H684" s="6">
        <f>IF('Settings'!$B$11="Scenario",ROUND(E684*G684*IFERROR(SUMIF('Pricing &amp; promotions'!$A$6:$A$8,L684,'Pricing &amp; promotions'!$B$6:$B$8)/100,0),2),J684)</f>
        <v>11.85</v>
      </c>
      <c r="I684" s="6">
        <f>ROUND((E684*G684-H684)/IF(OR(K684=TRUE,K684="TRUE",K684="YES",K684=1),1+'Settings'!$B$6/100,1),2)</f>
        <v>55.5</v>
      </c>
      <c r="J684" s="8">
        <v>11.85</v>
      </c>
      <c r="K684" s="3" t="inlineStr">
        <is>
          <t xml:space="preserve">TRUE</t>
        </is>
      </c>
      <c r="L684" s="3" t="inlineStr">
        <is>
          <t xml:space="preserve">SUMMER15</t>
        </is>
      </c>
      <c r="M684" s="6">
        <f>ROUND(E684*G684-H684,2)</f>
        <v>67.15</v>
      </c>
      <c r="N684" s="5">
        <f>IF(COUNTIF($A$3:A684,A684)=1,1,0)</f>
        <v>0</v>
      </c>
      <c r="O684" s="6">
        <f>IF(N684=1,ROUND((SUMIFS($M$3:$M$1200,$A$3:$A$1200,A684)+'Settings'!$B$13)*'Settings'!$B$14/100+'Settings'!$B$15,2),0)</f>
        <v>0</v>
      </c>
    </row>
    <row r="685">
      <c r="A685" s="3" t="inlineStr">
        <is>
          <t xml:space="preserve">#1502</t>
        </is>
      </c>
      <c r="B685" s="3" t="inlineStr">
        <is>
          <t xml:space="preserve">2026-05-25</t>
        </is>
      </c>
      <c r="C685" s="3" t="inlineStr">
        <is>
          <t xml:space="preserve">SKU-A</t>
        </is>
      </c>
      <c r="D685" s="3" t="inlineStr">
        <is>
          <t xml:space="preserve">Renewal Serum</t>
        </is>
      </c>
      <c r="E685" s="6">
        <f>IF('Settings'!$B$11="Scenario",IFERROR(INDEX('Catalogue'!$E$3:$E$100,MATCH(C685,'Catalogue'!$B$3:$B$100,0)),F685),F685)</f>
        <v>69.9</v>
      </c>
      <c r="F685" s="8">
        <v>69.9</v>
      </c>
      <c r="G685" s="3">
        <v>1</v>
      </c>
      <c r="H685" s="6">
        <f>IF('Settings'!$B$11="Scenario",ROUND(E685*G685*IFERROR(SUMIF('Pricing &amp; promotions'!$A$6:$A$8,L685,'Pricing &amp; promotions'!$B$6:$B$8)/100,0),2),J685)</f>
        <v>6.99</v>
      </c>
      <c r="I685" s="6">
        <f>ROUND((E685*G685-H685)/IF(OR(K685=TRUE,K685="TRUE",K685="YES",K685=1),1+'Settings'!$B$6/100,1),2)</f>
        <v>51.99</v>
      </c>
      <c r="J685" s="8">
        <v>6.99</v>
      </c>
      <c r="K685" s="3" t="inlineStr">
        <is>
          <t xml:space="preserve">TRUE</t>
        </is>
      </c>
      <c r="L685" s="3" t="inlineStr">
        <is>
          <t xml:space="preserve">WELCOME10</t>
        </is>
      </c>
      <c r="M685" s="6">
        <f>ROUND(E685*G685-H685,2)</f>
        <v>62.91</v>
      </c>
      <c r="N685" s="5">
        <f>IF(COUNTIF($A$3:A685,A685)=1,1,0)</f>
        <v>1</v>
      </c>
      <c r="O685" s="6">
        <f>IF(N685=1,ROUND((SUMIFS($M$3:$M$1200,$A$3:$A$1200,A685)+'Settings'!$B$13)*'Settings'!$B$14/100+'Settings'!$B$15,2),0)</f>
        <v>1.24</v>
      </c>
    </row>
    <row r="686">
      <c r="A686" s="3" t="inlineStr">
        <is>
          <t xml:space="preserve">#1503</t>
        </is>
      </c>
      <c r="B686" s="3" t="inlineStr">
        <is>
          <t xml:space="preserve">2026-05-25</t>
        </is>
      </c>
      <c r="C686" s="3" t="inlineStr">
        <is>
          <t xml:space="preserve">SKU-B</t>
        </is>
      </c>
      <c r="D686" s="3" t="inlineStr">
        <is>
          <t xml:space="preserve">Barrier Balm</t>
        </is>
      </c>
      <c r="E686" s="6">
        <f>IF('Settings'!$B$11="Scenario",IFERROR(INDEX('Catalogue'!$E$3:$E$100,MATCH(C686,'Catalogue'!$B$3:$B$100,0)),F686),F686)</f>
        <v>19</v>
      </c>
      <c r="F686" s="8">
        <v>19</v>
      </c>
      <c r="G686" s="3">
        <v>1</v>
      </c>
      <c r="H686" s="6">
        <f>IF('Settings'!$B$11="Scenario",ROUND(E686*G686*IFERROR(SUMIF('Pricing &amp; promotions'!$A$6:$A$8,L686,'Pricing &amp; promotions'!$B$6:$B$8)/100,0),2),J686)</f>
        <v>1.9</v>
      </c>
      <c r="I686" s="6">
        <f>ROUND((E686*G686-H686)/IF(OR(K686=TRUE,K686="TRUE",K686="YES",K686=1),1+'Settings'!$B$6/100,1),2)</f>
        <v>14.13</v>
      </c>
      <c r="J686" s="8">
        <v>1.9</v>
      </c>
      <c r="K686" s="3" t="inlineStr">
        <is>
          <t xml:space="preserve">TRUE</t>
        </is>
      </c>
      <c r="L686" s="3" t="inlineStr">
        <is>
          <t xml:space="preserve">WELCOME10</t>
        </is>
      </c>
      <c r="M686" s="6">
        <f>ROUND(E686*G686-H686,2)</f>
        <v>17.1</v>
      </c>
      <c r="N686" s="5">
        <f>IF(COUNTIF($A$3:A686,A686)=1,1,0)</f>
        <v>1</v>
      </c>
      <c r="O686" s="6">
        <f>IF(N686=1,ROUND((SUMIFS($M$3:$M$1200,$A$3:$A$1200,A686)+'Settings'!$B$13)*'Settings'!$B$14/100+'Settings'!$B$15,2),0)</f>
        <v>0.55</v>
      </c>
    </row>
    <row r="687">
      <c r="A687" s="3" t="inlineStr">
        <is>
          <t xml:space="preserve">#1504</t>
        </is>
      </c>
      <c r="B687" s="3" t="inlineStr">
        <is>
          <t xml:space="preserve">2026-05-25</t>
        </is>
      </c>
      <c r="C687" s="3" t="inlineStr">
        <is>
          <t xml:space="preserve">SKU-E</t>
        </is>
      </c>
      <c r="D687" s="3" t="inlineStr">
        <is>
          <t xml:space="preserve">Complete Ritual</t>
        </is>
      </c>
      <c r="E687" s="6">
        <f>IF('Settings'!$B$11="Scenario",IFERROR(INDEX('Catalogue'!$E$3:$E$100,MATCH(C687,'Catalogue'!$B$3:$B$100,0)),F687),F687)</f>
        <v>89</v>
      </c>
      <c r="F687" s="8">
        <v>89</v>
      </c>
      <c r="G687" s="3">
        <v>1</v>
      </c>
      <c r="H687" s="6">
        <f>IF('Settings'!$B$11="Scenario",ROUND(E687*G687*IFERROR(SUMIF('Pricing &amp; promotions'!$A$6:$A$8,L687,'Pricing &amp; promotions'!$B$6:$B$8)/100,0),2),J687)</f>
        <v>13.35</v>
      </c>
      <c r="I687" s="6">
        <f>ROUND((E687*G687-H687)/IF(OR(K687=TRUE,K687="TRUE",K687="YES",K687=1),1+'Settings'!$B$6/100,1),2)</f>
        <v>62.52</v>
      </c>
      <c r="J687" s="8">
        <v>13.35</v>
      </c>
      <c r="K687" s="3" t="inlineStr">
        <is>
          <t xml:space="preserve">TRUE</t>
        </is>
      </c>
      <c r="L687" s="3" t="inlineStr">
        <is>
          <t xml:space="preserve">SUMMER15</t>
        </is>
      </c>
      <c r="M687" s="6">
        <f>ROUND(E687*G687-H687,2)</f>
        <v>75.65</v>
      </c>
      <c r="N687" s="5">
        <f>IF(COUNTIF($A$3:A687,A687)=1,1,0)</f>
        <v>1</v>
      </c>
      <c r="O687" s="6">
        <f>IF(N687=1,ROUND((SUMIFS($M$3:$M$1200,$A$3:$A$1200,A687)+'Settings'!$B$13)*'Settings'!$B$14/100+'Settings'!$B$15,2),0)</f>
        <v>2.1</v>
      </c>
    </row>
    <row r="688">
      <c r="A688" s="3" t="inlineStr">
        <is>
          <t xml:space="preserve">#1504</t>
        </is>
      </c>
      <c r="B688" s="3" t="inlineStr">
        <is>
          <t xml:space="preserve">2026-05-25</t>
        </is>
      </c>
      <c r="C688" s="3" t="inlineStr">
        <is>
          <t xml:space="preserve">SKU-B</t>
        </is>
      </c>
      <c r="D688" s="3" t="inlineStr">
        <is>
          <t xml:space="preserve">Barrier Balm</t>
        </is>
      </c>
      <c r="E688" s="6">
        <f>IF('Settings'!$B$11="Scenario",IFERROR(INDEX('Catalogue'!$E$3:$E$100,MATCH(C688,'Catalogue'!$B$3:$B$100,0)),F688),F688)</f>
        <v>19</v>
      </c>
      <c r="F688" s="8">
        <v>19</v>
      </c>
      <c r="G688" s="3">
        <v>1</v>
      </c>
      <c r="H688" s="6">
        <f>IF('Settings'!$B$11="Scenario",ROUND(E688*G688*IFERROR(SUMIF('Pricing &amp; promotions'!$A$6:$A$8,L688,'Pricing &amp; promotions'!$B$6:$B$8)/100,0),2),J688)</f>
        <v>2.85</v>
      </c>
      <c r="I688" s="6">
        <f>ROUND((E688*G688-H688)/IF(OR(K688=TRUE,K688="TRUE",K688="YES",K688=1),1+'Settings'!$B$6/100,1),2)</f>
        <v>13.35</v>
      </c>
      <c r="J688" s="8">
        <v>2.85</v>
      </c>
      <c r="K688" s="3" t="inlineStr">
        <is>
          <t xml:space="preserve">TRUE</t>
        </is>
      </c>
      <c r="L688" s="3" t="inlineStr">
        <is>
          <t xml:space="preserve">SUMMER15</t>
        </is>
      </c>
      <c r="M688" s="6">
        <f>ROUND(E688*G688-H688,2)</f>
        <v>16.15</v>
      </c>
      <c r="N688" s="5">
        <f>IF(COUNTIF($A$3:A688,A688)=1,1,0)</f>
        <v>0</v>
      </c>
      <c r="O688" s="6">
        <f>IF(N688=1,ROUND((SUMIFS($M$3:$M$1200,$A$3:$A$1200,A688)+'Settings'!$B$13)*'Settings'!$B$14/100+'Settings'!$B$15,2),0)</f>
        <v>0</v>
      </c>
    </row>
    <row r="689">
      <c r="A689" s="3" t="inlineStr">
        <is>
          <t xml:space="preserve">#1504</t>
        </is>
      </c>
      <c r="B689" s="3" t="inlineStr">
        <is>
          <t xml:space="preserve">2026-05-25</t>
        </is>
      </c>
      <c r="C689" s="3" t="inlineStr">
        <is>
          <t xml:space="preserve">SKU-F</t>
        </is>
      </c>
      <c r="D689" s="3" t="inlineStr">
        <is>
          <t xml:space="preserve">Cloud Cleanser</t>
        </is>
      </c>
      <c r="E689" s="6">
        <f>IF('Settings'!$B$11="Scenario",IFERROR(INDEX('Catalogue'!$E$3:$E$100,MATCH(C689,'Catalogue'!$B$3:$B$100,0)),F689),F689)</f>
        <v>34</v>
      </c>
      <c r="F689" s="8">
        <v>34</v>
      </c>
      <c r="G689" s="3">
        <v>1</v>
      </c>
      <c r="H689" s="6">
        <f>IF('Settings'!$B$11="Scenario",ROUND(E689*G689*IFERROR(SUMIF('Pricing &amp; promotions'!$A$6:$A$8,L689,'Pricing &amp; promotions'!$B$6:$B$8)/100,0),2),J689)</f>
        <v>5.1</v>
      </c>
      <c r="I689" s="6">
        <f>ROUND((E689*G689-H689)/IF(OR(K689=TRUE,K689="TRUE",K689="YES",K689=1),1+'Settings'!$B$6/100,1),2)</f>
        <v>23.88</v>
      </c>
      <c r="J689" s="8">
        <v>5.1</v>
      </c>
      <c r="K689" s="3" t="inlineStr">
        <is>
          <t xml:space="preserve">TRUE</t>
        </is>
      </c>
      <c r="L689" s="3" t="inlineStr">
        <is>
          <t xml:space="preserve">SUMMER15</t>
        </is>
      </c>
      <c r="M689" s="6">
        <f>ROUND(E689*G689-H689,2)</f>
        <v>28.9</v>
      </c>
      <c r="N689" s="5">
        <f>IF(COUNTIF($A$3:A689,A689)=1,1,0)</f>
        <v>0</v>
      </c>
      <c r="O689" s="6">
        <f>IF(N689=1,ROUND((SUMIFS($M$3:$M$1200,$A$3:$A$1200,A689)+'Settings'!$B$13)*'Settings'!$B$14/100+'Settings'!$B$15,2),0)</f>
        <v>0</v>
      </c>
    </row>
    <row r="690">
      <c r="A690" s="3" t="inlineStr">
        <is>
          <t xml:space="preserve">#1505</t>
        </is>
      </c>
      <c r="B690" s="3" t="inlineStr">
        <is>
          <t xml:space="preserve">2026-05-26</t>
        </is>
      </c>
      <c r="C690" s="3" t="inlineStr">
        <is>
          <t xml:space="preserve">SKU-D</t>
        </is>
      </c>
      <c r="D690" s="3" t="inlineStr">
        <is>
          <t xml:space="preserve">Daily Duo</t>
        </is>
      </c>
      <c r="E690" s="6">
        <f>IF('Settings'!$B$11="Scenario",IFERROR(INDEX('Catalogue'!$E$3:$E$100,MATCH(C690,'Catalogue'!$B$3:$B$100,0)),F690),F690)</f>
        <v>79</v>
      </c>
      <c r="F690" s="8">
        <v>79</v>
      </c>
      <c r="G690" s="3">
        <v>1</v>
      </c>
      <c r="H690" s="6">
        <f>IF('Settings'!$B$11="Scenario",ROUND(E690*G690*IFERROR(SUMIF('Pricing &amp; promotions'!$A$6:$A$8,L690,'Pricing &amp; promotions'!$B$6:$B$8)/100,0),2),J690)</f>
        <v>0.0</v>
      </c>
      <c r="I690" s="6">
        <f>ROUND((E690*G690-H690)/IF(OR(K690=TRUE,K690="TRUE",K690="YES",K690=1),1+'Settings'!$B$6/100,1),2)</f>
        <v>65.29</v>
      </c>
      <c r="J690" s="8">
        <v>0.0</v>
      </c>
      <c r="K690" s="3" t="inlineStr">
        <is>
          <t xml:space="preserve">TRUE</t>
        </is>
      </c>
      <c r="L690" s="3"/>
      <c r="M690" s="6">
        <f>ROUND(E690*G690-H690,2)</f>
        <v>79.0</v>
      </c>
      <c r="N690" s="5">
        <f>IF(COUNTIF($A$3:A690,A690)=1,1,0)</f>
        <v>1</v>
      </c>
      <c r="O690" s="6">
        <f>IF(N690=1,ROUND((SUMIFS($M$3:$M$1200,$A$3:$A$1200,A690)+'Settings'!$B$13)*'Settings'!$B$14/100+'Settings'!$B$15,2),0)</f>
        <v>1.48</v>
      </c>
    </row>
    <row r="691">
      <c r="A691" s="3" t="inlineStr">
        <is>
          <t xml:space="preserve">#1506</t>
        </is>
      </c>
      <c r="B691" s="3" t="inlineStr">
        <is>
          <t xml:space="preserve">2026-05-26</t>
        </is>
      </c>
      <c r="C691" s="3" t="inlineStr">
        <is>
          <t xml:space="preserve">SKU-E</t>
        </is>
      </c>
      <c r="D691" s="3" t="inlineStr">
        <is>
          <t xml:space="preserve">Complete Ritual</t>
        </is>
      </c>
      <c r="E691" s="6">
        <f>IF('Settings'!$B$11="Scenario",IFERROR(INDEX('Catalogue'!$E$3:$E$100,MATCH(C691,'Catalogue'!$B$3:$B$100,0)),F691),F691)</f>
        <v>89</v>
      </c>
      <c r="F691" s="8">
        <v>89</v>
      </c>
      <c r="G691" s="3">
        <v>2</v>
      </c>
      <c r="H691" s="6">
        <f>IF('Settings'!$B$11="Scenario",ROUND(E691*G691*IFERROR(SUMIF('Pricing &amp; promotions'!$A$6:$A$8,L691,'Pricing &amp; promotions'!$B$6:$B$8)/100,0),2),J691)</f>
        <v>0.0</v>
      </c>
      <c r="I691" s="6">
        <f>ROUND((E691*G691-H691)/IF(OR(K691=TRUE,K691="TRUE",K691="YES",K691=1),1+'Settings'!$B$6/100,1),2)</f>
        <v>147.11</v>
      </c>
      <c r="J691" s="8">
        <v>0.0</v>
      </c>
      <c r="K691" s="3" t="inlineStr">
        <is>
          <t xml:space="preserve">TRUE</t>
        </is>
      </c>
      <c r="L691" s="3"/>
      <c r="M691" s="6">
        <f>ROUND(E691*G691-H691,2)</f>
        <v>178.0</v>
      </c>
      <c r="N691" s="5">
        <f>IF(COUNTIF($A$3:A691,A691)=1,1,0)</f>
        <v>1</v>
      </c>
      <c r="O691" s="6">
        <f>IF(N691=1,ROUND((SUMIFS($M$3:$M$1200,$A$3:$A$1200,A691)+'Settings'!$B$13)*'Settings'!$B$14/100+'Settings'!$B$15,2),0)</f>
        <v>2.96</v>
      </c>
    </row>
    <row r="692">
      <c r="A692" s="3" t="inlineStr">
        <is>
          <t xml:space="preserve">#1507</t>
        </is>
      </c>
      <c r="B692" s="3" t="inlineStr">
        <is>
          <t xml:space="preserve">2026-05-27</t>
        </is>
      </c>
      <c r="C692" s="3" t="inlineStr">
        <is>
          <t xml:space="preserve">SKU-D</t>
        </is>
      </c>
      <c r="D692" s="3" t="inlineStr">
        <is>
          <t xml:space="preserve">Daily Duo</t>
        </is>
      </c>
      <c r="E692" s="6">
        <f>IF('Settings'!$B$11="Scenario",IFERROR(INDEX('Catalogue'!$E$3:$E$100,MATCH(C692,'Catalogue'!$B$3:$B$100,0)),F692),F692)</f>
        <v>79</v>
      </c>
      <c r="F692" s="8">
        <v>79</v>
      </c>
      <c r="G692" s="3">
        <v>1</v>
      </c>
      <c r="H692" s="6">
        <f>IF('Settings'!$B$11="Scenario",ROUND(E692*G692*IFERROR(SUMIF('Pricing &amp; promotions'!$A$6:$A$8,L692,'Pricing &amp; promotions'!$B$6:$B$8)/100,0),2),J692)</f>
        <v>15.8</v>
      </c>
      <c r="I692" s="6">
        <f>ROUND((E692*G692-H692)/IF(OR(K692=TRUE,K692="TRUE",K692="YES",K692=1),1+'Settings'!$B$6/100,1),2)</f>
        <v>52.23</v>
      </c>
      <c r="J692" s="8">
        <v>15.8</v>
      </c>
      <c r="K692" s="3" t="inlineStr">
        <is>
          <t xml:space="preserve">TRUE</t>
        </is>
      </c>
      <c r="L692" s="3" t="inlineStr">
        <is>
          <t xml:space="preserve">VIP20</t>
        </is>
      </c>
      <c r="M692" s="6">
        <f>ROUND(E692*G692-H692,2)</f>
        <v>63.2</v>
      </c>
      <c r="N692" s="5">
        <f>IF(COUNTIF($A$3:A692,A692)=1,1,0)</f>
        <v>1</v>
      </c>
      <c r="O692" s="6">
        <f>IF(N692=1,ROUND((SUMIFS($M$3:$M$1200,$A$3:$A$1200,A692)+'Settings'!$B$13)*'Settings'!$B$14/100+'Settings'!$B$15,2),0)</f>
        <v>1.47</v>
      </c>
    </row>
    <row r="693">
      <c r="A693" s="3" t="inlineStr">
        <is>
          <t xml:space="preserve">#1507</t>
        </is>
      </c>
      <c r="B693" s="3" t="inlineStr">
        <is>
          <t xml:space="preserve">2026-05-27</t>
        </is>
      </c>
      <c r="C693" s="3" t="inlineStr">
        <is>
          <t xml:space="preserve">SKU-B</t>
        </is>
      </c>
      <c r="D693" s="3" t="inlineStr">
        <is>
          <t xml:space="preserve">Barrier Balm</t>
        </is>
      </c>
      <c r="E693" s="6">
        <f>IF('Settings'!$B$11="Scenario",IFERROR(INDEX('Catalogue'!$E$3:$E$100,MATCH(C693,'Catalogue'!$B$3:$B$100,0)),F693),F693)</f>
        <v>19</v>
      </c>
      <c r="F693" s="8">
        <v>19</v>
      </c>
      <c r="G693" s="3">
        <v>1</v>
      </c>
      <c r="H693" s="6">
        <f>IF('Settings'!$B$11="Scenario",ROUND(E693*G693*IFERROR(SUMIF('Pricing &amp; promotions'!$A$6:$A$8,L693,'Pricing &amp; promotions'!$B$6:$B$8)/100,0),2),J693)</f>
        <v>3.8</v>
      </c>
      <c r="I693" s="6">
        <f>ROUND((E693*G693-H693)/IF(OR(K693=TRUE,K693="TRUE",K693="YES",K693=1),1+'Settings'!$B$6/100,1),2)</f>
        <v>12.56</v>
      </c>
      <c r="J693" s="8">
        <v>3.8</v>
      </c>
      <c r="K693" s="3" t="inlineStr">
        <is>
          <t xml:space="preserve">TRUE</t>
        </is>
      </c>
      <c r="L693" s="3" t="inlineStr">
        <is>
          <t xml:space="preserve">VIP20</t>
        </is>
      </c>
      <c r="M693" s="6">
        <f>ROUND(E693*G693-H693,2)</f>
        <v>15.2</v>
      </c>
      <c r="N693" s="5">
        <f>IF(COUNTIF($A$3:A693,A693)=1,1,0)</f>
        <v>0</v>
      </c>
      <c r="O693" s="6">
        <f>IF(N693=1,ROUND((SUMIFS($M$3:$M$1200,$A$3:$A$1200,A693)+'Settings'!$B$13)*'Settings'!$B$14/100+'Settings'!$B$15,2),0)</f>
        <v>0</v>
      </c>
    </row>
    <row r="694">
      <c r="A694" s="3" t="inlineStr">
        <is>
          <t xml:space="preserve">#1508</t>
        </is>
      </c>
      <c r="B694" s="3" t="inlineStr">
        <is>
          <t xml:space="preserve">2026-05-27</t>
        </is>
      </c>
      <c r="C694" s="3" t="inlineStr">
        <is>
          <t xml:space="preserve">SKU-D</t>
        </is>
      </c>
      <c r="D694" s="3" t="inlineStr">
        <is>
          <t xml:space="preserve">Daily Duo</t>
        </is>
      </c>
      <c r="E694" s="6">
        <f>IF('Settings'!$B$11="Scenario",IFERROR(INDEX('Catalogue'!$E$3:$E$100,MATCH(C694,'Catalogue'!$B$3:$B$100,0)),F694),F694)</f>
        <v>79</v>
      </c>
      <c r="F694" s="8">
        <v>79</v>
      </c>
      <c r="G694" s="3">
        <v>1</v>
      </c>
      <c r="H694" s="6">
        <f>IF('Settings'!$B$11="Scenario",ROUND(E694*G694*IFERROR(SUMIF('Pricing &amp; promotions'!$A$6:$A$8,L694,'Pricing &amp; promotions'!$B$6:$B$8)/100,0),2),J694)</f>
        <v>0.0</v>
      </c>
      <c r="I694" s="6">
        <f>ROUND((E694*G694-H694)/IF(OR(K694=TRUE,K694="TRUE",K694="YES",K694=1),1+'Settings'!$B$6/100,1),2)</f>
        <v>65.29</v>
      </c>
      <c r="J694" s="8">
        <v>0.0</v>
      </c>
      <c r="K694" s="3" t="inlineStr">
        <is>
          <t xml:space="preserve">TRUE</t>
        </is>
      </c>
      <c r="L694" s="3"/>
      <c r="M694" s="6">
        <f>ROUND(E694*G694-H694,2)</f>
        <v>79.0</v>
      </c>
      <c r="N694" s="5">
        <f>IF(COUNTIF($A$3:A694,A694)=1,1,0)</f>
        <v>1</v>
      </c>
      <c r="O694" s="6">
        <f>IF(N694=1,ROUND((SUMIFS($M$3:$M$1200,$A$3:$A$1200,A694)+'Settings'!$B$13)*'Settings'!$B$14/100+'Settings'!$B$15,2),0)</f>
        <v>1.48</v>
      </c>
    </row>
    <row r="695">
      <c r="A695" s="3" t="inlineStr">
        <is>
          <t xml:space="preserve">#1509</t>
        </is>
      </c>
      <c r="B695" s="3" t="inlineStr">
        <is>
          <t xml:space="preserve">2026-05-27</t>
        </is>
      </c>
      <c r="C695" s="3" t="inlineStr">
        <is>
          <t xml:space="preserve">SKU-A</t>
        </is>
      </c>
      <c r="D695" s="3" t="inlineStr">
        <is>
          <t xml:space="preserve">Renewal Serum</t>
        </is>
      </c>
      <c r="E695" s="6">
        <f>IF('Settings'!$B$11="Scenario",IFERROR(INDEX('Catalogue'!$E$3:$E$100,MATCH(C695,'Catalogue'!$B$3:$B$100,0)),F695),F695)</f>
        <v>69.9</v>
      </c>
      <c r="F695" s="8">
        <v>69.9</v>
      </c>
      <c r="G695" s="3">
        <v>1</v>
      </c>
      <c r="H695" s="6">
        <f>IF('Settings'!$B$11="Scenario",ROUND(E695*G695*IFERROR(SUMIF('Pricing &amp; promotions'!$A$6:$A$8,L695,'Pricing &amp; promotions'!$B$6:$B$8)/100,0),2),J695)</f>
        <v>0.0</v>
      </c>
      <c r="I695" s="6">
        <f>ROUND((E695*G695-H695)/IF(OR(K695=TRUE,K695="TRUE",K695="YES",K695=1),1+'Settings'!$B$6/100,1),2)</f>
        <v>57.77</v>
      </c>
      <c r="J695" s="8">
        <v>0.0</v>
      </c>
      <c r="K695" s="3" t="inlineStr">
        <is>
          <t xml:space="preserve">TRUE</t>
        </is>
      </c>
      <c r="L695" s="3"/>
      <c r="M695" s="6">
        <f>ROUND(E695*G695-H695,2)</f>
        <v>69.9</v>
      </c>
      <c r="N695" s="5">
        <f>IF(COUNTIF($A$3:A695,A695)=1,1,0)</f>
        <v>1</v>
      </c>
      <c r="O695" s="6">
        <f>IF(N695=1,ROUND((SUMIFS($M$3:$M$1200,$A$3:$A$1200,A695)+'Settings'!$B$13)*'Settings'!$B$14/100+'Settings'!$B$15,2),0)</f>
        <v>1.34</v>
      </c>
    </row>
    <row r="696">
      <c r="A696" s="3" t="inlineStr">
        <is>
          <t xml:space="preserve">#1510</t>
        </is>
      </c>
      <c r="B696" s="3" t="inlineStr">
        <is>
          <t xml:space="preserve">2026-05-28</t>
        </is>
      </c>
      <c r="C696" s="3" t="inlineStr">
        <is>
          <t xml:space="preserve">SKU-G</t>
        </is>
      </c>
      <c r="D696" s="3" t="inlineStr">
        <is>
          <t xml:space="preserve">Daily Reset Set</t>
        </is>
      </c>
      <c r="E696" s="6">
        <f>IF('Settings'!$B$11="Scenario",IFERROR(INDEX('Catalogue'!$E$3:$E$100,MATCH(C696,'Catalogue'!$B$3:$B$100,0)),F696),F696)</f>
        <v>69</v>
      </c>
      <c r="F696" s="8">
        <v>69</v>
      </c>
      <c r="G696" s="3">
        <v>1</v>
      </c>
      <c r="H696" s="6">
        <f>IF('Settings'!$B$11="Scenario",ROUND(E696*G696*IFERROR(SUMIF('Pricing &amp; promotions'!$A$6:$A$8,L696,'Pricing &amp; promotions'!$B$6:$B$8)/100,0),2),J696)</f>
        <v>0.0</v>
      </c>
      <c r="I696" s="6">
        <f>ROUND((E696*G696-H696)/IF(OR(K696=TRUE,K696="TRUE",K696="YES",K696=1),1+'Settings'!$B$6/100,1),2)</f>
        <v>57.02</v>
      </c>
      <c r="J696" s="8">
        <v>0.0</v>
      </c>
      <c r="K696" s="3" t="inlineStr">
        <is>
          <t xml:space="preserve">TRUE</t>
        </is>
      </c>
      <c r="L696" s="3"/>
      <c r="M696" s="6">
        <f>ROUND(E696*G696-H696,2)</f>
        <v>69.0</v>
      </c>
      <c r="N696" s="5">
        <f>IF(COUNTIF($A$3:A696,A696)=1,1,0)</f>
        <v>1</v>
      </c>
      <c r="O696" s="6">
        <f>IF(N696=1,ROUND((SUMIFS($M$3:$M$1200,$A$3:$A$1200,A696)+'Settings'!$B$13)*'Settings'!$B$14/100+'Settings'!$B$15,2),0)</f>
        <v>1.33</v>
      </c>
    </row>
    <row r="697">
      <c r="A697" s="3" t="inlineStr">
        <is>
          <t xml:space="preserve">#1511</t>
        </is>
      </c>
      <c r="B697" s="3" t="inlineStr">
        <is>
          <t xml:space="preserve">2026-05-28</t>
        </is>
      </c>
      <c r="C697" s="3" t="inlineStr">
        <is>
          <t xml:space="preserve">SKU-B</t>
        </is>
      </c>
      <c r="D697" s="3" t="inlineStr">
        <is>
          <t xml:space="preserve">Barrier Balm</t>
        </is>
      </c>
      <c r="E697" s="6">
        <f>IF('Settings'!$B$11="Scenario",IFERROR(INDEX('Catalogue'!$E$3:$E$100,MATCH(C697,'Catalogue'!$B$3:$B$100,0)),F697),F697)</f>
        <v>19</v>
      </c>
      <c r="F697" s="8">
        <v>19</v>
      </c>
      <c r="G697" s="3">
        <v>2</v>
      </c>
      <c r="H697" s="6">
        <f>IF('Settings'!$B$11="Scenario",ROUND(E697*G697*IFERROR(SUMIF('Pricing &amp; promotions'!$A$6:$A$8,L697,'Pricing &amp; promotions'!$B$6:$B$8)/100,0),2),J697)</f>
        <v>3.8</v>
      </c>
      <c r="I697" s="6">
        <f>ROUND((E697*G697-H697)/IF(OR(K697=TRUE,K697="TRUE",K697="YES",K697=1),1+'Settings'!$B$6/100,1),2)</f>
        <v>28.26</v>
      </c>
      <c r="J697" s="8">
        <v>3.8</v>
      </c>
      <c r="K697" s="3" t="inlineStr">
        <is>
          <t xml:space="preserve">TRUE</t>
        </is>
      </c>
      <c r="L697" s="3" t="inlineStr">
        <is>
          <t xml:space="preserve">WELCOME10</t>
        </is>
      </c>
      <c r="M697" s="6">
        <f>ROUND(E697*G697-H697,2)</f>
        <v>34.2</v>
      </c>
      <c r="N697" s="5">
        <f>IF(COUNTIF($A$3:A697,A697)=1,1,0)</f>
        <v>1</v>
      </c>
      <c r="O697" s="6">
        <f>IF(N697=1,ROUND((SUMIFS($M$3:$M$1200,$A$3:$A$1200,A697)+'Settings'!$B$13)*'Settings'!$B$14/100+'Settings'!$B$15,2),0)</f>
        <v>0.81</v>
      </c>
    </row>
    <row r="698">
      <c r="A698" s="3" t="inlineStr">
        <is>
          <t xml:space="preserve">#1512</t>
        </is>
      </c>
      <c r="B698" s="3" t="inlineStr">
        <is>
          <t xml:space="preserve">2026-05-28</t>
        </is>
      </c>
      <c r="C698" s="3" t="inlineStr">
        <is>
          <t xml:space="preserve">SKU-A</t>
        </is>
      </c>
      <c r="D698" s="3" t="inlineStr">
        <is>
          <t xml:space="preserve">Renewal Serum</t>
        </is>
      </c>
      <c r="E698" s="6">
        <f>IF('Settings'!$B$11="Scenario",IFERROR(INDEX('Catalogue'!$E$3:$E$100,MATCH(C698,'Catalogue'!$B$3:$B$100,0)),F698),F698)</f>
        <v>69.9</v>
      </c>
      <c r="F698" s="8">
        <v>69.9</v>
      </c>
      <c r="G698" s="3">
        <v>1</v>
      </c>
      <c r="H698" s="6">
        <f>IF('Settings'!$B$11="Scenario",ROUND(E698*G698*IFERROR(SUMIF('Pricing &amp; promotions'!$A$6:$A$8,L698,'Pricing &amp; promotions'!$B$6:$B$8)/100,0),2),J698)</f>
        <v>13.98</v>
      </c>
      <c r="I698" s="6">
        <f>ROUND((E698*G698-H698)/IF(OR(K698=TRUE,K698="TRUE",K698="YES",K698=1),1+'Settings'!$B$6/100,1),2)</f>
        <v>46.21</v>
      </c>
      <c r="J698" s="8">
        <v>13.98</v>
      </c>
      <c r="K698" s="3" t="inlineStr">
        <is>
          <t xml:space="preserve">TRUE</t>
        </is>
      </c>
      <c r="L698" s="3" t="inlineStr">
        <is>
          <t xml:space="preserve">VIP20</t>
        </is>
      </c>
      <c r="M698" s="6">
        <f>ROUND(E698*G698-H698,2)</f>
        <v>55.92</v>
      </c>
      <c r="N698" s="5">
        <f>IF(COUNTIF($A$3:A698,A698)=1,1,0)</f>
        <v>1</v>
      </c>
      <c r="O698" s="6">
        <f>IF(N698=1,ROUND((SUMIFS($M$3:$M$1200,$A$3:$A$1200,A698)+'Settings'!$B$13)*'Settings'!$B$14/100+'Settings'!$B$15,2),0)</f>
        <v>1.13</v>
      </c>
    </row>
    <row r="699">
      <c r="A699" s="3" t="inlineStr">
        <is>
          <t xml:space="preserve">#1513</t>
        </is>
      </c>
      <c r="B699" s="3" t="inlineStr">
        <is>
          <t xml:space="preserve">2026-05-29</t>
        </is>
      </c>
      <c r="C699" s="3" t="inlineStr">
        <is>
          <t xml:space="preserve">SKU-E</t>
        </is>
      </c>
      <c r="D699" s="3" t="inlineStr">
        <is>
          <t xml:space="preserve">Complete Ritual</t>
        </is>
      </c>
      <c r="E699" s="6">
        <f>IF('Settings'!$B$11="Scenario",IFERROR(INDEX('Catalogue'!$E$3:$E$100,MATCH(C699,'Catalogue'!$B$3:$B$100,0)),F699),F699)</f>
        <v>89</v>
      </c>
      <c r="F699" s="8">
        <v>89</v>
      </c>
      <c r="G699" s="3">
        <v>1</v>
      </c>
      <c r="H699" s="6">
        <f>IF('Settings'!$B$11="Scenario",ROUND(E699*G699*IFERROR(SUMIF('Pricing &amp; promotions'!$A$6:$A$8,L699,'Pricing &amp; promotions'!$B$6:$B$8)/100,0),2),J699)</f>
        <v>8.9</v>
      </c>
      <c r="I699" s="6">
        <f>ROUND((E699*G699-H699)/IF(OR(K699=TRUE,K699="TRUE",K699="YES",K699=1),1+'Settings'!$B$6/100,1),2)</f>
        <v>66.2</v>
      </c>
      <c r="J699" s="8">
        <v>8.9</v>
      </c>
      <c r="K699" s="3" t="inlineStr">
        <is>
          <t xml:space="preserve">TRUE</t>
        </is>
      </c>
      <c r="L699" s="3" t="inlineStr">
        <is>
          <t xml:space="preserve">WELCOME10</t>
        </is>
      </c>
      <c r="M699" s="6">
        <f>ROUND(E699*G699-H699,2)</f>
        <v>80.1</v>
      </c>
      <c r="N699" s="5">
        <f>IF(COUNTIF($A$3:A699,A699)=1,1,0)</f>
        <v>1</v>
      </c>
      <c r="O699" s="6">
        <f>IF(N699=1,ROUND((SUMIFS($M$3:$M$1200,$A$3:$A$1200,A699)+'Settings'!$B$13)*'Settings'!$B$14/100+'Settings'!$B$15,2),0)</f>
        <v>1.5</v>
      </c>
    </row>
    <row r="700">
      <c r="A700" s="3" t="inlineStr">
        <is>
          <t xml:space="preserve">#1514</t>
        </is>
      </c>
      <c r="B700" s="3" t="inlineStr">
        <is>
          <t xml:space="preserve">2026-05-29</t>
        </is>
      </c>
      <c r="C700" s="3" t="inlineStr">
        <is>
          <t xml:space="preserve">SKU-C</t>
        </is>
      </c>
      <c r="D700" s="3" t="inlineStr">
        <is>
          <t xml:space="preserve">Contour Stone</t>
        </is>
      </c>
      <c r="E700" s="6">
        <f>IF('Settings'!$B$11="Scenario",IFERROR(INDEX('Catalogue'!$E$3:$E$100,MATCH(C700,'Catalogue'!$B$3:$B$100,0)),F700),F700)</f>
        <v>29</v>
      </c>
      <c r="F700" s="8">
        <v>29</v>
      </c>
      <c r="G700" s="3">
        <v>1</v>
      </c>
      <c r="H700" s="6">
        <f>IF('Settings'!$B$11="Scenario",ROUND(E700*G700*IFERROR(SUMIF('Pricing &amp; promotions'!$A$6:$A$8,L700,'Pricing &amp; promotions'!$B$6:$B$8)/100,0),2),J700)</f>
        <v>2.9</v>
      </c>
      <c r="I700" s="6">
        <f>ROUND((E700*G700-H700)/IF(OR(K700=TRUE,K700="TRUE",K700="YES",K700=1),1+'Settings'!$B$6/100,1),2)</f>
        <v>21.57</v>
      </c>
      <c r="J700" s="8">
        <v>2.9</v>
      </c>
      <c r="K700" s="3" t="inlineStr">
        <is>
          <t xml:space="preserve">TRUE</t>
        </is>
      </c>
      <c r="L700" s="3" t="inlineStr">
        <is>
          <t xml:space="preserve">WELCOME10</t>
        </is>
      </c>
      <c r="M700" s="6">
        <f>ROUND(E700*G700-H700,2)</f>
        <v>26.1</v>
      </c>
      <c r="N700" s="5">
        <f>IF(COUNTIF($A$3:A700,A700)=1,1,0)</f>
        <v>1</v>
      </c>
      <c r="O700" s="6">
        <f>IF(N700=1,ROUND((SUMIFS($M$3:$M$1200,$A$3:$A$1200,A700)+'Settings'!$B$13)*'Settings'!$B$14/100+'Settings'!$B$15,2),0)</f>
        <v>0.69</v>
      </c>
    </row>
    <row r="701">
      <c r="A701" s="3" t="inlineStr">
        <is>
          <t xml:space="preserve">#1515</t>
        </is>
      </c>
      <c r="B701" s="3" t="inlineStr">
        <is>
          <t xml:space="preserve">2026-05-29</t>
        </is>
      </c>
      <c r="C701" s="3" t="inlineStr">
        <is>
          <t xml:space="preserve">SKU-A</t>
        </is>
      </c>
      <c r="D701" s="3" t="inlineStr">
        <is>
          <t xml:space="preserve">Renewal Serum</t>
        </is>
      </c>
      <c r="E701" s="6">
        <f>IF('Settings'!$B$11="Scenario",IFERROR(INDEX('Catalogue'!$E$3:$E$100,MATCH(C701,'Catalogue'!$B$3:$B$100,0)),F701),F701)</f>
        <v>69.9</v>
      </c>
      <c r="F701" s="8">
        <v>69.9</v>
      </c>
      <c r="G701" s="3">
        <v>1</v>
      </c>
      <c r="H701" s="6">
        <f>IF('Settings'!$B$11="Scenario",ROUND(E701*G701*IFERROR(SUMIF('Pricing &amp; promotions'!$A$6:$A$8,L701,'Pricing &amp; promotions'!$B$6:$B$8)/100,0),2),J701)</f>
        <v>0.0</v>
      </c>
      <c r="I701" s="6">
        <f>ROUND((E701*G701-H701)/IF(OR(K701=TRUE,K701="TRUE",K701="YES",K701=1),1+'Settings'!$B$6/100,1),2)</f>
        <v>57.77</v>
      </c>
      <c r="J701" s="8">
        <v>0.0</v>
      </c>
      <c r="K701" s="3" t="inlineStr">
        <is>
          <t xml:space="preserve">TRUE</t>
        </is>
      </c>
      <c r="L701" s="3"/>
      <c r="M701" s="6">
        <f>ROUND(E701*G701-H701,2)</f>
        <v>69.9</v>
      </c>
      <c r="N701" s="5">
        <f>IF(COUNTIF($A$3:A701,A701)=1,1,0)</f>
        <v>1</v>
      </c>
      <c r="O701" s="6">
        <f>IF(N701=1,ROUND((SUMIFS($M$3:$M$1200,$A$3:$A$1200,A701)+'Settings'!$B$13)*'Settings'!$B$14/100+'Settings'!$B$15,2),0)</f>
        <v>1.34</v>
      </c>
    </row>
    <row r="702">
      <c r="A702" s="3" t="inlineStr">
        <is>
          <t xml:space="preserve">#1516</t>
        </is>
      </c>
      <c r="B702" s="3" t="inlineStr">
        <is>
          <t xml:space="preserve">2026-05-30</t>
        </is>
      </c>
      <c r="C702" s="3" t="inlineStr">
        <is>
          <t xml:space="preserve">SKU-A</t>
        </is>
      </c>
      <c r="D702" s="3" t="inlineStr">
        <is>
          <t xml:space="preserve">Renewal Serum</t>
        </is>
      </c>
      <c r="E702" s="6">
        <f>IF('Settings'!$B$11="Scenario",IFERROR(INDEX('Catalogue'!$E$3:$E$100,MATCH(C702,'Catalogue'!$B$3:$B$100,0)),F702),F702)</f>
        <v>69.9</v>
      </c>
      <c r="F702" s="8">
        <v>69.9</v>
      </c>
      <c r="G702" s="3">
        <v>1</v>
      </c>
      <c r="H702" s="6">
        <f>IF('Settings'!$B$11="Scenario",ROUND(E702*G702*IFERROR(SUMIF('Pricing &amp; promotions'!$A$6:$A$8,L702,'Pricing &amp; promotions'!$B$6:$B$8)/100,0),2),J702)</f>
        <v>0.0</v>
      </c>
      <c r="I702" s="6">
        <f>ROUND((E702*G702-H702)/IF(OR(K702=TRUE,K702="TRUE",K702="YES",K702=1),1+'Settings'!$B$6/100,1),2)</f>
        <v>57.77</v>
      </c>
      <c r="J702" s="8">
        <v>0.0</v>
      </c>
      <c r="K702" s="3" t="inlineStr">
        <is>
          <t xml:space="preserve">TRUE</t>
        </is>
      </c>
      <c r="L702" s="3"/>
      <c r="M702" s="6">
        <f>ROUND(E702*G702-H702,2)</f>
        <v>69.9</v>
      </c>
      <c r="N702" s="5">
        <f>IF(COUNTIF($A$3:A702,A702)=1,1,0)</f>
        <v>1</v>
      </c>
      <c r="O702" s="6">
        <f>IF(N702=1,ROUND((SUMIFS($M$3:$M$1200,$A$3:$A$1200,A702)+'Settings'!$B$13)*'Settings'!$B$14/100+'Settings'!$B$15,2),0)</f>
        <v>1.34</v>
      </c>
    </row>
    <row r="703">
      <c r="A703" s="3" t="inlineStr">
        <is>
          <t xml:space="preserve">#1517</t>
        </is>
      </c>
      <c r="B703" s="3" t="inlineStr">
        <is>
          <t xml:space="preserve">2026-05-30</t>
        </is>
      </c>
      <c r="C703" s="3" t="inlineStr">
        <is>
          <t xml:space="preserve">SKU-C</t>
        </is>
      </c>
      <c r="D703" s="3" t="inlineStr">
        <is>
          <t xml:space="preserve">Contour Stone</t>
        </is>
      </c>
      <c r="E703" s="6">
        <f>IF('Settings'!$B$11="Scenario",IFERROR(INDEX('Catalogue'!$E$3:$E$100,MATCH(C703,'Catalogue'!$B$3:$B$100,0)),F703),F703)</f>
        <v>29</v>
      </c>
      <c r="F703" s="8">
        <v>29</v>
      </c>
      <c r="G703" s="3">
        <v>1</v>
      </c>
      <c r="H703" s="6">
        <f>IF('Settings'!$B$11="Scenario",ROUND(E703*G703*IFERROR(SUMIF('Pricing &amp; promotions'!$A$6:$A$8,L703,'Pricing &amp; promotions'!$B$6:$B$8)/100,0),2),J703)</f>
        <v>4.35</v>
      </c>
      <c r="I703" s="6">
        <f>ROUND((E703*G703-H703)/IF(OR(K703=TRUE,K703="TRUE",K703="YES",K703=1),1+'Settings'!$B$6/100,1),2)</f>
        <v>20.37</v>
      </c>
      <c r="J703" s="8">
        <v>4.35</v>
      </c>
      <c r="K703" s="3" t="inlineStr">
        <is>
          <t xml:space="preserve">TRUE</t>
        </is>
      </c>
      <c r="L703" s="3" t="inlineStr">
        <is>
          <t xml:space="preserve">SUMMER15</t>
        </is>
      </c>
      <c r="M703" s="6">
        <f>ROUND(E703*G703-H703,2)</f>
        <v>24.65</v>
      </c>
      <c r="N703" s="5">
        <f>IF(COUNTIF($A$3:A703,A703)=1,1,0)</f>
        <v>1</v>
      </c>
      <c r="O703" s="6">
        <f>IF(N703=1,ROUND((SUMIFS($M$3:$M$1200,$A$3:$A$1200,A703)+'Settings'!$B$13)*'Settings'!$B$14/100+'Settings'!$B$15,2),0)</f>
        <v>0.66</v>
      </c>
    </row>
    <row r="704">
      <c r="A704" s="3" t="inlineStr">
        <is>
          <t xml:space="preserve">#1518</t>
        </is>
      </c>
      <c r="B704" s="3" t="inlineStr">
        <is>
          <t xml:space="preserve">2026-05-30</t>
        </is>
      </c>
      <c r="C704" s="3" t="inlineStr">
        <is>
          <t xml:space="preserve">SKU-E</t>
        </is>
      </c>
      <c r="D704" s="3" t="inlineStr">
        <is>
          <t xml:space="preserve">Complete Ritual</t>
        </is>
      </c>
      <c r="E704" s="6">
        <f>IF('Settings'!$B$11="Scenario",IFERROR(INDEX('Catalogue'!$E$3:$E$100,MATCH(C704,'Catalogue'!$B$3:$B$100,0)),F704),F704)</f>
        <v>89</v>
      </c>
      <c r="F704" s="8">
        <v>89</v>
      </c>
      <c r="G704" s="3">
        <v>1</v>
      </c>
      <c r="H704" s="6">
        <f>IF('Settings'!$B$11="Scenario",ROUND(E704*G704*IFERROR(SUMIF('Pricing &amp; promotions'!$A$6:$A$8,L704,'Pricing &amp; promotions'!$B$6:$B$8)/100,0),2),J704)</f>
        <v>0.0</v>
      </c>
      <c r="I704" s="6">
        <f>ROUND((E704*G704-H704)/IF(OR(K704=TRUE,K704="TRUE",K704="YES",K704=1),1+'Settings'!$B$6/100,1),2)</f>
        <v>73.55</v>
      </c>
      <c r="J704" s="8">
        <v>0.0</v>
      </c>
      <c r="K704" s="3" t="inlineStr">
        <is>
          <t xml:space="preserve">TRUE</t>
        </is>
      </c>
      <c r="L704" s="3"/>
      <c r="M704" s="6">
        <f>ROUND(E704*G704-H704,2)</f>
        <v>89.0</v>
      </c>
      <c r="N704" s="5">
        <f>IF(COUNTIF($A$3:A704,A704)=1,1,0)</f>
        <v>1</v>
      </c>
      <c r="O704" s="6">
        <f>IF(N704=1,ROUND((SUMIFS($M$3:$M$1200,$A$3:$A$1200,A704)+'Settings'!$B$13)*'Settings'!$B$14/100+'Settings'!$B$15,2),0)</f>
        <v>3.85</v>
      </c>
    </row>
    <row r="705">
      <c r="A705" s="3" t="inlineStr">
        <is>
          <t xml:space="preserve">#1518</t>
        </is>
      </c>
      <c r="B705" s="3" t="inlineStr">
        <is>
          <t xml:space="preserve">2026-05-30</t>
        </is>
      </c>
      <c r="C705" s="3" t="inlineStr">
        <is>
          <t xml:space="preserve">SKU-D</t>
        </is>
      </c>
      <c r="D705" s="3" t="inlineStr">
        <is>
          <t xml:space="preserve">Daily Duo</t>
        </is>
      </c>
      <c r="E705" s="6">
        <f>IF('Settings'!$B$11="Scenario",IFERROR(INDEX('Catalogue'!$E$3:$E$100,MATCH(C705,'Catalogue'!$B$3:$B$100,0)),F705),F705)</f>
        <v>79</v>
      </c>
      <c r="F705" s="8">
        <v>79</v>
      </c>
      <c r="G705" s="3">
        <v>1</v>
      </c>
      <c r="H705" s="6">
        <f>IF('Settings'!$B$11="Scenario",ROUND(E705*G705*IFERROR(SUMIF('Pricing &amp; promotions'!$A$6:$A$8,L705,'Pricing &amp; promotions'!$B$6:$B$8)/100,0),2),J705)</f>
        <v>0.0</v>
      </c>
      <c r="I705" s="6">
        <f>ROUND((E705*G705-H705)/IF(OR(K705=TRUE,K705="TRUE",K705="YES",K705=1),1+'Settings'!$B$6/100,1),2)</f>
        <v>65.29</v>
      </c>
      <c r="J705" s="8">
        <v>0.0</v>
      </c>
      <c r="K705" s="3" t="inlineStr">
        <is>
          <t xml:space="preserve">TRUE</t>
        </is>
      </c>
      <c r="L705" s="3"/>
      <c r="M705" s="6">
        <f>ROUND(E705*G705-H705,2)</f>
        <v>79.0</v>
      </c>
      <c r="N705" s="5">
        <f>IF(COUNTIF($A$3:A705,A705)=1,1,0)</f>
        <v>0</v>
      </c>
      <c r="O705" s="6">
        <f>IF(N705=1,ROUND((SUMIFS($M$3:$M$1200,$A$3:$A$1200,A705)+'Settings'!$B$13)*'Settings'!$B$14/100+'Settings'!$B$15,2),0)</f>
        <v>0</v>
      </c>
    </row>
    <row r="706">
      <c r="A706" s="3" t="inlineStr">
        <is>
          <t xml:space="preserve">#1518</t>
        </is>
      </c>
      <c r="B706" s="3" t="inlineStr">
        <is>
          <t xml:space="preserve">2026-05-30</t>
        </is>
      </c>
      <c r="C706" s="3" t="inlineStr">
        <is>
          <t xml:space="preserve">SKU-G</t>
        </is>
      </c>
      <c r="D706" s="3" t="inlineStr">
        <is>
          <t xml:space="preserve">Daily Reset Set</t>
        </is>
      </c>
      <c r="E706" s="6">
        <f>IF('Settings'!$B$11="Scenario",IFERROR(INDEX('Catalogue'!$E$3:$E$100,MATCH(C706,'Catalogue'!$B$3:$B$100,0)),F706),F706)</f>
        <v>69</v>
      </c>
      <c r="F706" s="8">
        <v>69</v>
      </c>
      <c r="G706" s="3">
        <v>1</v>
      </c>
      <c r="H706" s="6">
        <f>IF('Settings'!$B$11="Scenario",ROUND(E706*G706*IFERROR(SUMIF('Pricing &amp; promotions'!$A$6:$A$8,L706,'Pricing &amp; promotions'!$B$6:$B$8)/100,0),2),J706)</f>
        <v>0.0</v>
      </c>
      <c r="I706" s="6">
        <f>ROUND((E706*G706-H706)/IF(OR(K706=TRUE,K706="TRUE",K706="YES",K706=1),1+'Settings'!$B$6/100,1),2)</f>
        <v>57.02</v>
      </c>
      <c r="J706" s="8">
        <v>0.0</v>
      </c>
      <c r="K706" s="3" t="inlineStr">
        <is>
          <t xml:space="preserve">TRUE</t>
        </is>
      </c>
      <c r="L706" s="3"/>
      <c r="M706" s="6">
        <f>ROUND(E706*G706-H706,2)</f>
        <v>69.0</v>
      </c>
      <c r="N706" s="5">
        <f>IF(COUNTIF($A$3:A706,A706)=1,1,0)</f>
        <v>0</v>
      </c>
      <c r="O706" s="6">
        <f>IF(N706=1,ROUND((SUMIFS($M$3:$M$1200,$A$3:$A$1200,A706)+'Settings'!$B$13)*'Settings'!$B$14/100+'Settings'!$B$15,2),0)</f>
        <v>0</v>
      </c>
    </row>
    <row r="707">
      <c r="A707" s="3" t="inlineStr">
        <is>
          <t xml:space="preserve">#1519</t>
        </is>
      </c>
      <c r="B707" s="3" t="inlineStr">
        <is>
          <t xml:space="preserve">2026-05-30</t>
        </is>
      </c>
      <c r="C707" s="3" t="inlineStr">
        <is>
          <t xml:space="preserve">SKU-E</t>
        </is>
      </c>
      <c r="D707" s="3" t="inlineStr">
        <is>
          <t xml:space="preserve">Complete Ritual</t>
        </is>
      </c>
      <c r="E707" s="6">
        <f>IF('Settings'!$B$11="Scenario",IFERROR(INDEX('Catalogue'!$E$3:$E$100,MATCH(C707,'Catalogue'!$B$3:$B$100,0)),F707),F707)</f>
        <v>89</v>
      </c>
      <c r="F707" s="8">
        <v>89</v>
      </c>
      <c r="G707" s="3">
        <v>2</v>
      </c>
      <c r="H707" s="6">
        <f>IF('Settings'!$B$11="Scenario",ROUND(E707*G707*IFERROR(SUMIF('Pricing &amp; promotions'!$A$6:$A$8,L707,'Pricing &amp; promotions'!$B$6:$B$8)/100,0),2),J707)</f>
        <v>0.0</v>
      </c>
      <c r="I707" s="6">
        <f>ROUND((E707*G707-H707)/IF(OR(K707=TRUE,K707="TRUE",K707="YES",K707=1),1+'Settings'!$B$6/100,1),2)</f>
        <v>147.11</v>
      </c>
      <c r="J707" s="8">
        <v>0.0</v>
      </c>
      <c r="K707" s="3" t="inlineStr">
        <is>
          <t xml:space="preserve">TRUE</t>
        </is>
      </c>
      <c r="L707" s="3"/>
      <c r="M707" s="6">
        <f>ROUND(E707*G707-H707,2)</f>
        <v>178.0</v>
      </c>
      <c r="N707" s="5">
        <f>IF(COUNTIF($A$3:A707,A707)=1,1,0)</f>
        <v>1</v>
      </c>
      <c r="O707" s="6">
        <f>IF(N707=1,ROUND((SUMIFS($M$3:$M$1200,$A$3:$A$1200,A707)+'Settings'!$B$13)*'Settings'!$B$14/100+'Settings'!$B$15,2),0)</f>
        <v>2.96</v>
      </c>
    </row>
    <row r="708">
      <c r="A708" s="3" t="inlineStr">
        <is>
          <t xml:space="preserve">#1520</t>
        </is>
      </c>
      <c r="B708" s="3" t="inlineStr">
        <is>
          <t xml:space="preserve">2026-05-31</t>
        </is>
      </c>
      <c r="C708" s="3" t="inlineStr">
        <is>
          <t xml:space="preserve">SKU-E</t>
        </is>
      </c>
      <c r="D708" s="3" t="inlineStr">
        <is>
          <t xml:space="preserve">Complete Ritual</t>
        </is>
      </c>
      <c r="E708" s="6">
        <f>IF('Settings'!$B$11="Scenario",IFERROR(INDEX('Catalogue'!$E$3:$E$100,MATCH(C708,'Catalogue'!$B$3:$B$100,0)),F708),F708)</f>
        <v>89</v>
      </c>
      <c r="F708" s="8">
        <v>89</v>
      </c>
      <c r="G708" s="3">
        <v>1</v>
      </c>
      <c r="H708" s="6">
        <f>IF('Settings'!$B$11="Scenario",ROUND(E708*G708*IFERROR(SUMIF('Pricing &amp; promotions'!$A$6:$A$8,L708,'Pricing &amp; promotions'!$B$6:$B$8)/100,0),2),J708)</f>
        <v>8.9</v>
      </c>
      <c r="I708" s="6">
        <f>ROUND((E708*G708-H708)/IF(OR(K708=TRUE,K708="TRUE",K708="YES",K708=1),1+'Settings'!$B$6/100,1),2)</f>
        <v>66.2</v>
      </c>
      <c r="J708" s="8">
        <v>8.9</v>
      </c>
      <c r="K708" s="3" t="inlineStr">
        <is>
          <t xml:space="preserve">TRUE</t>
        </is>
      </c>
      <c r="L708" s="3" t="inlineStr">
        <is>
          <t xml:space="preserve">WELCOME10</t>
        </is>
      </c>
      <c r="M708" s="6">
        <f>ROUND(E708*G708-H708,2)</f>
        <v>80.1</v>
      </c>
      <c r="N708" s="5">
        <f>IF(COUNTIF($A$3:A708,A708)=1,1,0)</f>
        <v>1</v>
      </c>
      <c r="O708" s="6">
        <f>IF(N708=1,ROUND((SUMIFS($M$3:$M$1200,$A$3:$A$1200,A708)+'Settings'!$B$13)*'Settings'!$B$14/100+'Settings'!$B$15,2),0)</f>
        <v>1.5</v>
      </c>
    </row>
    <row r="709">
      <c r="A709" s="3" t="inlineStr">
        <is>
          <t xml:space="preserve">#1521</t>
        </is>
      </c>
      <c r="B709" s="3" t="inlineStr">
        <is>
          <t xml:space="preserve">2026-06-01</t>
        </is>
      </c>
      <c r="C709" s="3" t="inlineStr">
        <is>
          <t xml:space="preserve">SKU-G</t>
        </is>
      </c>
      <c r="D709" s="3" t="inlineStr">
        <is>
          <t xml:space="preserve">Daily Reset Set</t>
        </is>
      </c>
      <c r="E709" s="6">
        <f>IF('Settings'!$B$11="Scenario",IFERROR(INDEX('Catalogue'!$E$3:$E$100,MATCH(C709,'Catalogue'!$B$3:$B$100,0)),F709),F709)</f>
        <v>69</v>
      </c>
      <c r="F709" s="8">
        <v>69</v>
      </c>
      <c r="G709" s="3">
        <v>1</v>
      </c>
      <c r="H709" s="6">
        <f>IF('Settings'!$B$11="Scenario",ROUND(E709*G709*IFERROR(SUMIF('Pricing &amp; promotions'!$A$6:$A$8,L709,'Pricing &amp; promotions'!$B$6:$B$8)/100,0),2),J709)</f>
        <v>0.0</v>
      </c>
      <c r="I709" s="6">
        <f>ROUND((E709*G709-H709)/IF(OR(K709=TRUE,K709="TRUE",K709="YES",K709=1),1+'Settings'!$B$6/100,1),2)</f>
        <v>57.02</v>
      </c>
      <c r="J709" s="8">
        <v>0.0</v>
      </c>
      <c r="K709" s="3" t="inlineStr">
        <is>
          <t xml:space="preserve">TRUE</t>
        </is>
      </c>
      <c r="L709" s="3"/>
      <c r="M709" s="6">
        <f>ROUND(E709*G709-H709,2)</f>
        <v>69.0</v>
      </c>
      <c r="N709" s="5">
        <f>IF(COUNTIF($A$3:A709,A709)=1,1,0)</f>
        <v>1</v>
      </c>
      <c r="O709" s="6">
        <f>IF(N709=1,ROUND((SUMIFS($M$3:$M$1200,$A$3:$A$1200,A709)+'Settings'!$B$13)*'Settings'!$B$14/100+'Settings'!$B$15,2),0)</f>
        <v>1.33</v>
      </c>
    </row>
    <row r="710">
      <c r="A710" s="3" t="inlineStr">
        <is>
          <t xml:space="preserve">#1522</t>
        </is>
      </c>
      <c r="B710" s="3" t="inlineStr">
        <is>
          <t xml:space="preserve">2026-06-01</t>
        </is>
      </c>
      <c r="C710" s="3" t="inlineStr">
        <is>
          <t xml:space="preserve">SKU-A</t>
        </is>
      </c>
      <c r="D710" s="3" t="inlineStr">
        <is>
          <t xml:space="preserve">Renewal Serum</t>
        </is>
      </c>
      <c r="E710" s="6">
        <f>IF('Settings'!$B$11="Scenario",IFERROR(INDEX('Catalogue'!$E$3:$E$100,MATCH(C710,'Catalogue'!$B$3:$B$100,0)),F710),F710)</f>
        <v>69.9</v>
      </c>
      <c r="F710" s="8">
        <v>69.9</v>
      </c>
      <c r="G710" s="3">
        <v>1</v>
      </c>
      <c r="H710" s="6">
        <f>IF('Settings'!$B$11="Scenario",ROUND(E710*G710*IFERROR(SUMIF('Pricing &amp; promotions'!$A$6:$A$8,L710,'Pricing &amp; promotions'!$B$6:$B$8)/100,0),2),J710)</f>
        <v>10.49</v>
      </c>
      <c r="I710" s="6">
        <f>ROUND((E710*G710-H710)/IF(OR(K710=TRUE,K710="TRUE",K710="YES",K710=1),1+'Settings'!$B$6/100,1),2)</f>
        <v>49.1</v>
      </c>
      <c r="J710" s="8">
        <v>10.49</v>
      </c>
      <c r="K710" s="3" t="inlineStr">
        <is>
          <t xml:space="preserve">TRUE</t>
        </is>
      </c>
      <c r="L710" s="3" t="inlineStr">
        <is>
          <t xml:space="preserve">SUMMER15</t>
        </is>
      </c>
      <c r="M710" s="6">
        <f>ROUND(E710*G710-H710,2)</f>
        <v>59.41</v>
      </c>
      <c r="N710" s="5">
        <f>IF(COUNTIF($A$3:A710,A710)=1,1,0)</f>
        <v>1</v>
      </c>
      <c r="O710" s="6">
        <f>IF(N710=1,ROUND((SUMIFS($M$3:$M$1200,$A$3:$A$1200,A710)+'Settings'!$B$13)*'Settings'!$B$14/100+'Settings'!$B$15,2),0)</f>
        <v>1.19</v>
      </c>
    </row>
    <row r="711">
      <c r="A711" s="3" t="inlineStr">
        <is>
          <t xml:space="preserve">#1523</t>
        </is>
      </c>
      <c r="B711" s="3" t="inlineStr">
        <is>
          <t xml:space="preserve">2026-06-02</t>
        </is>
      </c>
      <c r="C711" s="3" t="inlineStr">
        <is>
          <t xml:space="preserve">SKU-D</t>
        </is>
      </c>
      <c r="D711" s="3" t="inlineStr">
        <is>
          <t xml:space="preserve">Daily Duo</t>
        </is>
      </c>
      <c r="E711" s="6">
        <f>IF('Settings'!$B$11="Scenario",IFERROR(INDEX('Catalogue'!$E$3:$E$100,MATCH(C711,'Catalogue'!$B$3:$B$100,0)),F711),F711)</f>
        <v>79</v>
      </c>
      <c r="F711" s="8">
        <v>79</v>
      </c>
      <c r="G711" s="3">
        <v>2</v>
      </c>
      <c r="H711" s="6">
        <f>IF('Settings'!$B$11="Scenario",ROUND(E711*G711*IFERROR(SUMIF('Pricing &amp; promotions'!$A$6:$A$8,L711,'Pricing &amp; promotions'!$B$6:$B$8)/100,0),2),J711)</f>
        <v>15.8</v>
      </c>
      <c r="I711" s="6">
        <f>ROUND((E711*G711-H711)/IF(OR(K711=TRUE,K711="TRUE",K711="YES",K711=1),1+'Settings'!$B$6/100,1),2)</f>
        <v>117.52</v>
      </c>
      <c r="J711" s="8">
        <v>15.8</v>
      </c>
      <c r="K711" s="3" t="inlineStr">
        <is>
          <t xml:space="preserve">TRUE</t>
        </is>
      </c>
      <c r="L711" s="3" t="inlineStr">
        <is>
          <t xml:space="preserve">WELCOME10</t>
        </is>
      </c>
      <c r="M711" s="6">
        <f>ROUND(E711*G711-H711,2)</f>
        <v>142.2</v>
      </c>
      <c r="N711" s="5">
        <f>IF(COUNTIF($A$3:A711,A711)=1,1,0)</f>
        <v>1</v>
      </c>
      <c r="O711" s="6">
        <f>IF(N711=1,ROUND((SUMIFS($M$3:$M$1200,$A$3:$A$1200,A711)+'Settings'!$B$13)*'Settings'!$B$14/100+'Settings'!$B$15,2),0)</f>
        <v>2.43</v>
      </c>
    </row>
    <row r="712">
      <c r="A712" s="3" t="inlineStr">
        <is>
          <t xml:space="preserve">#1524</t>
        </is>
      </c>
      <c r="B712" s="3" t="inlineStr">
        <is>
          <t xml:space="preserve">2026-06-03</t>
        </is>
      </c>
      <c r="C712" s="3" t="inlineStr">
        <is>
          <t xml:space="preserve">SKU-E</t>
        </is>
      </c>
      <c r="D712" s="3" t="inlineStr">
        <is>
          <t xml:space="preserve">Complete Ritual</t>
        </is>
      </c>
      <c r="E712" s="6">
        <f>IF('Settings'!$B$11="Scenario",IFERROR(INDEX('Catalogue'!$E$3:$E$100,MATCH(C712,'Catalogue'!$B$3:$B$100,0)),F712),F712)</f>
        <v>89</v>
      </c>
      <c r="F712" s="8">
        <v>89</v>
      </c>
      <c r="G712" s="3">
        <v>2</v>
      </c>
      <c r="H712" s="6">
        <f>IF('Settings'!$B$11="Scenario",ROUND(E712*G712*IFERROR(SUMIF('Pricing &amp; promotions'!$A$6:$A$8,L712,'Pricing &amp; promotions'!$B$6:$B$8)/100,0),2),J712)</f>
        <v>0.0</v>
      </c>
      <c r="I712" s="6">
        <f>ROUND((E712*G712-H712)/IF(OR(K712=TRUE,K712="TRUE",K712="YES",K712=1),1+'Settings'!$B$6/100,1),2)</f>
        <v>147.11</v>
      </c>
      <c r="J712" s="8">
        <v>0.0</v>
      </c>
      <c r="K712" s="3" t="inlineStr">
        <is>
          <t xml:space="preserve">TRUE</t>
        </is>
      </c>
      <c r="L712" s="3"/>
      <c r="M712" s="6">
        <f>ROUND(E712*G712-H712,2)</f>
        <v>178.0</v>
      </c>
      <c r="N712" s="5">
        <f>IF(COUNTIF($A$3:A712,A712)=1,1,0)</f>
        <v>1</v>
      </c>
      <c r="O712" s="6">
        <f>IF(N712=1,ROUND((SUMIFS($M$3:$M$1200,$A$3:$A$1200,A712)+'Settings'!$B$13)*'Settings'!$B$14/100+'Settings'!$B$15,2),0)</f>
        <v>5.03</v>
      </c>
    </row>
    <row r="713">
      <c r="A713" s="3" t="inlineStr">
        <is>
          <t xml:space="preserve">#1524</t>
        </is>
      </c>
      <c r="B713" s="3" t="inlineStr">
        <is>
          <t xml:space="preserve">2026-06-03</t>
        </is>
      </c>
      <c r="C713" s="3" t="inlineStr">
        <is>
          <t xml:space="preserve">SKU-G</t>
        </is>
      </c>
      <c r="D713" s="3" t="inlineStr">
        <is>
          <t xml:space="preserve">Daily Reset Set</t>
        </is>
      </c>
      <c r="E713" s="6">
        <f>IF('Settings'!$B$11="Scenario",IFERROR(INDEX('Catalogue'!$E$3:$E$100,MATCH(C713,'Catalogue'!$B$3:$B$100,0)),F713),F713)</f>
        <v>69</v>
      </c>
      <c r="F713" s="8">
        <v>69</v>
      </c>
      <c r="G713" s="3">
        <v>2</v>
      </c>
      <c r="H713" s="6">
        <f>IF('Settings'!$B$11="Scenario",ROUND(E713*G713*IFERROR(SUMIF('Pricing &amp; promotions'!$A$6:$A$8,L713,'Pricing &amp; promotions'!$B$6:$B$8)/100,0),2),J713)</f>
        <v>0.0</v>
      </c>
      <c r="I713" s="6">
        <f>ROUND((E713*G713-H713)/IF(OR(K713=TRUE,K713="TRUE",K713="YES",K713=1),1+'Settings'!$B$6/100,1),2)</f>
        <v>114.05</v>
      </c>
      <c r="J713" s="8">
        <v>0.0</v>
      </c>
      <c r="K713" s="3" t="inlineStr">
        <is>
          <t xml:space="preserve">TRUE</t>
        </is>
      </c>
      <c r="L713" s="3"/>
      <c r="M713" s="6">
        <f>ROUND(E713*G713-H713,2)</f>
        <v>138.0</v>
      </c>
      <c r="N713" s="5">
        <f>IF(COUNTIF($A$3:A713,A713)=1,1,0)</f>
        <v>0</v>
      </c>
      <c r="O713" s="6">
        <f>IF(N713=1,ROUND((SUMIFS($M$3:$M$1200,$A$3:$A$1200,A713)+'Settings'!$B$13)*'Settings'!$B$14/100+'Settings'!$B$15,2),0)</f>
        <v>0</v>
      </c>
    </row>
    <row r="714">
      <c r="A714" s="3" t="inlineStr">
        <is>
          <t xml:space="preserve">#1525</t>
        </is>
      </c>
      <c r="B714" s="3" t="inlineStr">
        <is>
          <t xml:space="preserve">2026-06-03</t>
        </is>
      </c>
      <c r="C714" s="3" t="inlineStr">
        <is>
          <t xml:space="preserve">SKU-E</t>
        </is>
      </c>
      <c r="D714" s="3" t="inlineStr">
        <is>
          <t xml:space="preserve">Complete Ritual</t>
        </is>
      </c>
      <c r="E714" s="6">
        <f>IF('Settings'!$B$11="Scenario",IFERROR(INDEX('Catalogue'!$E$3:$E$100,MATCH(C714,'Catalogue'!$B$3:$B$100,0)),F714),F714)</f>
        <v>89</v>
      </c>
      <c r="F714" s="8">
        <v>89</v>
      </c>
      <c r="G714" s="3">
        <v>1</v>
      </c>
      <c r="H714" s="6">
        <f>IF('Settings'!$B$11="Scenario",ROUND(E714*G714*IFERROR(SUMIF('Pricing &amp; promotions'!$A$6:$A$8,L714,'Pricing &amp; promotions'!$B$6:$B$8)/100,0),2),J714)</f>
        <v>8.9</v>
      </c>
      <c r="I714" s="6">
        <f>ROUND((E714*G714-H714)/IF(OR(K714=TRUE,K714="TRUE",K714="YES",K714=1),1+'Settings'!$B$6/100,1),2)</f>
        <v>66.2</v>
      </c>
      <c r="J714" s="8">
        <v>8.9</v>
      </c>
      <c r="K714" s="3" t="inlineStr">
        <is>
          <t xml:space="preserve">TRUE</t>
        </is>
      </c>
      <c r="L714" s="3" t="inlineStr">
        <is>
          <t xml:space="preserve">WELCOME10</t>
        </is>
      </c>
      <c r="M714" s="6">
        <f>ROUND(E714*G714-H714,2)</f>
        <v>80.1</v>
      </c>
      <c r="N714" s="5">
        <f>IF(COUNTIF($A$3:A714,A714)=1,1,0)</f>
        <v>1</v>
      </c>
      <c r="O714" s="6">
        <f>IF(N714=1,ROUND((SUMIFS($M$3:$M$1200,$A$3:$A$1200,A714)+'Settings'!$B$13)*'Settings'!$B$14/100+'Settings'!$B$15,2),0)</f>
        <v>1.5</v>
      </c>
    </row>
    <row r="715">
      <c r="A715" s="3" t="inlineStr">
        <is>
          <t xml:space="preserve">#1526</t>
        </is>
      </c>
      <c r="B715" s="3" t="inlineStr">
        <is>
          <t xml:space="preserve">2026-06-04</t>
        </is>
      </c>
      <c r="C715" s="3" t="inlineStr">
        <is>
          <t xml:space="preserve">SKU-D</t>
        </is>
      </c>
      <c r="D715" s="3" t="inlineStr">
        <is>
          <t xml:space="preserve">Daily Duo</t>
        </is>
      </c>
      <c r="E715" s="6">
        <f>IF('Settings'!$B$11="Scenario",IFERROR(INDEX('Catalogue'!$E$3:$E$100,MATCH(C715,'Catalogue'!$B$3:$B$100,0)),F715),F715)</f>
        <v>79</v>
      </c>
      <c r="F715" s="8">
        <v>79</v>
      </c>
      <c r="G715" s="3">
        <v>1</v>
      </c>
      <c r="H715" s="6">
        <f>IF('Settings'!$B$11="Scenario",ROUND(E715*G715*IFERROR(SUMIF('Pricing &amp; promotions'!$A$6:$A$8,L715,'Pricing &amp; promotions'!$B$6:$B$8)/100,0),2),J715)</f>
        <v>11.85</v>
      </c>
      <c r="I715" s="6">
        <f>ROUND((E715*G715-H715)/IF(OR(K715=TRUE,K715="TRUE",K715="YES",K715=1),1+'Settings'!$B$6/100,1),2)</f>
        <v>55.5</v>
      </c>
      <c r="J715" s="8">
        <v>11.85</v>
      </c>
      <c r="K715" s="3" t="inlineStr">
        <is>
          <t xml:space="preserve">TRUE</t>
        </is>
      </c>
      <c r="L715" s="3" t="inlineStr">
        <is>
          <t xml:space="preserve">SUMMER15</t>
        </is>
      </c>
      <c r="M715" s="6">
        <f>ROUND(E715*G715-H715,2)</f>
        <v>67.15</v>
      </c>
      <c r="N715" s="5">
        <f>IF(COUNTIF($A$3:A715,A715)=1,1,0)</f>
        <v>1</v>
      </c>
      <c r="O715" s="6">
        <f>IF(N715=1,ROUND((SUMIFS($M$3:$M$1200,$A$3:$A$1200,A715)+'Settings'!$B$13)*'Settings'!$B$14/100+'Settings'!$B$15,2),0)</f>
        <v>1.3</v>
      </c>
    </row>
    <row r="716">
      <c r="A716" s="3" t="inlineStr">
        <is>
          <t xml:space="preserve">#1527</t>
        </is>
      </c>
      <c r="B716" s="3" t="inlineStr">
        <is>
          <t xml:space="preserve">2026-06-04</t>
        </is>
      </c>
      <c r="C716" s="3" t="inlineStr">
        <is>
          <t xml:space="preserve">SKU-B</t>
        </is>
      </c>
      <c r="D716" s="3" t="inlineStr">
        <is>
          <t xml:space="preserve">Barrier Balm</t>
        </is>
      </c>
      <c r="E716" s="6">
        <f>IF('Settings'!$B$11="Scenario",IFERROR(INDEX('Catalogue'!$E$3:$E$100,MATCH(C716,'Catalogue'!$B$3:$B$100,0)),F716),F716)</f>
        <v>19</v>
      </c>
      <c r="F716" s="8">
        <v>19</v>
      </c>
      <c r="G716" s="3">
        <v>1</v>
      </c>
      <c r="H716" s="6">
        <f>IF('Settings'!$B$11="Scenario",ROUND(E716*G716*IFERROR(SUMIF('Pricing &amp; promotions'!$A$6:$A$8,L716,'Pricing &amp; promotions'!$B$6:$B$8)/100,0),2),J716)</f>
        <v>2.85</v>
      </c>
      <c r="I716" s="6">
        <f>ROUND((E716*G716-H716)/IF(OR(K716=TRUE,K716="TRUE",K716="YES",K716=1),1+'Settings'!$B$6/100,1),2)</f>
        <v>13.35</v>
      </c>
      <c r="J716" s="8">
        <v>2.85</v>
      </c>
      <c r="K716" s="3" t="inlineStr">
        <is>
          <t xml:space="preserve">TRUE</t>
        </is>
      </c>
      <c r="L716" s="3" t="inlineStr">
        <is>
          <t xml:space="preserve">SUMMER15</t>
        </is>
      </c>
      <c r="M716" s="6">
        <f>ROUND(E716*G716-H716,2)</f>
        <v>16.15</v>
      </c>
      <c r="N716" s="5">
        <f>IF(COUNTIF($A$3:A716,A716)=1,1,0)</f>
        <v>1</v>
      </c>
      <c r="O716" s="6">
        <f>IF(N716=1,ROUND((SUMIFS($M$3:$M$1200,$A$3:$A$1200,A716)+'Settings'!$B$13)*'Settings'!$B$14/100+'Settings'!$B$15,2),0)</f>
        <v>0.54</v>
      </c>
    </row>
    <row r="717">
      <c r="A717" s="3" t="inlineStr">
        <is>
          <t xml:space="preserve">#1528</t>
        </is>
      </c>
      <c r="B717" s="3" t="inlineStr">
        <is>
          <t xml:space="preserve">2026-06-05</t>
        </is>
      </c>
      <c r="C717" s="3" t="inlineStr">
        <is>
          <t xml:space="preserve">SKU-A</t>
        </is>
      </c>
      <c r="D717" s="3" t="inlineStr">
        <is>
          <t xml:space="preserve">Renewal Serum</t>
        </is>
      </c>
      <c r="E717" s="6">
        <f>IF('Settings'!$B$11="Scenario",IFERROR(INDEX('Catalogue'!$E$3:$E$100,MATCH(C717,'Catalogue'!$B$3:$B$100,0)),F717),F717)</f>
        <v>69.9</v>
      </c>
      <c r="F717" s="8">
        <v>69.9</v>
      </c>
      <c r="G717" s="3">
        <v>1</v>
      </c>
      <c r="H717" s="6">
        <f>IF('Settings'!$B$11="Scenario",ROUND(E717*G717*IFERROR(SUMIF('Pricing &amp; promotions'!$A$6:$A$8,L717,'Pricing &amp; promotions'!$B$6:$B$8)/100,0),2),J717)</f>
        <v>0.0</v>
      </c>
      <c r="I717" s="6">
        <f>ROUND((E717*G717-H717)/IF(OR(K717=TRUE,K717="TRUE",K717="YES",K717=1),1+'Settings'!$B$6/100,1),2)</f>
        <v>57.77</v>
      </c>
      <c r="J717" s="8">
        <v>0.0</v>
      </c>
      <c r="K717" s="3" t="inlineStr">
        <is>
          <t xml:space="preserve">TRUE</t>
        </is>
      </c>
      <c r="L717" s="3"/>
      <c r="M717" s="6">
        <f>ROUND(E717*G717-H717,2)</f>
        <v>69.9</v>
      </c>
      <c r="N717" s="5">
        <f>IF(COUNTIF($A$3:A717,A717)=1,1,0)</f>
        <v>1</v>
      </c>
      <c r="O717" s="6">
        <f>IF(N717=1,ROUND((SUMIFS($M$3:$M$1200,$A$3:$A$1200,A717)+'Settings'!$B$13)*'Settings'!$B$14/100+'Settings'!$B$15,2),0)</f>
        <v>3.86</v>
      </c>
    </row>
    <row r="718">
      <c r="A718" s="3" t="inlineStr">
        <is>
          <t xml:space="preserve">#1528</t>
        </is>
      </c>
      <c r="B718" s="3" t="inlineStr">
        <is>
          <t xml:space="preserve">2026-06-05</t>
        </is>
      </c>
      <c r="C718" s="3" t="inlineStr">
        <is>
          <t xml:space="preserve">SKU-D</t>
        </is>
      </c>
      <c r="D718" s="3" t="inlineStr">
        <is>
          <t xml:space="preserve">Daily Duo</t>
        </is>
      </c>
      <c r="E718" s="6">
        <f>IF('Settings'!$B$11="Scenario",IFERROR(INDEX('Catalogue'!$E$3:$E$100,MATCH(C718,'Catalogue'!$B$3:$B$100,0)),F718),F718)</f>
        <v>79</v>
      </c>
      <c r="F718" s="8">
        <v>79</v>
      </c>
      <c r="G718" s="3">
        <v>1</v>
      </c>
      <c r="H718" s="6">
        <f>IF('Settings'!$B$11="Scenario",ROUND(E718*G718*IFERROR(SUMIF('Pricing &amp; promotions'!$A$6:$A$8,L718,'Pricing &amp; promotions'!$B$6:$B$8)/100,0),2),J718)</f>
        <v>0.0</v>
      </c>
      <c r="I718" s="6">
        <f>ROUND((E718*G718-H718)/IF(OR(K718=TRUE,K718="TRUE",K718="YES",K718=1),1+'Settings'!$B$6/100,1),2)</f>
        <v>65.29</v>
      </c>
      <c r="J718" s="8">
        <v>0.0</v>
      </c>
      <c r="K718" s="3" t="inlineStr">
        <is>
          <t xml:space="preserve">TRUE</t>
        </is>
      </c>
      <c r="L718" s="3"/>
      <c r="M718" s="6">
        <f>ROUND(E718*G718-H718,2)</f>
        <v>79.0</v>
      </c>
      <c r="N718" s="5">
        <f>IF(COUNTIF($A$3:A718,A718)=1,1,0)</f>
        <v>0</v>
      </c>
      <c r="O718" s="6">
        <f>IF(N718=1,ROUND((SUMIFS($M$3:$M$1200,$A$3:$A$1200,A718)+'Settings'!$B$13)*'Settings'!$B$14/100+'Settings'!$B$15,2),0)</f>
        <v>0</v>
      </c>
    </row>
    <row r="719">
      <c r="A719" s="3" t="inlineStr">
        <is>
          <t xml:space="preserve">#1528</t>
        </is>
      </c>
      <c r="B719" s="3" t="inlineStr">
        <is>
          <t xml:space="preserve">2026-06-05</t>
        </is>
      </c>
      <c r="C719" s="3" t="inlineStr">
        <is>
          <t xml:space="preserve">SKU-E</t>
        </is>
      </c>
      <c r="D719" s="3" t="inlineStr">
        <is>
          <t xml:space="preserve">Complete Ritual</t>
        </is>
      </c>
      <c r="E719" s="6">
        <f>IF('Settings'!$B$11="Scenario",IFERROR(INDEX('Catalogue'!$E$3:$E$100,MATCH(C719,'Catalogue'!$B$3:$B$100,0)),F719),F719)</f>
        <v>89</v>
      </c>
      <c r="F719" s="8">
        <v>89</v>
      </c>
      <c r="G719" s="3">
        <v>1</v>
      </c>
      <c r="H719" s="6">
        <f>IF('Settings'!$B$11="Scenario",ROUND(E719*G719*IFERROR(SUMIF('Pricing &amp; promotions'!$A$6:$A$8,L719,'Pricing &amp; promotions'!$B$6:$B$8)/100,0),2),J719)</f>
        <v>0.0</v>
      </c>
      <c r="I719" s="6">
        <f>ROUND((E719*G719-H719)/IF(OR(K719=TRUE,K719="TRUE",K719="YES",K719=1),1+'Settings'!$B$6/100,1),2)</f>
        <v>73.55</v>
      </c>
      <c r="J719" s="8">
        <v>0.0</v>
      </c>
      <c r="K719" s="3" t="inlineStr">
        <is>
          <t xml:space="preserve">TRUE</t>
        </is>
      </c>
      <c r="L719" s="3"/>
      <c r="M719" s="6">
        <f>ROUND(E719*G719-H719,2)</f>
        <v>89.0</v>
      </c>
      <c r="N719" s="5">
        <f>IF(COUNTIF($A$3:A719,A719)=1,1,0)</f>
        <v>0</v>
      </c>
      <c r="O719" s="6">
        <f>IF(N719=1,ROUND((SUMIFS($M$3:$M$1200,$A$3:$A$1200,A719)+'Settings'!$B$13)*'Settings'!$B$14/100+'Settings'!$B$15,2),0)</f>
        <v>0</v>
      </c>
    </row>
    <row r="720">
      <c r="A720" s="3" t="inlineStr">
        <is>
          <t xml:space="preserve">#1529</t>
        </is>
      </c>
      <c r="B720" s="3" t="inlineStr">
        <is>
          <t xml:space="preserve">2026-06-05</t>
        </is>
      </c>
      <c r="C720" s="3" t="inlineStr">
        <is>
          <t xml:space="preserve">SKU-B</t>
        </is>
      </c>
      <c r="D720" s="3" t="inlineStr">
        <is>
          <t xml:space="preserve">Barrier Balm</t>
        </is>
      </c>
      <c r="E720" s="6">
        <f>IF('Settings'!$B$11="Scenario",IFERROR(INDEX('Catalogue'!$E$3:$E$100,MATCH(C720,'Catalogue'!$B$3:$B$100,0)),F720),F720)</f>
        <v>19</v>
      </c>
      <c r="F720" s="8">
        <v>19</v>
      </c>
      <c r="G720" s="3">
        <v>1</v>
      </c>
      <c r="H720" s="6">
        <f>IF('Settings'!$B$11="Scenario",ROUND(E720*G720*IFERROR(SUMIF('Pricing &amp; promotions'!$A$6:$A$8,L720,'Pricing &amp; promotions'!$B$6:$B$8)/100,0),2),J720)</f>
        <v>1.9</v>
      </c>
      <c r="I720" s="6">
        <f>ROUND((E720*G720-H720)/IF(OR(K720=TRUE,K720="TRUE",K720="YES",K720=1),1+'Settings'!$B$6/100,1),2)</f>
        <v>14.13</v>
      </c>
      <c r="J720" s="8">
        <v>1.9</v>
      </c>
      <c r="K720" s="3" t="inlineStr">
        <is>
          <t xml:space="preserve">TRUE</t>
        </is>
      </c>
      <c r="L720" s="3" t="inlineStr">
        <is>
          <t xml:space="preserve">WELCOME10</t>
        </is>
      </c>
      <c r="M720" s="6">
        <f>ROUND(E720*G720-H720,2)</f>
        <v>17.1</v>
      </c>
      <c r="N720" s="5">
        <f>IF(COUNTIF($A$3:A720,A720)=1,1,0)</f>
        <v>1</v>
      </c>
      <c r="O720" s="6">
        <f>IF(N720=1,ROUND((SUMIFS($M$3:$M$1200,$A$3:$A$1200,A720)+'Settings'!$B$13)*'Settings'!$B$14/100+'Settings'!$B$15,2),0)</f>
        <v>0.55</v>
      </c>
    </row>
    <row r="721">
      <c r="A721" s="3" t="inlineStr">
        <is>
          <t xml:space="preserve">#1530</t>
        </is>
      </c>
      <c r="B721" s="3" t="inlineStr">
        <is>
          <t xml:space="preserve">2026-06-06</t>
        </is>
      </c>
      <c r="C721" s="3" t="inlineStr">
        <is>
          <t xml:space="preserve">SKU-D</t>
        </is>
      </c>
      <c r="D721" s="3" t="inlineStr">
        <is>
          <t xml:space="preserve">Daily Duo</t>
        </is>
      </c>
      <c r="E721" s="6">
        <f>IF('Settings'!$B$11="Scenario",IFERROR(INDEX('Catalogue'!$E$3:$E$100,MATCH(C721,'Catalogue'!$B$3:$B$100,0)),F721),F721)</f>
        <v>79</v>
      </c>
      <c r="F721" s="8">
        <v>79</v>
      </c>
      <c r="G721" s="3">
        <v>1</v>
      </c>
      <c r="H721" s="6">
        <f>IF('Settings'!$B$11="Scenario",ROUND(E721*G721*IFERROR(SUMIF('Pricing &amp; promotions'!$A$6:$A$8,L721,'Pricing &amp; promotions'!$B$6:$B$8)/100,0),2),J721)</f>
        <v>11.85</v>
      </c>
      <c r="I721" s="6">
        <f>ROUND((E721*G721-H721)/IF(OR(K721=TRUE,K721="TRUE",K721="YES",K721=1),1+'Settings'!$B$6/100,1),2)</f>
        <v>55.5</v>
      </c>
      <c r="J721" s="8">
        <v>11.85</v>
      </c>
      <c r="K721" s="3" t="inlineStr">
        <is>
          <t xml:space="preserve">TRUE</t>
        </is>
      </c>
      <c r="L721" s="3" t="inlineStr">
        <is>
          <t xml:space="preserve">SUMMER15</t>
        </is>
      </c>
      <c r="M721" s="6">
        <f>ROUND(E721*G721-H721,2)</f>
        <v>67.15</v>
      </c>
      <c r="N721" s="5">
        <f>IF(COUNTIF($A$3:A721,A721)=1,1,0)</f>
        <v>1</v>
      </c>
      <c r="O721" s="6">
        <f>IF(N721=1,ROUND((SUMIFS($M$3:$M$1200,$A$3:$A$1200,A721)+'Settings'!$B$13)*'Settings'!$B$14/100+'Settings'!$B$15,2),0)</f>
        <v>1.3</v>
      </c>
    </row>
    <row r="722">
      <c r="A722" s="3" t="inlineStr">
        <is>
          <t xml:space="preserve">#1531</t>
        </is>
      </c>
      <c r="B722" s="3" t="inlineStr">
        <is>
          <t xml:space="preserve">2026-06-06</t>
        </is>
      </c>
      <c r="C722" s="3" t="inlineStr">
        <is>
          <t xml:space="preserve">SKU-B</t>
        </is>
      </c>
      <c r="D722" s="3" t="inlineStr">
        <is>
          <t xml:space="preserve">Barrier Balm</t>
        </is>
      </c>
      <c r="E722" s="6">
        <f>IF('Settings'!$B$11="Scenario",IFERROR(INDEX('Catalogue'!$E$3:$E$100,MATCH(C722,'Catalogue'!$B$3:$B$100,0)),F722),F722)</f>
        <v>19</v>
      </c>
      <c r="F722" s="8">
        <v>19</v>
      </c>
      <c r="G722" s="3">
        <v>1</v>
      </c>
      <c r="H722" s="6">
        <f>IF('Settings'!$B$11="Scenario",ROUND(E722*G722*IFERROR(SUMIF('Pricing &amp; promotions'!$A$6:$A$8,L722,'Pricing &amp; promotions'!$B$6:$B$8)/100,0),2),J722)</f>
        <v>1.9</v>
      </c>
      <c r="I722" s="6">
        <f>ROUND((E722*G722-H722)/IF(OR(K722=TRUE,K722="TRUE",K722="YES",K722=1),1+'Settings'!$B$6/100,1),2)</f>
        <v>14.13</v>
      </c>
      <c r="J722" s="8">
        <v>1.9</v>
      </c>
      <c r="K722" s="3" t="inlineStr">
        <is>
          <t xml:space="preserve">TRUE</t>
        </is>
      </c>
      <c r="L722" s="3" t="inlineStr">
        <is>
          <t xml:space="preserve">WELCOME10</t>
        </is>
      </c>
      <c r="M722" s="6">
        <f>ROUND(E722*G722-H722,2)</f>
        <v>17.1</v>
      </c>
      <c r="N722" s="5">
        <f>IF(COUNTIF($A$3:A722,A722)=1,1,0)</f>
        <v>1</v>
      </c>
      <c r="O722" s="6">
        <f>IF(N722=1,ROUND((SUMIFS($M$3:$M$1200,$A$3:$A$1200,A722)+'Settings'!$B$13)*'Settings'!$B$14/100+'Settings'!$B$15,2),0)</f>
        <v>0.55</v>
      </c>
    </row>
    <row r="723">
      <c r="A723" s="3" t="inlineStr">
        <is>
          <t xml:space="preserve">#1532</t>
        </is>
      </c>
      <c r="B723" s="3" t="inlineStr">
        <is>
          <t xml:space="preserve">2026-06-06</t>
        </is>
      </c>
      <c r="C723" s="3" t="inlineStr">
        <is>
          <t xml:space="preserve">SKU-G</t>
        </is>
      </c>
      <c r="D723" s="3" t="inlineStr">
        <is>
          <t xml:space="preserve">Daily Reset Set</t>
        </is>
      </c>
      <c r="E723" s="6">
        <f>IF('Settings'!$B$11="Scenario",IFERROR(INDEX('Catalogue'!$E$3:$E$100,MATCH(C723,'Catalogue'!$B$3:$B$100,0)),F723),F723)</f>
        <v>69</v>
      </c>
      <c r="F723" s="8">
        <v>69</v>
      </c>
      <c r="G723" s="3">
        <v>1</v>
      </c>
      <c r="H723" s="6">
        <f>IF('Settings'!$B$11="Scenario",ROUND(E723*G723*IFERROR(SUMIF('Pricing &amp; promotions'!$A$6:$A$8,L723,'Pricing &amp; promotions'!$B$6:$B$8)/100,0),2),J723)</f>
        <v>0.0</v>
      </c>
      <c r="I723" s="6">
        <f>ROUND((E723*G723-H723)/IF(OR(K723=TRUE,K723="TRUE",K723="YES",K723=1),1+'Settings'!$B$6/100,1),2)</f>
        <v>57.02</v>
      </c>
      <c r="J723" s="8">
        <v>0.0</v>
      </c>
      <c r="K723" s="3" t="inlineStr">
        <is>
          <t xml:space="preserve">TRUE</t>
        </is>
      </c>
      <c r="L723" s="3"/>
      <c r="M723" s="6">
        <f>ROUND(E723*G723-H723,2)</f>
        <v>69.0</v>
      </c>
      <c r="N723" s="5">
        <f>IF(COUNTIF($A$3:A723,A723)=1,1,0)</f>
        <v>1</v>
      </c>
      <c r="O723" s="6">
        <f>IF(N723=1,ROUND((SUMIFS($M$3:$M$1200,$A$3:$A$1200,A723)+'Settings'!$B$13)*'Settings'!$B$14/100+'Settings'!$B$15,2),0)</f>
        <v>1.33</v>
      </c>
    </row>
    <row r="724">
      <c r="A724" s="3" t="inlineStr">
        <is>
          <t xml:space="preserve">#1533</t>
        </is>
      </c>
      <c r="B724" s="3" t="inlineStr">
        <is>
          <t xml:space="preserve">2026-06-07</t>
        </is>
      </c>
      <c r="C724" s="3" t="inlineStr">
        <is>
          <t xml:space="preserve">SKU-A</t>
        </is>
      </c>
      <c r="D724" s="3" t="inlineStr">
        <is>
          <t xml:space="preserve">Renewal Serum</t>
        </is>
      </c>
      <c r="E724" s="6">
        <f>IF('Settings'!$B$11="Scenario",IFERROR(INDEX('Catalogue'!$E$3:$E$100,MATCH(C724,'Catalogue'!$B$3:$B$100,0)),F724),F724)</f>
        <v>69.9</v>
      </c>
      <c r="F724" s="8">
        <v>69.9</v>
      </c>
      <c r="G724" s="3">
        <v>1</v>
      </c>
      <c r="H724" s="6">
        <f>IF('Settings'!$B$11="Scenario",ROUND(E724*G724*IFERROR(SUMIF('Pricing &amp; promotions'!$A$6:$A$8,L724,'Pricing &amp; promotions'!$B$6:$B$8)/100,0),2),J724)</f>
        <v>0.0</v>
      </c>
      <c r="I724" s="6">
        <f>ROUND((E724*G724-H724)/IF(OR(K724=TRUE,K724="TRUE",K724="YES",K724=1),1+'Settings'!$B$6/100,1),2)</f>
        <v>57.77</v>
      </c>
      <c r="J724" s="8">
        <v>0.0</v>
      </c>
      <c r="K724" s="3" t="inlineStr">
        <is>
          <t xml:space="preserve">TRUE</t>
        </is>
      </c>
      <c r="L724" s="3"/>
      <c r="M724" s="6">
        <f>ROUND(E724*G724-H724,2)</f>
        <v>69.9</v>
      </c>
      <c r="N724" s="5">
        <f>IF(COUNTIF($A$3:A724,A724)=1,1,0)</f>
        <v>1</v>
      </c>
      <c r="O724" s="6">
        <f>IF(N724=1,ROUND((SUMIFS($M$3:$M$1200,$A$3:$A$1200,A724)+'Settings'!$B$13)*'Settings'!$B$14/100+'Settings'!$B$15,2),0)</f>
        <v>1.34</v>
      </c>
    </row>
    <row r="725">
      <c r="A725" s="3" t="inlineStr">
        <is>
          <t xml:space="preserve">#1534</t>
        </is>
      </c>
      <c r="B725" s="3" t="inlineStr">
        <is>
          <t xml:space="preserve">2026-06-08</t>
        </is>
      </c>
      <c r="C725" s="3" t="inlineStr">
        <is>
          <t xml:space="preserve">SKU-C</t>
        </is>
      </c>
      <c r="D725" s="3" t="inlineStr">
        <is>
          <t xml:space="preserve">Contour Stone</t>
        </is>
      </c>
      <c r="E725" s="6">
        <f>IF('Settings'!$B$11="Scenario",IFERROR(INDEX('Catalogue'!$E$3:$E$100,MATCH(C725,'Catalogue'!$B$3:$B$100,0)),F725),F725)</f>
        <v>29</v>
      </c>
      <c r="F725" s="8">
        <v>29</v>
      </c>
      <c r="G725" s="3">
        <v>1</v>
      </c>
      <c r="H725" s="6">
        <f>IF('Settings'!$B$11="Scenario",ROUND(E725*G725*IFERROR(SUMIF('Pricing &amp; promotions'!$A$6:$A$8,L725,'Pricing &amp; promotions'!$B$6:$B$8)/100,0),2),J725)</f>
        <v>0.0</v>
      </c>
      <c r="I725" s="6">
        <f>ROUND((E725*G725-H725)/IF(OR(K725=TRUE,K725="TRUE",K725="YES",K725=1),1+'Settings'!$B$6/100,1),2)</f>
        <v>23.97</v>
      </c>
      <c r="J725" s="8">
        <v>0.0</v>
      </c>
      <c r="K725" s="3" t="inlineStr">
        <is>
          <t xml:space="preserve">TRUE</t>
        </is>
      </c>
      <c r="L725" s="3"/>
      <c r="M725" s="6">
        <f>ROUND(E725*G725-H725,2)</f>
        <v>29.0</v>
      </c>
      <c r="N725" s="5">
        <f>IF(COUNTIF($A$3:A725,A725)=1,1,0)</f>
        <v>1</v>
      </c>
      <c r="O725" s="6">
        <f>IF(N725=1,ROUND((SUMIFS($M$3:$M$1200,$A$3:$A$1200,A725)+'Settings'!$B$13)*'Settings'!$B$14/100+'Settings'!$B$15,2),0)</f>
        <v>1.01</v>
      </c>
    </row>
    <row r="726">
      <c r="A726" s="3" t="inlineStr">
        <is>
          <t xml:space="preserve">#1534</t>
        </is>
      </c>
      <c r="B726" s="3" t="inlineStr">
        <is>
          <t xml:space="preserve">2026-06-08</t>
        </is>
      </c>
      <c r="C726" s="3" t="inlineStr">
        <is>
          <t xml:space="preserve">SKU-B</t>
        </is>
      </c>
      <c r="D726" s="3" t="inlineStr">
        <is>
          <t xml:space="preserve">Barrier Balm</t>
        </is>
      </c>
      <c r="E726" s="6">
        <f>IF('Settings'!$B$11="Scenario",IFERROR(INDEX('Catalogue'!$E$3:$E$100,MATCH(C726,'Catalogue'!$B$3:$B$100,0)),F726),F726)</f>
        <v>19</v>
      </c>
      <c r="F726" s="8">
        <v>19</v>
      </c>
      <c r="G726" s="3">
        <v>1</v>
      </c>
      <c r="H726" s="6">
        <f>IF('Settings'!$B$11="Scenario",ROUND(E726*G726*IFERROR(SUMIF('Pricing &amp; promotions'!$A$6:$A$8,L726,'Pricing &amp; promotions'!$B$6:$B$8)/100,0),2),J726)</f>
        <v>0.0</v>
      </c>
      <c r="I726" s="6">
        <f>ROUND((E726*G726-H726)/IF(OR(K726=TRUE,K726="TRUE",K726="YES",K726=1),1+'Settings'!$B$6/100,1),2)</f>
        <v>15.7</v>
      </c>
      <c r="J726" s="8">
        <v>0.0</v>
      </c>
      <c r="K726" s="3" t="inlineStr">
        <is>
          <t xml:space="preserve">TRUE</t>
        </is>
      </c>
      <c r="L726" s="3"/>
      <c r="M726" s="6">
        <f>ROUND(E726*G726-H726,2)</f>
        <v>19.0</v>
      </c>
      <c r="N726" s="5">
        <f>IF(COUNTIF($A$3:A726,A726)=1,1,0)</f>
        <v>0</v>
      </c>
      <c r="O726" s="6">
        <f>IF(N726=1,ROUND((SUMIFS($M$3:$M$1200,$A$3:$A$1200,A726)+'Settings'!$B$13)*'Settings'!$B$14/100+'Settings'!$B$15,2),0)</f>
        <v>0</v>
      </c>
    </row>
    <row r="727">
      <c r="A727" s="3" t="inlineStr">
        <is>
          <t xml:space="preserve">#1535</t>
        </is>
      </c>
      <c r="B727" s="3" t="inlineStr">
        <is>
          <t xml:space="preserve">2026-06-08</t>
        </is>
      </c>
      <c r="C727" s="3" t="inlineStr">
        <is>
          <t xml:space="preserve">SKU-E</t>
        </is>
      </c>
      <c r="D727" s="3" t="inlineStr">
        <is>
          <t xml:space="preserve">Complete Ritual</t>
        </is>
      </c>
      <c r="E727" s="6">
        <f>IF('Settings'!$B$11="Scenario",IFERROR(INDEX('Catalogue'!$E$3:$E$100,MATCH(C727,'Catalogue'!$B$3:$B$100,0)),F727),F727)</f>
        <v>89</v>
      </c>
      <c r="F727" s="8">
        <v>89</v>
      </c>
      <c r="G727" s="3">
        <v>1</v>
      </c>
      <c r="H727" s="6">
        <f>IF('Settings'!$B$11="Scenario",ROUND(E727*G727*IFERROR(SUMIF('Pricing &amp; promotions'!$A$6:$A$8,L727,'Pricing &amp; promotions'!$B$6:$B$8)/100,0),2),J727)</f>
        <v>8.9</v>
      </c>
      <c r="I727" s="6">
        <f>ROUND((E727*G727-H727)/IF(OR(K727=TRUE,K727="TRUE",K727="YES",K727=1),1+'Settings'!$B$6/100,1),2)</f>
        <v>66.2</v>
      </c>
      <c r="J727" s="8">
        <v>8.9</v>
      </c>
      <c r="K727" s="3" t="inlineStr">
        <is>
          <t xml:space="preserve">TRUE</t>
        </is>
      </c>
      <c r="L727" s="3" t="inlineStr">
        <is>
          <t xml:space="preserve">WELCOME10</t>
        </is>
      </c>
      <c r="M727" s="6">
        <f>ROUND(E727*G727-H727,2)</f>
        <v>80.1</v>
      </c>
      <c r="N727" s="5">
        <f>IF(COUNTIF($A$3:A727,A727)=1,1,0)</f>
        <v>1</v>
      </c>
      <c r="O727" s="6">
        <f>IF(N727=1,ROUND((SUMIFS($M$3:$M$1200,$A$3:$A$1200,A727)+'Settings'!$B$13)*'Settings'!$B$14/100+'Settings'!$B$15,2),0)</f>
        <v>1.5</v>
      </c>
    </row>
    <row r="728">
      <c r="A728" s="3" t="inlineStr">
        <is>
          <t xml:space="preserve">#1536</t>
        </is>
      </c>
      <c r="B728" s="3" t="inlineStr">
        <is>
          <t xml:space="preserve">2026-06-08</t>
        </is>
      </c>
      <c r="C728" s="3" t="inlineStr">
        <is>
          <t xml:space="preserve">SKU-F</t>
        </is>
      </c>
      <c r="D728" s="3" t="inlineStr">
        <is>
          <t xml:space="preserve">Cloud Cleanser</t>
        </is>
      </c>
      <c r="E728" s="6">
        <f>IF('Settings'!$B$11="Scenario",IFERROR(INDEX('Catalogue'!$E$3:$E$100,MATCH(C728,'Catalogue'!$B$3:$B$100,0)),F728),F728)</f>
        <v>34</v>
      </c>
      <c r="F728" s="8">
        <v>34</v>
      </c>
      <c r="G728" s="3">
        <v>2</v>
      </c>
      <c r="H728" s="6">
        <f>IF('Settings'!$B$11="Scenario",ROUND(E728*G728*IFERROR(SUMIF('Pricing &amp; promotions'!$A$6:$A$8,L728,'Pricing &amp; promotions'!$B$6:$B$8)/100,0),2),J728)</f>
        <v>0.0</v>
      </c>
      <c r="I728" s="6">
        <f>ROUND((E728*G728-H728)/IF(OR(K728=TRUE,K728="TRUE",K728="YES",K728=1),1+'Settings'!$B$6/100,1),2)</f>
        <v>56.2</v>
      </c>
      <c r="J728" s="8">
        <v>0.0</v>
      </c>
      <c r="K728" s="3" t="inlineStr">
        <is>
          <t xml:space="preserve">TRUE</t>
        </is>
      </c>
      <c r="L728" s="3"/>
      <c r="M728" s="6">
        <f>ROUND(E728*G728-H728,2)</f>
        <v>68.0</v>
      </c>
      <c r="N728" s="5">
        <f>IF(COUNTIF($A$3:A728,A728)=1,1,0)</f>
        <v>1</v>
      </c>
      <c r="O728" s="6">
        <f>IF(N728=1,ROUND((SUMIFS($M$3:$M$1200,$A$3:$A$1200,A728)+'Settings'!$B$13)*'Settings'!$B$14/100+'Settings'!$B$15,2),0)</f>
        <v>1.31</v>
      </c>
    </row>
    <row r="729">
      <c r="A729" s="3" t="inlineStr">
        <is>
          <t xml:space="preserve">#1537</t>
        </is>
      </c>
      <c r="B729" s="3" t="inlineStr">
        <is>
          <t xml:space="preserve">2026-06-09</t>
        </is>
      </c>
      <c r="C729" s="3" t="inlineStr">
        <is>
          <t xml:space="preserve">SKU-D</t>
        </is>
      </c>
      <c r="D729" s="3" t="inlineStr">
        <is>
          <t xml:space="preserve">Daily Duo</t>
        </is>
      </c>
      <c r="E729" s="6">
        <f>IF('Settings'!$B$11="Scenario",IFERROR(INDEX('Catalogue'!$E$3:$E$100,MATCH(C729,'Catalogue'!$B$3:$B$100,0)),F729),F729)</f>
        <v>79</v>
      </c>
      <c r="F729" s="8">
        <v>79</v>
      </c>
      <c r="G729" s="3">
        <v>1</v>
      </c>
      <c r="H729" s="6">
        <f>IF('Settings'!$B$11="Scenario",ROUND(E729*G729*IFERROR(SUMIF('Pricing &amp; promotions'!$A$6:$A$8,L729,'Pricing &amp; promotions'!$B$6:$B$8)/100,0),2),J729)</f>
        <v>0.0</v>
      </c>
      <c r="I729" s="6">
        <f>ROUND((E729*G729-H729)/IF(OR(K729=TRUE,K729="TRUE",K729="YES",K729=1),1+'Settings'!$B$6/100,1),2)</f>
        <v>65.29</v>
      </c>
      <c r="J729" s="8">
        <v>0.0</v>
      </c>
      <c r="K729" s="3" t="inlineStr">
        <is>
          <t xml:space="preserve">TRUE</t>
        </is>
      </c>
      <c r="L729" s="3"/>
      <c r="M729" s="6">
        <f>ROUND(E729*G729-H729,2)</f>
        <v>79.0</v>
      </c>
      <c r="N729" s="5">
        <f>IF(COUNTIF($A$3:A729,A729)=1,1,0)</f>
        <v>1</v>
      </c>
      <c r="O729" s="6">
        <f>IF(N729=1,ROUND((SUMIFS($M$3:$M$1200,$A$3:$A$1200,A729)+'Settings'!$B$13)*'Settings'!$B$14/100+'Settings'!$B$15,2),0)</f>
        <v>1.48</v>
      </c>
    </row>
    <row r="730">
      <c r="A730" s="3" t="inlineStr">
        <is>
          <t xml:space="preserve">#1538</t>
        </is>
      </c>
      <c r="B730" s="3" t="inlineStr">
        <is>
          <t xml:space="preserve">2026-06-09</t>
        </is>
      </c>
      <c r="C730" s="3" t="inlineStr">
        <is>
          <t xml:space="preserve">SKU-E</t>
        </is>
      </c>
      <c r="D730" s="3" t="inlineStr">
        <is>
          <t xml:space="preserve">Complete Ritual</t>
        </is>
      </c>
      <c r="E730" s="6">
        <f>IF('Settings'!$B$11="Scenario",IFERROR(INDEX('Catalogue'!$E$3:$E$100,MATCH(C730,'Catalogue'!$B$3:$B$100,0)),F730),F730)</f>
        <v>89</v>
      </c>
      <c r="F730" s="8">
        <v>89</v>
      </c>
      <c r="G730" s="3">
        <v>1</v>
      </c>
      <c r="H730" s="6">
        <f>IF('Settings'!$B$11="Scenario",ROUND(E730*G730*IFERROR(SUMIF('Pricing &amp; promotions'!$A$6:$A$8,L730,'Pricing &amp; promotions'!$B$6:$B$8)/100,0),2),J730)</f>
        <v>8.9</v>
      </c>
      <c r="I730" s="6">
        <f>ROUND((E730*G730-H730)/IF(OR(K730=TRUE,K730="TRUE",K730="YES",K730=1),1+'Settings'!$B$6/100,1),2)</f>
        <v>66.2</v>
      </c>
      <c r="J730" s="8">
        <v>8.9</v>
      </c>
      <c r="K730" s="3" t="inlineStr">
        <is>
          <t xml:space="preserve">TRUE</t>
        </is>
      </c>
      <c r="L730" s="3" t="inlineStr">
        <is>
          <t xml:space="preserve">WELCOME10</t>
        </is>
      </c>
      <c r="M730" s="6">
        <f>ROUND(E730*G730-H730,2)</f>
        <v>80.1</v>
      </c>
      <c r="N730" s="5">
        <f>IF(COUNTIF($A$3:A730,A730)=1,1,0)</f>
        <v>1</v>
      </c>
      <c r="O730" s="6">
        <f>IF(N730=1,ROUND((SUMIFS($M$3:$M$1200,$A$3:$A$1200,A730)+'Settings'!$B$13)*'Settings'!$B$14/100+'Settings'!$B$15,2),0)</f>
        <v>1.5</v>
      </c>
    </row>
    <row r="731">
      <c r="A731" s="3" t="inlineStr">
        <is>
          <t xml:space="preserve">#1539</t>
        </is>
      </c>
      <c r="B731" s="3" t="inlineStr">
        <is>
          <t xml:space="preserve">2026-06-09</t>
        </is>
      </c>
      <c r="C731" s="3" t="inlineStr">
        <is>
          <t xml:space="preserve">SKU-G</t>
        </is>
      </c>
      <c r="D731" s="3" t="inlineStr">
        <is>
          <t xml:space="preserve">Daily Reset Set</t>
        </is>
      </c>
      <c r="E731" s="6">
        <f>IF('Settings'!$B$11="Scenario",IFERROR(INDEX('Catalogue'!$E$3:$E$100,MATCH(C731,'Catalogue'!$B$3:$B$100,0)),F731),F731)</f>
        <v>69</v>
      </c>
      <c r="F731" s="8">
        <v>69</v>
      </c>
      <c r="G731" s="3">
        <v>1</v>
      </c>
      <c r="H731" s="6">
        <f>IF('Settings'!$B$11="Scenario",ROUND(E731*G731*IFERROR(SUMIF('Pricing &amp; promotions'!$A$6:$A$8,L731,'Pricing &amp; promotions'!$B$6:$B$8)/100,0),2),J731)</f>
        <v>6.9</v>
      </c>
      <c r="I731" s="6">
        <f>ROUND((E731*G731-H731)/IF(OR(K731=TRUE,K731="TRUE",K731="YES",K731=1),1+'Settings'!$B$6/100,1),2)</f>
        <v>51.32</v>
      </c>
      <c r="J731" s="8">
        <v>6.9</v>
      </c>
      <c r="K731" s="3" t="inlineStr">
        <is>
          <t xml:space="preserve">TRUE</t>
        </is>
      </c>
      <c r="L731" s="3" t="inlineStr">
        <is>
          <t xml:space="preserve">WELCOME10</t>
        </is>
      </c>
      <c r="M731" s="6">
        <f>ROUND(E731*G731-H731,2)</f>
        <v>62.1</v>
      </c>
      <c r="N731" s="5">
        <f>IF(COUNTIF($A$3:A731,A731)=1,1,0)</f>
        <v>1</v>
      </c>
      <c r="O731" s="6">
        <f>IF(N731=1,ROUND((SUMIFS($M$3:$M$1200,$A$3:$A$1200,A731)+'Settings'!$B$13)*'Settings'!$B$14/100+'Settings'!$B$15,2),0)</f>
        <v>1.48</v>
      </c>
    </row>
    <row r="732">
      <c r="A732" s="3" t="inlineStr">
        <is>
          <t xml:space="preserve">#1539</t>
        </is>
      </c>
      <c r="B732" s="3" t="inlineStr">
        <is>
          <t xml:space="preserve">2026-06-09</t>
        </is>
      </c>
      <c r="C732" s="3" t="inlineStr">
        <is>
          <t xml:space="preserve">SKU-B</t>
        </is>
      </c>
      <c r="D732" s="3" t="inlineStr">
        <is>
          <t xml:space="preserve">Barrier Balm</t>
        </is>
      </c>
      <c r="E732" s="6">
        <f>IF('Settings'!$B$11="Scenario",IFERROR(INDEX('Catalogue'!$E$3:$E$100,MATCH(C732,'Catalogue'!$B$3:$B$100,0)),F732),F732)</f>
        <v>19</v>
      </c>
      <c r="F732" s="8">
        <v>19</v>
      </c>
      <c r="G732" s="3">
        <v>1</v>
      </c>
      <c r="H732" s="6">
        <f>IF('Settings'!$B$11="Scenario",ROUND(E732*G732*IFERROR(SUMIF('Pricing &amp; promotions'!$A$6:$A$8,L732,'Pricing &amp; promotions'!$B$6:$B$8)/100,0),2),J732)</f>
        <v>1.9</v>
      </c>
      <c r="I732" s="6">
        <f>ROUND((E732*G732-H732)/IF(OR(K732=TRUE,K732="TRUE",K732="YES",K732=1),1+'Settings'!$B$6/100,1),2)</f>
        <v>14.13</v>
      </c>
      <c r="J732" s="8">
        <v>1.9</v>
      </c>
      <c r="K732" s="3" t="inlineStr">
        <is>
          <t xml:space="preserve">TRUE</t>
        </is>
      </c>
      <c r="L732" s="3" t="inlineStr">
        <is>
          <t xml:space="preserve">WELCOME10</t>
        </is>
      </c>
      <c r="M732" s="6">
        <f>ROUND(E732*G732-H732,2)</f>
        <v>17.1</v>
      </c>
      <c r="N732" s="5">
        <f>IF(COUNTIF($A$3:A732,A732)=1,1,0)</f>
        <v>0</v>
      </c>
      <c r="O732" s="6">
        <f>IF(N732=1,ROUND((SUMIFS($M$3:$M$1200,$A$3:$A$1200,A732)+'Settings'!$B$13)*'Settings'!$B$14/100+'Settings'!$B$15,2),0)</f>
        <v>0</v>
      </c>
    </row>
    <row r="733">
      <c r="A733" s="3" t="inlineStr">
        <is>
          <t xml:space="preserve">#1540</t>
        </is>
      </c>
      <c r="B733" s="3" t="inlineStr">
        <is>
          <t xml:space="preserve">2026-06-09</t>
        </is>
      </c>
      <c r="C733" s="3" t="inlineStr">
        <is>
          <t xml:space="preserve">SKU-D</t>
        </is>
      </c>
      <c r="D733" s="3" t="inlineStr">
        <is>
          <t xml:space="preserve">Daily Duo</t>
        </is>
      </c>
      <c r="E733" s="6">
        <f>IF('Settings'!$B$11="Scenario",IFERROR(INDEX('Catalogue'!$E$3:$E$100,MATCH(C733,'Catalogue'!$B$3:$B$100,0)),F733),F733)</f>
        <v>79</v>
      </c>
      <c r="F733" s="8">
        <v>79</v>
      </c>
      <c r="G733" s="3">
        <v>1</v>
      </c>
      <c r="H733" s="6">
        <f>IF('Settings'!$B$11="Scenario",ROUND(E733*G733*IFERROR(SUMIF('Pricing &amp; promotions'!$A$6:$A$8,L733,'Pricing &amp; promotions'!$B$6:$B$8)/100,0),2),J733)</f>
        <v>11.85</v>
      </c>
      <c r="I733" s="6">
        <f>ROUND((E733*G733-H733)/IF(OR(K733=TRUE,K733="TRUE",K733="YES",K733=1),1+'Settings'!$B$6/100,1),2)</f>
        <v>55.5</v>
      </c>
      <c r="J733" s="8">
        <v>11.85</v>
      </c>
      <c r="K733" s="3" t="inlineStr">
        <is>
          <t xml:space="preserve">TRUE</t>
        </is>
      </c>
      <c r="L733" s="3" t="inlineStr">
        <is>
          <t xml:space="preserve">SUMMER15</t>
        </is>
      </c>
      <c r="M733" s="6">
        <f>ROUND(E733*G733-H733,2)</f>
        <v>67.15</v>
      </c>
      <c r="N733" s="5">
        <f>IF(COUNTIF($A$3:A733,A733)=1,1,0)</f>
        <v>1</v>
      </c>
      <c r="O733" s="6">
        <f>IF(N733=1,ROUND((SUMIFS($M$3:$M$1200,$A$3:$A$1200,A733)+'Settings'!$B$13)*'Settings'!$B$14/100+'Settings'!$B$15,2),0)</f>
        <v>2.44</v>
      </c>
    </row>
    <row r="734">
      <c r="A734" s="3" t="inlineStr">
        <is>
          <t xml:space="preserve">#1540</t>
        </is>
      </c>
      <c r="B734" s="3" t="inlineStr">
        <is>
          <t xml:space="preserve">2026-06-09</t>
        </is>
      </c>
      <c r="C734" s="3" t="inlineStr">
        <is>
          <t xml:space="preserve">SKU-E</t>
        </is>
      </c>
      <c r="D734" s="3" t="inlineStr">
        <is>
          <t xml:space="preserve">Complete Ritual</t>
        </is>
      </c>
      <c r="E734" s="6">
        <f>IF('Settings'!$B$11="Scenario",IFERROR(INDEX('Catalogue'!$E$3:$E$100,MATCH(C734,'Catalogue'!$B$3:$B$100,0)),F734),F734)</f>
        <v>89</v>
      </c>
      <c r="F734" s="8">
        <v>89</v>
      </c>
      <c r="G734" s="3">
        <v>1</v>
      </c>
      <c r="H734" s="6">
        <f>IF('Settings'!$B$11="Scenario",ROUND(E734*G734*IFERROR(SUMIF('Pricing &amp; promotions'!$A$6:$A$8,L734,'Pricing &amp; promotions'!$B$6:$B$8)/100,0),2),J734)</f>
        <v>13.35</v>
      </c>
      <c r="I734" s="6">
        <f>ROUND((E734*G734-H734)/IF(OR(K734=TRUE,K734="TRUE",K734="YES",K734=1),1+'Settings'!$B$6/100,1),2)</f>
        <v>62.52</v>
      </c>
      <c r="J734" s="8">
        <v>13.35</v>
      </c>
      <c r="K734" s="3" t="inlineStr">
        <is>
          <t xml:space="preserve">TRUE</t>
        </is>
      </c>
      <c r="L734" s="3" t="inlineStr">
        <is>
          <t xml:space="preserve">SUMMER15</t>
        </is>
      </c>
      <c r="M734" s="6">
        <f>ROUND(E734*G734-H734,2)</f>
        <v>75.65</v>
      </c>
      <c r="N734" s="5">
        <f>IF(COUNTIF($A$3:A734,A734)=1,1,0)</f>
        <v>0</v>
      </c>
      <c r="O734" s="6">
        <f>IF(N734=1,ROUND((SUMIFS($M$3:$M$1200,$A$3:$A$1200,A734)+'Settings'!$B$13)*'Settings'!$B$14/100+'Settings'!$B$15,2),0)</f>
        <v>0</v>
      </c>
    </row>
    <row r="735">
      <c r="A735" s="3" t="inlineStr">
        <is>
          <t xml:space="preserve">#1541</t>
        </is>
      </c>
      <c r="B735" s="3" t="inlineStr">
        <is>
          <t xml:space="preserve">2026-06-09</t>
        </is>
      </c>
      <c r="C735" s="3" t="inlineStr">
        <is>
          <t xml:space="preserve">SKU-E</t>
        </is>
      </c>
      <c r="D735" s="3" t="inlineStr">
        <is>
          <t xml:space="preserve">Complete Ritual</t>
        </is>
      </c>
      <c r="E735" s="6">
        <f>IF('Settings'!$B$11="Scenario",IFERROR(INDEX('Catalogue'!$E$3:$E$100,MATCH(C735,'Catalogue'!$B$3:$B$100,0)),F735),F735)</f>
        <v>89</v>
      </c>
      <c r="F735" s="8">
        <v>89</v>
      </c>
      <c r="G735" s="3">
        <v>1</v>
      </c>
      <c r="H735" s="6">
        <f>IF('Settings'!$B$11="Scenario",ROUND(E735*G735*IFERROR(SUMIF('Pricing &amp; promotions'!$A$6:$A$8,L735,'Pricing &amp; promotions'!$B$6:$B$8)/100,0),2),J735)</f>
        <v>0.0</v>
      </c>
      <c r="I735" s="6">
        <f>ROUND((E735*G735-H735)/IF(OR(K735=TRUE,K735="TRUE",K735="YES",K735=1),1+'Settings'!$B$6/100,1),2)</f>
        <v>73.55</v>
      </c>
      <c r="J735" s="8">
        <v>0.0</v>
      </c>
      <c r="K735" s="3" t="inlineStr">
        <is>
          <t xml:space="preserve">TRUE</t>
        </is>
      </c>
      <c r="L735" s="3"/>
      <c r="M735" s="6">
        <f>ROUND(E735*G735-H735,2)</f>
        <v>89.0</v>
      </c>
      <c r="N735" s="5">
        <f>IF(COUNTIF($A$3:A735,A735)=1,1,0)</f>
        <v>1</v>
      </c>
      <c r="O735" s="6">
        <f>IF(N735=1,ROUND((SUMIFS($M$3:$M$1200,$A$3:$A$1200,A735)+'Settings'!$B$13)*'Settings'!$B$14/100+'Settings'!$B$15,2),0)</f>
        <v>2.68</v>
      </c>
    </row>
    <row r="736">
      <c r="A736" s="3" t="inlineStr">
        <is>
          <t xml:space="preserve">#1541</t>
        </is>
      </c>
      <c r="B736" s="3" t="inlineStr">
        <is>
          <t xml:space="preserve">2026-06-09</t>
        </is>
      </c>
      <c r="C736" s="3" t="inlineStr">
        <is>
          <t xml:space="preserve">SKU-A</t>
        </is>
      </c>
      <c r="D736" s="3" t="inlineStr">
        <is>
          <t xml:space="preserve">Renewal Serum</t>
        </is>
      </c>
      <c r="E736" s="6">
        <f>IF('Settings'!$B$11="Scenario",IFERROR(INDEX('Catalogue'!$E$3:$E$100,MATCH(C736,'Catalogue'!$B$3:$B$100,0)),F736),F736)</f>
        <v>69.9</v>
      </c>
      <c r="F736" s="8">
        <v>69.9</v>
      </c>
      <c r="G736" s="3">
        <v>1</v>
      </c>
      <c r="H736" s="6">
        <f>IF('Settings'!$B$11="Scenario",ROUND(E736*G736*IFERROR(SUMIF('Pricing &amp; promotions'!$A$6:$A$8,L736,'Pricing &amp; promotions'!$B$6:$B$8)/100,0),2),J736)</f>
        <v>0.0</v>
      </c>
      <c r="I736" s="6">
        <f>ROUND((E736*G736-H736)/IF(OR(K736=TRUE,K736="TRUE",K736="YES",K736=1),1+'Settings'!$B$6/100,1),2)</f>
        <v>57.77</v>
      </c>
      <c r="J736" s="8">
        <v>0.0</v>
      </c>
      <c r="K736" s="3" t="inlineStr">
        <is>
          <t xml:space="preserve">TRUE</t>
        </is>
      </c>
      <c r="L736" s="3"/>
      <c r="M736" s="6">
        <f>ROUND(E736*G736-H736,2)</f>
        <v>69.9</v>
      </c>
      <c r="N736" s="5">
        <f>IF(COUNTIF($A$3:A736,A736)=1,1,0)</f>
        <v>0</v>
      </c>
      <c r="O736" s="6">
        <f>IF(N736=1,ROUND((SUMIFS($M$3:$M$1200,$A$3:$A$1200,A736)+'Settings'!$B$13)*'Settings'!$B$14/100+'Settings'!$B$15,2),0)</f>
        <v>0</v>
      </c>
    </row>
    <row r="737">
      <c r="A737" s="3" t="inlineStr">
        <is>
          <t xml:space="preserve">#1542</t>
        </is>
      </c>
      <c r="B737" s="3" t="inlineStr">
        <is>
          <t xml:space="preserve">2026-06-10</t>
        </is>
      </c>
      <c r="C737" s="3" t="inlineStr">
        <is>
          <t xml:space="preserve">SKU-E</t>
        </is>
      </c>
      <c r="D737" s="3" t="inlineStr">
        <is>
          <t xml:space="preserve">Complete Ritual</t>
        </is>
      </c>
      <c r="E737" s="6">
        <f>IF('Settings'!$B$11="Scenario",IFERROR(INDEX('Catalogue'!$E$3:$E$100,MATCH(C737,'Catalogue'!$B$3:$B$100,0)),F737),F737)</f>
        <v>89</v>
      </c>
      <c r="F737" s="8">
        <v>89</v>
      </c>
      <c r="G737" s="3">
        <v>1</v>
      </c>
      <c r="H737" s="6">
        <f>IF('Settings'!$B$11="Scenario",ROUND(E737*G737*IFERROR(SUMIF('Pricing &amp; promotions'!$A$6:$A$8,L737,'Pricing &amp; promotions'!$B$6:$B$8)/100,0),2),J737)</f>
        <v>0.0</v>
      </c>
      <c r="I737" s="6">
        <f>ROUND((E737*G737-H737)/IF(OR(K737=TRUE,K737="TRUE",K737="YES",K737=1),1+'Settings'!$B$6/100,1),2)</f>
        <v>73.55</v>
      </c>
      <c r="J737" s="8">
        <v>0.0</v>
      </c>
      <c r="K737" s="3" t="inlineStr">
        <is>
          <t xml:space="preserve">TRUE</t>
        </is>
      </c>
      <c r="L737" s="3"/>
      <c r="M737" s="6">
        <f>ROUND(E737*G737-H737,2)</f>
        <v>89.0</v>
      </c>
      <c r="N737" s="5">
        <f>IF(COUNTIF($A$3:A737,A737)=1,1,0)</f>
        <v>1</v>
      </c>
      <c r="O737" s="6">
        <f>IF(N737=1,ROUND((SUMIFS($M$3:$M$1200,$A$3:$A$1200,A737)+'Settings'!$B$13)*'Settings'!$B$14/100+'Settings'!$B$15,2),0)</f>
        <v>2.81</v>
      </c>
    </row>
    <row r="738">
      <c r="A738" s="3" t="inlineStr">
        <is>
          <t xml:space="preserve">#1542</t>
        </is>
      </c>
      <c r="B738" s="3" t="inlineStr">
        <is>
          <t xml:space="preserve">2026-06-10</t>
        </is>
      </c>
      <c r="C738" s="3" t="inlineStr">
        <is>
          <t xml:space="preserve">SKU-D</t>
        </is>
      </c>
      <c r="D738" s="3" t="inlineStr">
        <is>
          <t xml:space="preserve">Daily Duo</t>
        </is>
      </c>
      <c r="E738" s="6">
        <f>IF('Settings'!$B$11="Scenario",IFERROR(INDEX('Catalogue'!$E$3:$E$100,MATCH(C738,'Catalogue'!$B$3:$B$100,0)),F738),F738)</f>
        <v>79</v>
      </c>
      <c r="F738" s="8">
        <v>79</v>
      </c>
      <c r="G738" s="3">
        <v>1</v>
      </c>
      <c r="H738" s="6">
        <f>IF('Settings'!$B$11="Scenario",ROUND(E738*G738*IFERROR(SUMIF('Pricing &amp; promotions'!$A$6:$A$8,L738,'Pricing &amp; promotions'!$B$6:$B$8)/100,0),2),J738)</f>
        <v>0.0</v>
      </c>
      <c r="I738" s="6">
        <f>ROUND((E738*G738-H738)/IF(OR(K738=TRUE,K738="TRUE",K738="YES",K738=1),1+'Settings'!$B$6/100,1),2)</f>
        <v>65.29</v>
      </c>
      <c r="J738" s="8">
        <v>0.0</v>
      </c>
      <c r="K738" s="3" t="inlineStr">
        <is>
          <t xml:space="preserve">TRUE</t>
        </is>
      </c>
      <c r="L738" s="3"/>
      <c r="M738" s="6">
        <f>ROUND(E738*G738-H738,2)</f>
        <v>79.0</v>
      </c>
      <c r="N738" s="5">
        <f>IF(COUNTIF($A$3:A738,A738)=1,1,0)</f>
        <v>0</v>
      </c>
      <c r="O738" s="6">
        <f>IF(N738=1,ROUND((SUMIFS($M$3:$M$1200,$A$3:$A$1200,A738)+'Settings'!$B$13)*'Settings'!$B$14/100+'Settings'!$B$15,2),0)</f>
        <v>0</v>
      </c>
    </row>
    <row r="739">
      <c r="A739" s="3" t="inlineStr">
        <is>
          <t xml:space="preserve">#1543</t>
        </is>
      </c>
      <c r="B739" s="3" t="inlineStr">
        <is>
          <t xml:space="preserve">2026-06-10</t>
        </is>
      </c>
      <c r="C739" s="3" t="inlineStr">
        <is>
          <t xml:space="preserve">SKU-E</t>
        </is>
      </c>
      <c r="D739" s="3" t="inlineStr">
        <is>
          <t xml:space="preserve">Complete Ritual</t>
        </is>
      </c>
      <c r="E739" s="6">
        <f>IF('Settings'!$B$11="Scenario",IFERROR(INDEX('Catalogue'!$E$3:$E$100,MATCH(C739,'Catalogue'!$B$3:$B$100,0)),F739),F739)</f>
        <v>89</v>
      </c>
      <c r="F739" s="8">
        <v>89</v>
      </c>
      <c r="G739" s="3">
        <v>1</v>
      </c>
      <c r="H739" s="6">
        <f>IF('Settings'!$B$11="Scenario",ROUND(E739*G739*IFERROR(SUMIF('Pricing &amp; promotions'!$A$6:$A$8,L739,'Pricing &amp; promotions'!$B$6:$B$8)/100,0),2),J739)</f>
        <v>8.9</v>
      </c>
      <c r="I739" s="6">
        <f>ROUND((E739*G739-H739)/IF(OR(K739=TRUE,K739="TRUE",K739="YES",K739=1),1+'Settings'!$B$6/100,1),2)</f>
        <v>66.2</v>
      </c>
      <c r="J739" s="8">
        <v>8.9</v>
      </c>
      <c r="K739" s="3" t="inlineStr">
        <is>
          <t xml:space="preserve">TRUE</t>
        </is>
      </c>
      <c r="L739" s="3" t="inlineStr">
        <is>
          <t xml:space="preserve">WELCOME10</t>
        </is>
      </c>
      <c r="M739" s="6">
        <f>ROUND(E739*G739-H739,2)</f>
        <v>80.1</v>
      </c>
      <c r="N739" s="5">
        <f>IF(COUNTIF($A$3:A739,A739)=1,1,0)</f>
        <v>1</v>
      </c>
      <c r="O739" s="6">
        <f>IF(N739=1,ROUND((SUMIFS($M$3:$M$1200,$A$3:$A$1200,A739)+'Settings'!$B$13)*'Settings'!$B$14/100+'Settings'!$B$15,2),0)</f>
        <v>1.5</v>
      </c>
    </row>
    <row r="740">
      <c r="A740" s="3" t="inlineStr">
        <is>
          <t xml:space="preserve">#1544</t>
        </is>
      </c>
      <c r="B740" s="3" t="inlineStr">
        <is>
          <t xml:space="preserve">2026-06-11</t>
        </is>
      </c>
      <c r="C740" s="3" t="inlineStr">
        <is>
          <t xml:space="preserve">SKU-F</t>
        </is>
      </c>
      <c r="D740" s="3" t="inlineStr">
        <is>
          <t xml:space="preserve">Cloud Cleanser</t>
        </is>
      </c>
      <c r="E740" s="6">
        <f>IF('Settings'!$B$11="Scenario",IFERROR(INDEX('Catalogue'!$E$3:$E$100,MATCH(C740,'Catalogue'!$B$3:$B$100,0)),F740),F740)</f>
        <v>34</v>
      </c>
      <c r="F740" s="8">
        <v>34</v>
      </c>
      <c r="G740" s="3">
        <v>1</v>
      </c>
      <c r="H740" s="6">
        <f>IF('Settings'!$B$11="Scenario",ROUND(E740*G740*IFERROR(SUMIF('Pricing &amp; promotions'!$A$6:$A$8,L740,'Pricing &amp; promotions'!$B$6:$B$8)/100,0),2),J740)</f>
        <v>0.0</v>
      </c>
      <c r="I740" s="6">
        <f>ROUND((E740*G740-H740)/IF(OR(K740=TRUE,K740="TRUE",K740="YES",K740=1),1+'Settings'!$B$6/100,1),2)</f>
        <v>28.1</v>
      </c>
      <c r="J740" s="8">
        <v>0.0</v>
      </c>
      <c r="K740" s="3" t="inlineStr">
        <is>
          <t xml:space="preserve">TRUE</t>
        </is>
      </c>
      <c r="L740" s="3"/>
      <c r="M740" s="6">
        <f>ROUND(E740*G740-H740,2)</f>
        <v>34.0</v>
      </c>
      <c r="N740" s="5">
        <f>IF(COUNTIF($A$3:A740,A740)=1,1,0)</f>
        <v>1</v>
      </c>
      <c r="O740" s="6">
        <f>IF(N740=1,ROUND((SUMIFS($M$3:$M$1200,$A$3:$A$1200,A740)+'Settings'!$B$13)*'Settings'!$B$14/100+'Settings'!$B$15,2),0)</f>
        <v>0.8</v>
      </c>
    </row>
    <row r="741">
      <c r="A741" s="3" t="inlineStr">
        <is>
          <t xml:space="preserve">#1545</t>
        </is>
      </c>
      <c r="B741" s="3" t="inlineStr">
        <is>
          <t xml:space="preserve">2026-06-12</t>
        </is>
      </c>
      <c r="C741" s="3" t="inlineStr">
        <is>
          <t xml:space="preserve">SKU-B</t>
        </is>
      </c>
      <c r="D741" s="3" t="inlineStr">
        <is>
          <t xml:space="preserve">Barrier Balm</t>
        </is>
      </c>
      <c r="E741" s="6">
        <f>IF('Settings'!$B$11="Scenario",IFERROR(INDEX('Catalogue'!$E$3:$E$100,MATCH(C741,'Catalogue'!$B$3:$B$100,0)),F741),F741)</f>
        <v>19</v>
      </c>
      <c r="F741" s="8">
        <v>19</v>
      </c>
      <c r="G741" s="3">
        <v>1</v>
      </c>
      <c r="H741" s="6">
        <f>IF('Settings'!$B$11="Scenario",ROUND(E741*G741*IFERROR(SUMIF('Pricing &amp; promotions'!$A$6:$A$8,L741,'Pricing &amp; promotions'!$B$6:$B$8)/100,0),2),J741)</f>
        <v>0.0</v>
      </c>
      <c r="I741" s="6">
        <f>ROUND((E741*G741-H741)/IF(OR(K741=TRUE,K741="TRUE",K741="YES",K741=1),1+'Settings'!$B$6/100,1),2)</f>
        <v>15.7</v>
      </c>
      <c r="J741" s="8">
        <v>0.0</v>
      </c>
      <c r="K741" s="3" t="inlineStr">
        <is>
          <t xml:space="preserve">TRUE</t>
        </is>
      </c>
      <c r="L741" s="3"/>
      <c r="M741" s="6">
        <f>ROUND(E741*G741-H741,2)</f>
        <v>19.0</v>
      </c>
      <c r="N741" s="5">
        <f>IF(COUNTIF($A$3:A741,A741)=1,1,0)</f>
        <v>1</v>
      </c>
      <c r="O741" s="6">
        <f>IF(N741=1,ROUND((SUMIFS($M$3:$M$1200,$A$3:$A$1200,A741)+'Settings'!$B$13)*'Settings'!$B$14/100+'Settings'!$B$15,2),0)</f>
        <v>0.58</v>
      </c>
    </row>
    <row r="742">
      <c r="A742" s="3" t="inlineStr">
        <is>
          <t xml:space="preserve">#1546</t>
        </is>
      </c>
      <c r="B742" s="3" t="inlineStr">
        <is>
          <t xml:space="preserve">2026-06-12</t>
        </is>
      </c>
      <c r="C742" s="3" t="inlineStr">
        <is>
          <t xml:space="preserve">SKU-C</t>
        </is>
      </c>
      <c r="D742" s="3" t="inlineStr">
        <is>
          <t xml:space="preserve">Contour Stone</t>
        </is>
      </c>
      <c r="E742" s="6">
        <f>IF('Settings'!$B$11="Scenario",IFERROR(INDEX('Catalogue'!$E$3:$E$100,MATCH(C742,'Catalogue'!$B$3:$B$100,0)),F742),F742)</f>
        <v>29</v>
      </c>
      <c r="F742" s="8">
        <v>29</v>
      </c>
      <c r="G742" s="3">
        <v>1</v>
      </c>
      <c r="H742" s="6">
        <f>IF('Settings'!$B$11="Scenario",ROUND(E742*G742*IFERROR(SUMIF('Pricing &amp; promotions'!$A$6:$A$8,L742,'Pricing &amp; promotions'!$B$6:$B$8)/100,0),2),J742)</f>
        <v>2.9</v>
      </c>
      <c r="I742" s="6">
        <f>ROUND((E742*G742-H742)/IF(OR(K742=TRUE,K742="TRUE",K742="YES",K742=1),1+'Settings'!$B$6/100,1),2)</f>
        <v>21.57</v>
      </c>
      <c r="J742" s="8">
        <v>2.9</v>
      </c>
      <c r="K742" s="3" t="inlineStr">
        <is>
          <t xml:space="preserve">TRUE</t>
        </is>
      </c>
      <c r="L742" s="3" t="inlineStr">
        <is>
          <t xml:space="preserve">WELCOME10</t>
        </is>
      </c>
      <c r="M742" s="6">
        <f>ROUND(E742*G742-H742,2)</f>
        <v>26.1</v>
      </c>
      <c r="N742" s="5">
        <f>IF(COUNTIF($A$3:A742,A742)=1,1,0)</f>
        <v>1</v>
      </c>
      <c r="O742" s="6">
        <f>IF(N742=1,ROUND((SUMIFS($M$3:$M$1200,$A$3:$A$1200,A742)+'Settings'!$B$13)*'Settings'!$B$14/100+'Settings'!$B$15,2),0)</f>
        <v>2.57</v>
      </c>
    </row>
    <row r="743">
      <c r="A743" s="3" t="inlineStr">
        <is>
          <t xml:space="preserve">#1546</t>
        </is>
      </c>
      <c r="B743" s="3" t="inlineStr">
        <is>
          <t xml:space="preserve">2026-06-12</t>
        </is>
      </c>
      <c r="C743" s="3" t="inlineStr">
        <is>
          <t xml:space="preserve">SKU-A</t>
        </is>
      </c>
      <c r="D743" s="3" t="inlineStr">
        <is>
          <t xml:space="preserve">Renewal Serum</t>
        </is>
      </c>
      <c r="E743" s="6">
        <f>IF('Settings'!$B$11="Scenario",IFERROR(INDEX('Catalogue'!$E$3:$E$100,MATCH(C743,'Catalogue'!$B$3:$B$100,0)),F743),F743)</f>
        <v>69.9</v>
      </c>
      <c r="F743" s="8">
        <v>69.9</v>
      </c>
      <c r="G743" s="3">
        <v>2</v>
      </c>
      <c r="H743" s="6">
        <f>IF('Settings'!$B$11="Scenario",ROUND(E743*G743*IFERROR(SUMIF('Pricing &amp; promotions'!$A$6:$A$8,L743,'Pricing &amp; promotions'!$B$6:$B$8)/100,0),2),J743)</f>
        <v>13.98</v>
      </c>
      <c r="I743" s="6">
        <f>ROUND((E743*G743-H743)/IF(OR(K743=TRUE,K743="TRUE",K743="YES",K743=1),1+'Settings'!$B$6/100,1),2)</f>
        <v>103.98</v>
      </c>
      <c r="J743" s="8">
        <v>13.98</v>
      </c>
      <c r="K743" s="3" t="inlineStr">
        <is>
          <t xml:space="preserve">TRUE</t>
        </is>
      </c>
      <c r="L743" s="3" t="inlineStr">
        <is>
          <t xml:space="preserve">WELCOME10</t>
        </is>
      </c>
      <c r="M743" s="6">
        <f>ROUND(E743*G743-H743,2)</f>
        <v>125.82</v>
      </c>
      <c r="N743" s="5">
        <f>IF(COUNTIF($A$3:A743,A743)=1,1,0)</f>
        <v>0</v>
      </c>
      <c r="O743" s="6">
        <f>IF(N743=1,ROUND((SUMIFS($M$3:$M$1200,$A$3:$A$1200,A743)+'Settings'!$B$13)*'Settings'!$B$14/100+'Settings'!$B$15,2),0)</f>
        <v>0</v>
      </c>
    </row>
    <row r="744">
      <c r="A744" s="3" t="inlineStr">
        <is>
          <t xml:space="preserve">#1547</t>
        </is>
      </c>
      <c r="B744" s="3" t="inlineStr">
        <is>
          <t xml:space="preserve">2026-06-13</t>
        </is>
      </c>
      <c r="C744" s="3" t="inlineStr">
        <is>
          <t xml:space="preserve">SKU-D</t>
        </is>
      </c>
      <c r="D744" s="3" t="inlineStr">
        <is>
          <t xml:space="preserve">Daily Duo</t>
        </is>
      </c>
      <c r="E744" s="6">
        <f>IF('Settings'!$B$11="Scenario",IFERROR(INDEX('Catalogue'!$E$3:$E$100,MATCH(C744,'Catalogue'!$B$3:$B$100,0)),F744),F744)</f>
        <v>79</v>
      </c>
      <c r="F744" s="8">
        <v>79</v>
      </c>
      <c r="G744" s="3">
        <v>1</v>
      </c>
      <c r="H744" s="6">
        <f>IF('Settings'!$B$11="Scenario",ROUND(E744*G744*IFERROR(SUMIF('Pricing &amp; promotions'!$A$6:$A$8,L744,'Pricing &amp; promotions'!$B$6:$B$8)/100,0),2),J744)</f>
        <v>11.85</v>
      </c>
      <c r="I744" s="6">
        <f>ROUND((E744*G744-H744)/IF(OR(K744=TRUE,K744="TRUE",K744="YES",K744=1),1+'Settings'!$B$6/100,1),2)</f>
        <v>55.5</v>
      </c>
      <c r="J744" s="8">
        <v>11.85</v>
      </c>
      <c r="K744" s="3" t="inlineStr">
        <is>
          <t xml:space="preserve">TRUE</t>
        </is>
      </c>
      <c r="L744" s="3" t="inlineStr">
        <is>
          <t xml:space="preserve">SUMMER15</t>
        </is>
      </c>
      <c r="M744" s="6">
        <f>ROUND(E744*G744-H744,2)</f>
        <v>67.15</v>
      </c>
      <c r="N744" s="5">
        <f>IF(COUNTIF($A$3:A744,A744)=1,1,0)</f>
        <v>1</v>
      </c>
      <c r="O744" s="6">
        <f>IF(N744=1,ROUND((SUMIFS($M$3:$M$1200,$A$3:$A$1200,A744)+'Settings'!$B$13)*'Settings'!$B$14/100+'Settings'!$B$15,2),0)</f>
        <v>1.3</v>
      </c>
    </row>
    <row r="745">
      <c r="A745" s="3" t="inlineStr">
        <is>
          <t xml:space="preserve">#1548</t>
        </is>
      </c>
      <c r="B745" s="3" t="inlineStr">
        <is>
          <t xml:space="preserve">2026-06-13</t>
        </is>
      </c>
      <c r="C745" s="3" t="inlineStr">
        <is>
          <t xml:space="preserve">SKU-D</t>
        </is>
      </c>
      <c r="D745" s="3" t="inlineStr">
        <is>
          <t xml:space="preserve">Daily Duo</t>
        </is>
      </c>
      <c r="E745" s="6">
        <f>IF('Settings'!$B$11="Scenario",IFERROR(INDEX('Catalogue'!$E$3:$E$100,MATCH(C745,'Catalogue'!$B$3:$B$100,0)),F745),F745)</f>
        <v>79</v>
      </c>
      <c r="F745" s="8">
        <v>79</v>
      </c>
      <c r="G745" s="3">
        <v>1</v>
      </c>
      <c r="H745" s="6">
        <f>IF('Settings'!$B$11="Scenario",ROUND(E745*G745*IFERROR(SUMIF('Pricing &amp; promotions'!$A$6:$A$8,L745,'Pricing &amp; promotions'!$B$6:$B$8)/100,0),2),J745)</f>
        <v>0.0</v>
      </c>
      <c r="I745" s="6">
        <f>ROUND((E745*G745-H745)/IF(OR(K745=TRUE,K745="TRUE",K745="YES",K745=1),1+'Settings'!$B$6/100,1),2)</f>
        <v>65.29</v>
      </c>
      <c r="J745" s="8">
        <v>0.0</v>
      </c>
      <c r="K745" s="3" t="inlineStr">
        <is>
          <t xml:space="preserve">TRUE</t>
        </is>
      </c>
      <c r="L745" s="3"/>
      <c r="M745" s="6">
        <f>ROUND(E745*G745-H745,2)</f>
        <v>79.0</v>
      </c>
      <c r="N745" s="5">
        <f>IF(COUNTIF($A$3:A745,A745)=1,1,0)</f>
        <v>1</v>
      </c>
      <c r="O745" s="6">
        <f>IF(N745=1,ROUND((SUMIFS($M$3:$M$1200,$A$3:$A$1200,A745)+'Settings'!$B$13)*'Settings'!$B$14/100+'Settings'!$B$15,2),0)</f>
        <v>2.51</v>
      </c>
    </row>
    <row r="746">
      <c r="A746" s="3" t="inlineStr">
        <is>
          <t xml:space="preserve">#1548</t>
        </is>
      </c>
      <c r="B746" s="3" t="inlineStr">
        <is>
          <t xml:space="preserve">2026-06-13</t>
        </is>
      </c>
      <c r="C746" s="3" t="inlineStr">
        <is>
          <t xml:space="preserve">SKU-G</t>
        </is>
      </c>
      <c r="D746" s="3" t="inlineStr">
        <is>
          <t xml:space="preserve">Daily Reset Set</t>
        </is>
      </c>
      <c r="E746" s="6">
        <f>IF('Settings'!$B$11="Scenario",IFERROR(INDEX('Catalogue'!$E$3:$E$100,MATCH(C746,'Catalogue'!$B$3:$B$100,0)),F746),F746)</f>
        <v>69</v>
      </c>
      <c r="F746" s="8">
        <v>69</v>
      </c>
      <c r="G746" s="3">
        <v>1</v>
      </c>
      <c r="H746" s="6">
        <f>IF('Settings'!$B$11="Scenario",ROUND(E746*G746*IFERROR(SUMIF('Pricing &amp; promotions'!$A$6:$A$8,L746,'Pricing &amp; promotions'!$B$6:$B$8)/100,0),2),J746)</f>
        <v>0.0</v>
      </c>
      <c r="I746" s="6">
        <f>ROUND((E746*G746-H746)/IF(OR(K746=TRUE,K746="TRUE",K746="YES",K746=1),1+'Settings'!$B$6/100,1),2)</f>
        <v>57.02</v>
      </c>
      <c r="J746" s="8">
        <v>0.0</v>
      </c>
      <c r="K746" s="3" t="inlineStr">
        <is>
          <t xml:space="preserve">TRUE</t>
        </is>
      </c>
      <c r="L746" s="3"/>
      <c r="M746" s="6">
        <f>ROUND(E746*G746-H746,2)</f>
        <v>69.0</v>
      </c>
      <c r="N746" s="5">
        <f>IF(COUNTIF($A$3:A746,A746)=1,1,0)</f>
        <v>0</v>
      </c>
      <c r="O746" s="6">
        <f>IF(N746=1,ROUND((SUMIFS($M$3:$M$1200,$A$3:$A$1200,A746)+'Settings'!$B$13)*'Settings'!$B$14/100+'Settings'!$B$15,2),0)</f>
        <v>0</v>
      </c>
    </row>
    <row r="747">
      <c r="A747" s="3" t="inlineStr">
        <is>
          <t xml:space="preserve">#1549</t>
        </is>
      </c>
      <c r="B747" s="3" t="inlineStr">
        <is>
          <t xml:space="preserve">2026-06-13</t>
        </is>
      </c>
      <c r="C747" s="3" t="inlineStr">
        <is>
          <t xml:space="preserve">SKU-A</t>
        </is>
      </c>
      <c r="D747" s="3" t="inlineStr">
        <is>
          <t xml:space="preserve">Renewal Serum</t>
        </is>
      </c>
      <c r="E747" s="6">
        <f>IF('Settings'!$B$11="Scenario",IFERROR(INDEX('Catalogue'!$E$3:$E$100,MATCH(C747,'Catalogue'!$B$3:$B$100,0)),F747),F747)</f>
        <v>69.9</v>
      </c>
      <c r="F747" s="8">
        <v>69.9</v>
      </c>
      <c r="G747" s="3">
        <v>1</v>
      </c>
      <c r="H747" s="6">
        <f>IF('Settings'!$B$11="Scenario",ROUND(E747*G747*IFERROR(SUMIF('Pricing &amp; promotions'!$A$6:$A$8,L747,'Pricing &amp; promotions'!$B$6:$B$8)/100,0),2),J747)</f>
        <v>6.99</v>
      </c>
      <c r="I747" s="6">
        <f>ROUND((E747*G747-H747)/IF(OR(K747=TRUE,K747="TRUE",K747="YES",K747=1),1+'Settings'!$B$6/100,1),2)</f>
        <v>51.99</v>
      </c>
      <c r="J747" s="8">
        <v>6.99</v>
      </c>
      <c r="K747" s="3" t="inlineStr">
        <is>
          <t xml:space="preserve">TRUE</t>
        </is>
      </c>
      <c r="L747" s="3" t="inlineStr">
        <is>
          <t xml:space="preserve">WELCOME10</t>
        </is>
      </c>
      <c r="M747" s="6">
        <f>ROUND(E747*G747-H747,2)</f>
        <v>62.91</v>
      </c>
      <c r="N747" s="5">
        <f>IF(COUNTIF($A$3:A747,A747)=1,1,0)</f>
        <v>1</v>
      </c>
      <c r="O747" s="6">
        <f>IF(N747=1,ROUND((SUMIFS($M$3:$M$1200,$A$3:$A$1200,A747)+'Settings'!$B$13)*'Settings'!$B$14/100+'Settings'!$B$15,2),0)</f>
        <v>1.24</v>
      </c>
    </row>
    <row r="748">
      <c r="A748" s="3" t="inlineStr">
        <is>
          <t xml:space="preserve">#1550</t>
        </is>
      </c>
      <c r="B748" s="3" t="inlineStr">
        <is>
          <t xml:space="preserve">2026-06-14</t>
        </is>
      </c>
      <c r="C748" s="3" t="inlineStr">
        <is>
          <t xml:space="preserve">SKU-D</t>
        </is>
      </c>
      <c r="D748" s="3" t="inlineStr">
        <is>
          <t xml:space="preserve">Daily Duo</t>
        </is>
      </c>
      <c r="E748" s="6">
        <f>IF('Settings'!$B$11="Scenario",IFERROR(INDEX('Catalogue'!$E$3:$E$100,MATCH(C748,'Catalogue'!$B$3:$B$100,0)),F748),F748)</f>
        <v>79</v>
      </c>
      <c r="F748" s="8">
        <v>79</v>
      </c>
      <c r="G748" s="3">
        <v>1</v>
      </c>
      <c r="H748" s="6">
        <f>IF('Settings'!$B$11="Scenario",ROUND(E748*G748*IFERROR(SUMIF('Pricing &amp; promotions'!$A$6:$A$8,L748,'Pricing &amp; promotions'!$B$6:$B$8)/100,0),2),J748)</f>
        <v>0.0</v>
      </c>
      <c r="I748" s="6">
        <f>ROUND((E748*G748-H748)/IF(OR(K748=TRUE,K748="TRUE",K748="YES",K748=1),1+'Settings'!$B$6/100,1),2)</f>
        <v>65.29</v>
      </c>
      <c r="J748" s="8">
        <v>0.0</v>
      </c>
      <c r="K748" s="3" t="inlineStr">
        <is>
          <t xml:space="preserve">TRUE</t>
        </is>
      </c>
      <c r="L748" s="3"/>
      <c r="M748" s="6">
        <f>ROUND(E748*G748-H748,2)</f>
        <v>79.0</v>
      </c>
      <c r="N748" s="5">
        <f>IF(COUNTIF($A$3:A748,A748)=1,1,0)</f>
        <v>1</v>
      </c>
      <c r="O748" s="6">
        <f>IF(N748=1,ROUND((SUMIFS($M$3:$M$1200,$A$3:$A$1200,A748)+'Settings'!$B$13)*'Settings'!$B$14/100+'Settings'!$B$15,2),0)</f>
        <v>1.48</v>
      </c>
    </row>
    <row r="749">
      <c r="A749" s="3" t="inlineStr">
        <is>
          <t xml:space="preserve">#1551</t>
        </is>
      </c>
      <c r="B749" s="3" t="inlineStr">
        <is>
          <t xml:space="preserve">2026-06-15</t>
        </is>
      </c>
      <c r="C749" s="3" t="inlineStr">
        <is>
          <t xml:space="preserve">SKU-D</t>
        </is>
      </c>
      <c r="D749" s="3" t="inlineStr">
        <is>
          <t xml:space="preserve">Daily Duo</t>
        </is>
      </c>
      <c r="E749" s="6">
        <f>IF('Settings'!$B$11="Scenario",IFERROR(INDEX('Catalogue'!$E$3:$E$100,MATCH(C749,'Catalogue'!$B$3:$B$100,0)),F749),F749)</f>
        <v>79</v>
      </c>
      <c r="F749" s="8">
        <v>79</v>
      </c>
      <c r="G749" s="3">
        <v>1</v>
      </c>
      <c r="H749" s="6">
        <f>IF('Settings'!$B$11="Scenario",ROUND(E749*G749*IFERROR(SUMIF('Pricing &amp; promotions'!$A$6:$A$8,L749,'Pricing &amp; promotions'!$B$6:$B$8)/100,0),2),J749)</f>
        <v>11.85</v>
      </c>
      <c r="I749" s="6">
        <f>ROUND((E749*G749-H749)/IF(OR(K749=TRUE,K749="TRUE",K749="YES",K749=1),1+'Settings'!$B$6/100,1),2)</f>
        <v>55.5</v>
      </c>
      <c r="J749" s="8">
        <v>11.85</v>
      </c>
      <c r="K749" s="3" t="inlineStr">
        <is>
          <t xml:space="preserve">TRUE</t>
        </is>
      </c>
      <c r="L749" s="3" t="inlineStr">
        <is>
          <t xml:space="preserve">SUMMER15</t>
        </is>
      </c>
      <c r="M749" s="6">
        <f>ROUND(E749*G749-H749,2)</f>
        <v>67.15</v>
      </c>
      <c r="N749" s="5">
        <f>IF(COUNTIF($A$3:A749,A749)=1,1,0)</f>
        <v>1</v>
      </c>
      <c r="O749" s="6">
        <f>IF(N749=1,ROUND((SUMIFS($M$3:$M$1200,$A$3:$A$1200,A749)+'Settings'!$B$13)*'Settings'!$B$14/100+'Settings'!$B$15,2),0)</f>
        <v>1.3</v>
      </c>
    </row>
    <row r="750">
      <c r="A750" s="3" t="inlineStr">
        <is>
          <t xml:space="preserve">#1552</t>
        </is>
      </c>
      <c r="B750" s="3" t="inlineStr">
        <is>
          <t xml:space="preserve">2026-06-15</t>
        </is>
      </c>
      <c r="C750" s="3" t="inlineStr">
        <is>
          <t xml:space="preserve">SKU-A</t>
        </is>
      </c>
      <c r="D750" s="3" t="inlineStr">
        <is>
          <t xml:space="preserve">Renewal Serum</t>
        </is>
      </c>
      <c r="E750" s="6">
        <f>IF('Settings'!$B$11="Scenario",IFERROR(INDEX('Catalogue'!$E$3:$E$100,MATCH(C750,'Catalogue'!$B$3:$B$100,0)),F750),F750)</f>
        <v>69.9</v>
      </c>
      <c r="F750" s="8">
        <v>69.9</v>
      </c>
      <c r="G750" s="3">
        <v>1</v>
      </c>
      <c r="H750" s="6">
        <f>IF('Settings'!$B$11="Scenario",ROUND(E750*G750*IFERROR(SUMIF('Pricing &amp; promotions'!$A$6:$A$8,L750,'Pricing &amp; promotions'!$B$6:$B$8)/100,0),2),J750)</f>
        <v>6.99</v>
      </c>
      <c r="I750" s="6">
        <f>ROUND((E750*G750-H750)/IF(OR(K750=TRUE,K750="TRUE",K750="YES",K750=1),1+'Settings'!$B$6/100,1),2)</f>
        <v>51.99</v>
      </c>
      <c r="J750" s="8">
        <v>6.99</v>
      </c>
      <c r="K750" s="3" t="inlineStr">
        <is>
          <t xml:space="preserve">TRUE</t>
        </is>
      </c>
      <c r="L750" s="3" t="inlineStr">
        <is>
          <t xml:space="preserve">WELCOME10</t>
        </is>
      </c>
      <c r="M750" s="6">
        <f>ROUND(E750*G750-H750,2)</f>
        <v>62.91</v>
      </c>
      <c r="N750" s="5">
        <f>IF(COUNTIF($A$3:A750,A750)=1,1,0)</f>
        <v>1</v>
      </c>
      <c r="O750" s="6">
        <f>IF(N750=1,ROUND((SUMIFS($M$3:$M$1200,$A$3:$A$1200,A750)+'Settings'!$B$13)*'Settings'!$B$14/100+'Settings'!$B$15,2),0)</f>
        <v>1.24</v>
      </c>
    </row>
    <row r="751">
      <c r="A751" s="3" t="inlineStr">
        <is>
          <t xml:space="preserve">#1553</t>
        </is>
      </c>
      <c r="B751" s="3" t="inlineStr">
        <is>
          <t xml:space="preserve">2026-06-15</t>
        </is>
      </c>
      <c r="C751" s="3" t="inlineStr">
        <is>
          <t xml:space="preserve">SKU-G</t>
        </is>
      </c>
      <c r="D751" s="3" t="inlineStr">
        <is>
          <t xml:space="preserve">Daily Reset Set</t>
        </is>
      </c>
      <c r="E751" s="6">
        <f>IF('Settings'!$B$11="Scenario",IFERROR(INDEX('Catalogue'!$E$3:$E$100,MATCH(C751,'Catalogue'!$B$3:$B$100,0)),F751),F751)</f>
        <v>69</v>
      </c>
      <c r="F751" s="8">
        <v>69</v>
      </c>
      <c r="G751" s="3">
        <v>1</v>
      </c>
      <c r="H751" s="6">
        <f>IF('Settings'!$B$11="Scenario",ROUND(E751*G751*IFERROR(SUMIF('Pricing &amp; promotions'!$A$6:$A$8,L751,'Pricing &amp; promotions'!$B$6:$B$8)/100,0),2),J751)</f>
        <v>0.0</v>
      </c>
      <c r="I751" s="6">
        <f>ROUND((E751*G751-H751)/IF(OR(K751=TRUE,K751="TRUE",K751="YES",K751=1),1+'Settings'!$B$6/100,1),2)</f>
        <v>57.02</v>
      </c>
      <c r="J751" s="8">
        <v>0.0</v>
      </c>
      <c r="K751" s="3" t="inlineStr">
        <is>
          <t xml:space="preserve">TRUE</t>
        </is>
      </c>
      <c r="L751" s="3"/>
      <c r="M751" s="6">
        <f>ROUND(E751*G751-H751,2)</f>
        <v>69.0</v>
      </c>
      <c r="N751" s="5">
        <f>IF(COUNTIF($A$3:A751,A751)=1,1,0)</f>
        <v>1</v>
      </c>
      <c r="O751" s="6">
        <f>IF(N751=1,ROUND((SUMIFS($M$3:$M$1200,$A$3:$A$1200,A751)+'Settings'!$B$13)*'Settings'!$B$14/100+'Settings'!$B$15,2),0)</f>
        <v>1.33</v>
      </c>
    </row>
    <row r="752">
      <c r="A752" s="3" t="inlineStr">
        <is>
          <t xml:space="preserve">#1554</t>
        </is>
      </c>
      <c r="B752" s="3" t="inlineStr">
        <is>
          <t xml:space="preserve">2026-06-16</t>
        </is>
      </c>
      <c r="C752" s="3" t="inlineStr">
        <is>
          <t xml:space="preserve">SKU-D</t>
        </is>
      </c>
      <c r="D752" s="3" t="inlineStr">
        <is>
          <t xml:space="preserve">Daily Duo</t>
        </is>
      </c>
      <c r="E752" s="6">
        <f>IF('Settings'!$B$11="Scenario",IFERROR(INDEX('Catalogue'!$E$3:$E$100,MATCH(C752,'Catalogue'!$B$3:$B$100,0)),F752),F752)</f>
        <v>79</v>
      </c>
      <c r="F752" s="8">
        <v>79</v>
      </c>
      <c r="G752" s="3">
        <v>1</v>
      </c>
      <c r="H752" s="6">
        <f>IF('Settings'!$B$11="Scenario",ROUND(E752*G752*IFERROR(SUMIF('Pricing &amp; promotions'!$A$6:$A$8,L752,'Pricing &amp; promotions'!$B$6:$B$8)/100,0),2),J752)</f>
        <v>0.0</v>
      </c>
      <c r="I752" s="6">
        <f>ROUND((E752*G752-H752)/IF(OR(K752=TRUE,K752="TRUE",K752="YES",K752=1),1+'Settings'!$B$6/100,1),2)</f>
        <v>65.29</v>
      </c>
      <c r="J752" s="8">
        <v>0.0</v>
      </c>
      <c r="K752" s="3" t="inlineStr">
        <is>
          <t xml:space="preserve">TRUE</t>
        </is>
      </c>
      <c r="L752" s="3"/>
      <c r="M752" s="6">
        <f>ROUND(E752*G752-H752,2)</f>
        <v>79.0</v>
      </c>
      <c r="N752" s="5">
        <f>IF(COUNTIF($A$3:A752,A752)=1,1,0)</f>
        <v>1</v>
      </c>
      <c r="O752" s="6">
        <f>IF(N752=1,ROUND((SUMIFS($M$3:$M$1200,$A$3:$A$1200,A752)+'Settings'!$B$13)*'Settings'!$B$14/100+'Settings'!$B$15,2),0)</f>
        <v>1.48</v>
      </c>
    </row>
    <row r="753">
      <c r="A753" s="3" t="inlineStr">
        <is>
          <t xml:space="preserve">#1555</t>
        </is>
      </c>
      <c r="B753" s="3" t="inlineStr">
        <is>
          <t xml:space="preserve">2026-06-16</t>
        </is>
      </c>
      <c r="C753" s="3" t="inlineStr">
        <is>
          <t xml:space="preserve">SKU-D</t>
        </is>
      </c>
      <c r="D753" s="3" t="inlineStr">
        <is>
          <t xml:space="preserve">Daily Duo</t>
        </is>
      </c>
      <c r="E753" s="6">
        <f>IF('Settings'!$B$11="Scenario",IFERROR(INDEX('Catalogue'!$E$3:$E$100,MATCH(C753,'Catalogue'!$B$3:$B$100,0)),F753),F753)</f>
        <v>79</v>
      </c>
      <c r="F753" s="8">
        <v>79</v>
      </c>
      <c r="G753" s="3">
        <v>1</v>
      </c>
      <c r="H753" s="6">
        <f>IF('Settings'!$B$11="Scenario",ROUND(E753*G753*IFERROR(SUMIF('Pricing &amp; promotions'!$A$6:$A$8,L753,'Pricing &amp; promotions'!$B$6:$B$8)/100,0),2),J753)</f>
        <v>7.9</v>
      </c>
      <c r="I753" s="6">
        <f>ROUND((E753*G753-H753)/IF(OR(K753=TRUE,K753="TRUE",K753="YES",K753=1),1+'Settings'!$B$6/100,1),2)</f>
        <v>58.76</v>
      </c>
      <c r="J753" s="8">
        <v>7.9</v>
      </c>
      <c r="K753" s="3" t="inlineStr">
        <is>
          <t xml:space="preserve">TRUE</t>
        </is>
      </c>
      <c r="L753" s="3" t="inlineStr">
        <is>
          <t xml:space="preserve">WELCOME10</t>
        </is>
      </c>
      <c r="M753" s="6">
        <f>ROUND(E753*G753-H753,2)</f>
        <v>71.1</v>
      </c>
      <c r="N753" s="5">
        <f>IF(COUNTIF($A$3:A753,A753)=1,1,0)</f>
        <v>1</v>
      </c>
      <c r="O753" s="6">
        <f>IF(N753=1,ROUND((SUMIFS($M$3:$M$1200,$A$3:$A$1200,A753)+'Settings'!$B$13)*'Settings'!$B$14/100+'Settings'!$B$15,2),0)</f>
        <v>1.36</v>
      </c>
    </row>
    <row r="754">
      <c r="A754" s="3" t="inlineStr">
        <is>
          <t xml:space="preserve">#1556</t>
        </is>
      </c>
      <c r="B754" s="3" t="inlineStr">
        <is>
          <t xml:space="preserve">2026-06-16</t>
        </is>
      </c>
      <c r="C754" s="3" t="inlineStr">
        <is>
          <t xml:space="preserve">SKU-B</t>
        </is>
      </c>
      <c r="D754" s="3" t="inlineStr">
        <is>
          <t xml:space="preserve">Barrier Balm</t>
        </is>
      </c>
      <c r="E754" s="6">
        <f>IF('Settings'!$B$11="Scenario",IFERROR(INDEX('Catalogue'!$E$3:$E$100,MATCH(C754,'Catalogue'!$B$3:$B$100,0)),F754),F754)</f>
        <v>19</v>
      </c>
      <c r="F754" s="8">
        <v>19</v>
      </c>
      <c r="G754" s="3">
        <v>1</v>
      </c>
      <c r="H754" s="6">
        <f>IF('Settings'!$B$11="Scenario",ROUND(E754*G754*IFERROR(SUMIF('Pricing &amp; promotions'!$A$6:$A$8,L754,'Pricing &amp; promotions'!$B$6:$B$8)/100,0),2),J754)</f>
        <v>0.0</v>
      </c>
      <c r="I754" s="6">
        <f>ROUND((E754*G754-H754)/IF(OR(K754=TRUE,K754="TRUE",K754="YES",K754=1),1+'Settings'!$B$6/100,1),2)</f>
        <v>15.7</v>
      </c>
      <c r="J754" s="8">
        <v>0.0</v>
      </c>
      <c r="K754" s="3" t="inlineStr">
        <is>
          <t xml:space="preserve">TRUE</t>
        </is>
      </c>
      <c r="L754" s="3"/>
      <c r="M754" s="6">
        <f>ROUND(E754*G754-H754,2)</f>
        <v>19.0</v>
      </c>
      <c r="N754" s="5">
        <f>IF(COUNTIF($A$3:A754,A754)=1,1,0)</f>
        <v>1</v>
      </c>
      <c r="O754" s="6">
        <f>IF(N754=1,ROUND((SUMIFS($M$3:$M$1200,$A$3:$A$1200,A754)+'Settings'!$B$13)*'Settings'!$B$14/100+'Settings'!$B$15,2),0)</f>
        <v>0.58</v>
      </c>
    </row>
    <row r="755">
      <c r="A755" s="3" t="inlineStr">
        <is>
          <t xml:space="preserve">#1557</t>
        </is>
      </c>
      <c r="B755" s="3" t="inlineStr">
        <is>
          <t xml:space="preserve">2026-06-17</t>
        </is>
      </c>
      <c r="C755" s="3" t="inlineStr">
        <is>
          <t xml:space="preserve">SKU-F</t>
        </is>
      </c>
      <c r="D755" s="3" t="inlineStr">
        <is>
          <t xml:space="preserve">Cloud Cleanser</t>
        </is>
      </c>
      <c r="E755" s="6">
        <f>IF('Settings'!$B$11="Scenario",IFERROR(INDEX('Catalogue'!$E$3:$E$100,MATCH(C755,'Catalogue'!$B$3:$B$100,0)),F755),F755)</f>
        <v>34</v>
      </c>
      <c r="F755" s="8">
        <v>34</v>
      </c>
      <c r="G755" s="3">
        <v>1</v>
      </c>
      <c r="H755" s="6">
        <f>IF('Settings'!$B$11="Scenario",ROUND(E755*G755*IFERROR(SUMIF('Pricing &amp; promotions'!$A$6:$A$8,L755,'Pricing &amp; promotions'!$B$6:$B$8)/100,0),2),J755)</f>
        <v>5.1</v>
      </c>
      <c r="I755" s="6">
        <f>ROUND((E755*G755-H755)/IF(OR(K755=TRUE,K755="TRUE",K755="YES",K755=1),1+'Settings'!$B$6/100,1),2)</f>
        <v>23.88</v>
      </c>
      <c r="J755" s="8">
        <v>5.1</v>
      </c>
      <c r="K755" s="3" t="inlineStr">
        <is>
          <t xml:space="preserve">TRUE</t>
        </is>
      </c>
      <c r="L755" s="3" t="inlineStr">
        <is>
          <t xml:space="preserve">SUMMER15</t>
        </is>
      </c>
      <c r="M755" s="6">
        <f>ROUND(E755*G755-H755,2)</f>
        <v>28.9</v>
      </c>
      <c r="N755" s="5">
        <f>IF(COUNTIF($A$3:A755,A755)=1,1,0)</f>
        <v>1</v>
      </c>
      <c r="O755" s="6">
        <f>IF(N755=1,ROUND((SUMIFS($M$3:$M$1200,$A$3:$A$1200,A755)+'Settings'!$B$13)*'Settings'!$B$14/100+'Settings'!$B$15,2),0)</f>
        <v>0.73</v>
      </c>
    </row>
    <row r="756">
      <c r="A756" s="3" t="inlineStr">
        <is>
          <t xml:space="preserve">#1558</t>
        </is>
      </c>
      <c r="B756" s="3" t="inlineStr">
        <is>
          <t xml:space="preserve">2026-06-17</t>
        </is>
      </c>
      <c r="C756" s="3" t="inlineStr">
        <is>
          <t xml:space="preserve">SKU-D</t>
        </is>
      </c>
      <c r="D756" s="3" t="inlineStr">
        <is>
          <t xml:space="preserve">Daily Duo</t>
        </is>
      </c>
      <c r="E756" s="6">
        <f>IF('Settings'!$B$11="Scenario",IFERROR(INDEX('Catalogue'!$E$3:$E$100,MATCH(C756,'Catalogue'!$B$3:$B$100,0)),F756),F756)</f>
        <v>79</v>
      </c>
      <c r="F756" s="8">
        <v>79</v>
      </c>
      <c r="G756" s="3">
        <v>1</v>
      </c>
      <c r="H756" s="6">
        <f>IF('Settings'!$B$11="Scenario",ROUND(E756*G756*IFERROR(SUMIF('Pricing &amp; promotions'!$A$6:$A$8,L756,'Pricing &amp; promotions'!$B$6:$B$8)/100,0),2),J756)</f>
        <v>0.0</v>
      </c>
      <c r="I756" s="6">
        <f>ROUND((E756*G756-H756)/IF(OR(K756=TRUE,K756="TRUE",K756="YES",K756=1),1+'Settings'!$B$6/100,1),2)</f>
        <v>65.29</v>
      </c>
      <c r="J756" s="8">
        <v>0.0</v>
      </c>
      <c r="K756" s="3" t="inlineStr">
        <is>
          <t xml:space="preserve">TRUE</t>
        </is>
      </c>
      <c r="L756" s="3"/>
      <c r="M756" s="6">
        <f>ROUND(E756*G756-H756,2)</f>
        <v>79.0</v>
      </c>
      <c r="N756" s="5">
        <f>IF(COUNTIF($A$3:A756,A756)=1,1,0)</f>
        <v>1</v>
      </c>
      <c r="O756" s="6">
        <f>IF(N756=1,ROUND((SUMIFS($M$3:$M$1200,$A$3:$A$1200,A756)+'Settings'!$B$13)*'Settings'!$B$14/100+'Settings'!$B$15,2),0)</f>
        <v>1.48</v>
      </c>
    </row>
    <row r="757">
      <c r="A757" s="3" t="inlineStr">
        <is>
          <t xml:space="preserve">#1559</t>
        </is>
      </c>
      <c r="B757" s="3" t="inlineStr">
        <is>
          <t xml:space="preserve">2026-06-17</t>
        </is>
      </c>
      <c r="C757" s="3" t="inlineStr">
        <is>
          <t xml:space="preserve">SKU-B</t>
        </is>
      </c>
      <c r="D757" s="3" t="inlineStr">
        <is>
          <t xml:space="preserve">Barrier Balm</t>
        </is>
      </c>
      <c r="E757" s="6">
        <f>IF('Settings'!$B$11="Scenario",IFERROR(INDEX('Catalogue'!$E$3:$E$100,MATCH(C757,'Catalogue'!$B$3:$B$100,0)),F757),F757)</f>
        <v>19</v>
      </c>
      <c r="F757" s="8">
        <v>19</v>
      </c>
      <c r="G757" s="3">
        <v>1</v>
      </c>
      <c r="H757" s="6">
        <f>IF('Settings'!$B$11="Scenario",ROUND(E757*G757*IFERROR(SUMIF('Pricing &amp; promotions'!$A$6:$A$8,L757,'Pricing &amp; promotions'!$B$6:$B$8)/100,0),2),J757)</f>
        <v>0.0</v>
      </c>
      <c r="I757" s="6">
        <f>ROUND((E757*G757-H757)/IF(OR(K757=TRUE,K757="TRUE",K757="YES",K757=1),1+'Settings'!$B$6/100,1),2)</f>
        <v>15.7</v>
      </c>
      <c r="J757" s="8">
        <v>0.0</v>
      </c>
      <c r="K757" s="3" t="inlineStr">
        <is>
          <t xml:space="preserve">TRUE</t>
        </is>
      </c>
      <c r="L757" s="3"/>
      <c r="M757" s="6">
        <f>ROUND(E757*G757-H757,2)</f>
        <v>19.0</v>
      </c>
      <c r="N757" s="5">
        <f>IF(COUNTIF($A$3:A757,A757)=1,1,0)</f>
        <v>1</v>
      </c>
      <c r="O757" s="6">
        <f>IF(N757=1,ROUND((SUMIFS($M$3:$M$1200,$A$3:$A$1200,A757)+'Settings'!$B$13)*'Settings'!$B$14/100+'Settings'!$B$15,2),0)</f>
        <v>0.58</v>
      </c>
    </row>
    <row r="758">
      <c r="A758" s="3" t="inlineStr">
        <is>
          <t xml:space="preserve">#1560</t>
        </is>
      </c>
      <c r="B758" s="3" t="inlineStr">
        <is>
          <t xml:space="preserve">2026-06-17</t>
        </is>
      </c>
      <c r="C758" s="3" t="inlineStr">
        <is>
          <t xml:space="preserve">SKU-A</t>
        </is>
      </c>
      <c r="D758" s="3" t="inlineStr">
        <is>
          <t xml:space="preserve">Renewal Serum</t>
        </is>
      </c>
      <c r="E758" s="6">
        <f>IF('Settings'!$B$11="Scenario",IFERROR(INDEX('Catalogue'!$E$3:$E$100,MATCH(C758,'Catalogue'!$B$3:$B$100,0)),F758),F758)</f>
        <v>69.9</v>
      </c>
      <c r="F758" s="8">
        <v>69.9</v>
      </c>
      <c r="G758" s="3">
        <v>2</v>
      </c>
      <c r="H758" s="6">
        <f>IF('Settings'!$B$11="Scenario",ROUND(E758*G758*IFERROR(SUMIF('Pricing &amp; promotions'!$A$6:$A$8,L758,'Pricing &amp; promotions'!$B$6:$B$8)/100,0),2),J758)</f>
        <v>13.98</v>
      </c>
      <c r="I758" s="6">
        <f>ROUND((E758*G758-H758)/IF(OR(K758=TRUE,K758="TRUE",K758="YES",K758=1),1+'Settings'!$B$6/100,1),2)</f>
        <v>103.98</v>
      </c>
      <c r="J758" s="8">
        <v>13.98</v>
      </c>
      <c r="K758" s="3" t="inlineStr">
        <is>
          <t xml:space="preserve">TRUE</t>
        </is>
      </c>
      <c r="L758" s="3" t="inlineStr">
        <is>
          <t xml:space="preserve">WELCOME10</t>
        </is>
      </c>
      <c r="M758" s="6">
        <f>ROUND(E758*G758-H758,2)</f>
        <v>125.82</v>
      </c>
      <c r="N758" s="5">
        <f>IF(COUNTIF($A$3:A758,A758)=1,1,0)</f>
        <v>1</v>
      </c>
      <c r="O758" s="6">
        <f>IF(N758=1,ROUND((SUMIFS($M$3:$M$1200,$A$3:$A$1200,A758)+'Settings'!$B$13)*'Settings'!$B$14/100+'Settings'!$B$15,2),0)</f>
        <v>2.18</v>
      </c>
    </row>
    <row r="759">
      <c r="A759" s="3" t="inlineStr">
        <is>
          <t xml:space="preserve">#1561</t>
        </is>
      </c>
      <c r="B759" s="3" t="inlineStr">
        <is>
          <t xml:space="preserve">2026-06-17</t>
        </is>
      </c>
      <c r="C759" s="3" t="inlineStr">
        <is>
          <t xml:space="preserve">SKU-B</t>
        </is>
      </c>
      <c r="D759" s="3" t="inlineStr">
        <is>
          <t xml:space="preserve">Barrier Balm</t>
        </is>
      </c>
      <c r="E759" s="6">
        <f>IF('Settings'!$B$11="Scenario",IFERROR(INDEX('Catalogue'!$E$3:$E$100,MATCH(C759,'Catalogue'!$B$3:$B$100,0)),F759),F759)</f>
        <v>19</v>
      </c>
      <c r="F759" s="8">
        <v>19</v>
      </c>
      <c r="G759" s="3">
        <v>1</v>
      </c>
      <c r="H759" s="6">
        <f>IF('Settings'!$B$11="Scenario",ROUND(E759*G759*IFERROR(SUMIF('Pricing &amp; promotions'!$A$6:$A$8,L759,'Pricing &amp; promotions'!$B$6:$B$8)/100,0),2),J759)</f>
        <v>1.9</v>
      </c>
      <c r="I759" s="6">
        <f>ROUND((E759*G759-H759)/IF(OR(K759=TRUE,K759="TRUE",K759="YES",K759=1),1+'Settings'!$B$6/100,1),2)</f>
        <v>14.13</v>
      </c>
      <c r="J759" s="8">
        <v>1.9</v>
      </c>
      <c r="K759" s="3" t="inlineStr">
        <is>
          <t xml:space="preserve">TRUE</t>
        </is>
      </c>
      <c r="L759" s="3" t="inlineStr">
        <is>
          <t xml:space="preserve">WELCOME10</t>
        </is>
      </c>
      <c r="M759" s="6">
        <f>ROUND(E759*G759-H759,2)</f>
        <v>17.1</v>
      </c>
      <c r="N759" s="5">
        <f>IF(COUNTIF($A$3:A759,A759)=1,1,0)</f>
        <v>1</v>
      </c>
      <c r="O759" s="6">
        <f>IF(N759=1,ROUND((SUMIFS($M$3:$M$1200,$A$3:$A$1200,A759)+'Settings'!$B$13)*'Settings'!$B$14/100+'Settings'!$B$15,2),0)</f>
        <v>0.55</v>
      </c>
    </row>
    <row r="760">
      <c r="A760" s="3" t="inlineStr">
        <is>
          <t xml:space="preserve">#1562</t>
        </is>
      </c>
      <c r="B760" s="3" t="inlineStr">
        <is>
          <t xml:space="preserve">2026-06-17</t>
        </is>
      </c>
      <c r="C760" s="3" t="inlineStr">
        <is>
          <t xml:space="preserve">SKU-A</t>
        </is>
      </c>
      <c r="D760" s="3" t="inlineStr">
        <is>
          <t xml:space="preserve">Renewal Serum</t>
        </is>
      </c>
      <c r="E760" s="6">
        <f>IF('Settings'!$B$11="Scenario",IFERROR(INDEX('Catalogue'!$E$3:$E$100,MATCH(C760,'Catalogue'!$B$3:$B$100,0)),F760),F760)</f>
        <v>69.9</v>
      </c>
      <c r="F760" s="8">
        <v>69.9</v>
      </c>
      <c r="G760" s="3">
        <v>1</v>
      </c>
      <c r="H760" s="6">
        <f>IF('Settings'!$B$11="Scenario",ROUND(E760*G760*IFERROR(SUMIF('Pricing &amp; promotions'!$A$6:$A$8,L760,'Pricing &amp; promotions'!$B$6:$B$8)/100,0),2),J760)</f>
        <v>6.99</v>
      </c>
      <c r="I760" s="6">
        <f>ROUND((E760*G760-H760)/IF(OR(K760=TRUE,K760="TRUE",K760="YES",K760=1),1+'Settings'!$B$6/100,1),2)</f>
        <v>51.99</v>
      </c>
      <c r="J760" s="8">
        <v>6.99</v>
      </c>
      <c r="K760" s="3" t="inlineStr">
        <is>
          <t xml:space="preserve">TRUE</t>
        </is>
      </c>
      <c r="L760" s="3" t="inlineStr">
        <is>
          <t xml:space="preserve">WELCOME10</t>
        </is>
      </c>
      <c r="M760" s="6">
        <f>ROUND(E760*G760-H760,2)</f>
        <v>62.91</v>
      </c>
      <c r="N760" s="5">
        <f>IF(COUNTIF($A$3:A760,A760)=1,1,0)</f>
        <v>1</v>
      </c>
      <c r="O760" s="6">
        <f>IF(N760=1,ROUND((SUMIFS($M$3:$M$1200,$A$3:$A$1200,A760)+'Settings'!$B$13)*'Settings'!$B$14/100+'Settings'!$B$15,2),0)</f>
        <v>1.24</v>
      </c>
    </row>
    <row r="761">
      <c r="A761" s="3" t="inlineStr">
        <is>
          <t xml:space="preserve">#1563</t>
        </is>
      </c>
      <c r="B761" s="3" t="inlineStr">
        <is>
          <t xml:space="preserve">2026-06-18</t>
        </is>
      </c>
      <c r="C761" s="3" t="inlineStr">
        <is>
          <t xml:space="preserve">SKU-D</t>
        </is>
      </c>
      <c r="D761" s="3" t="inlineStr">
        <is>
          <t xml:space="preserve">Daily Duo</t>
        </is>
      </c>
      <c r="E761" s="6">
        <f>IF('Settings'!$B$11="Scenario",IFERROR(INDEX('Catalogue'!$E$3:$E$100,MATCH(C761,'Catalogue'!$B$3:$B$100,0)),F761),F761)</f>
        <v>79</v>
      </c>
      <c r="F761" s="8">
        <v>79</v>
      </c>
      <c r="G761" s="3">
        <v>1</v>
      </c>
      <c r="H761" s="6">
        <f>IF('Settings'!$B$11="Scenario",ROUND(E761*G761*IFERROR(SUMIF('Pricing &amp; promotions'!$A$6:$A$8,L761,'Pricing &amp; promotions'!$B$6:$B$8)/100,0),2),J761)</f>
        <v>0.0</v>
      </c>
      <c r="I761" s="6">
        <f>ROUND((E761*G761-H761)/IF(OR(K761=TRUE,K761="TRUE",K761="YES",K761=1),1+'Settings'!$B$6/100,1),2)</f>
        <v>65.29</v>
      </c>
      <c r="J761" s="8">
        <v>0.0</v>
      </c>
      <c r="K761" s="3" t="inlineStr">
        <is>
          <t xml:space="preserve">TRUE</t>
        </is>
      </c>
      <c r="L761" s="3"/>
      <c r="M761" s="6">
        <f>ROUND(E761*G761-H761,2)</f>
        <v>79.0</v>
      </c>
      <c r="N761" s="5">
        <f>IF(COUNTIF($A$3:A761,A761)=1,1,0)</f>
        <v>1</v>
      </c>
      <c r="O761" s="6">
        <f>IF(N761=1,ROUND((SUMIFS($M$3:$M$1200,$A$3:$A$1200,A761)+'Settings'!$B$13)*'Settings'!$B$14/100+'Settings'!$B$15,2),0)</f>
        <v>1.48</v>
      </c>
    </row>
    <row r="762">
      <c r="A762" s="3" t="inlineStr">
        <is>
          <t xml:space="preserve">#1564</t>
        </is>
      </c>
      <c r="B762" s="3" t="inlineStr">
        <is>
          <t xml:space="preserve">2026-06-19</t>
        </is>
      </c>
      <c r="C762" s="3" t="inlineStr">
        <is>
          <t xml:space="preserve">SKU-D</t>
        </is>
      </c>
      <c r="D762" s="3" t="inlineStr">
        <is>
          <t xml:space="preserve">Daily Duo</t>
        </is>
      </c>
      <c r="E762" s="6">
        <f>IF('Settings'!$B$11="Scenario",IFERROR(INDEX('Catalogue'!$E$3:$E$100,MATCH(C762,'Catalogue'!$B$3:$B$100,0)),F762),F762)</f>
        <v>79</v>
      </c>
      <c r="F762" s="8">
        <v>79</v>
      </c>
      <c r="G762" s="3">
        <v>1</v>
      </c>
      <c r="H762" s="6">
        <f>IF('Settings'!$B$11="Scenario",ROUND(E762*G762*IFERROR(SUMIF('Pricing &amp; promotions'!$A$6:$A$8,L762,'Pricing &amp; promotions'!$B$6:$B$8)/100,0),2),J762)</f>
        <v>7.9</v>
      </c>
      <c r="I762" s="6">
        <f>ROUND((E762*G762-H762)/IF(OR(K762=TRUE,K762="TRUE",K762="YES",K762=1),1+'Settings'!$B$6/100,1),2)</f>
        <v>58.76</v>
      </c>
      <c r="J762" s="8">
        <v>7.9</v>
      </c>
      <c r="K762" s="3" t="inlineStr">
        <is>
          <t xml:space="preserve">TRUE</t>
        </is>
      </c>
      <c r="L762" s="3" t="inlineStr">
        <is>
          <t xml:space="preserve">WELCOME10</t>
        </is>
      </c>
      <c r="M762" s="6">
        <f>ROUND(E762*G762-H762,2)</f>
        <v>71.1</v>
      </c>
      <c r="N762" s="5">
        <f>IF(COUNTIF($A$3:A762,A762)=1,1,0)</f>
        <v>1</v>
      </c>
      <c r="O762" s="6">
        <f>IF(N762=1,ROUND((SUMIFS($M$3:$M$1200,$A$3:$A$1200,A762)+'Settings'!$B$13)*'Settings'!$B$14/100+'Settings'!$B$15,2),0)</f>
        <v>1.36</v>
      </c>
    </row>
    <row r="763">
      <c r="A763" s="3" t="inlineStr">
        <is>
          <t xml:space="preserve">#1565</t>
        </is>
      </c>
      <c r="B763" s="3" t="inlineStr">
        <is>
          <t xml:space="preserve">2026-06-19</t>
        </is>
      </c>
      <c r="C763" s="3" t="inlineStr">
        <is>
          <t xml:space="preserve">SKU-A</t>
        </is>
      </c>
      <c r="D763" s="3" t="inlineStr">
        <is>
          <t xml:space="preserve">Renewal Serum</t>
        </is>
      </c>
      <c r="E763" s="6">
        <f>IF('Settings'!$B$11="Scenario",IFERROR(INDEX('Catalogue'!$E$3:$E$100,MATCH(C763,'Catalogue'!$B$3:$B$100,0)),F763),F763)</f>
        <v>69.9</v>
      </c>
      <c r="F763" s="8">
        <v>69.9</v>
      </c>
      <c r="G763" s="3">
        <v>1</v>
      </c>
      <c r="H763" s="6">
        <f>IF('Settings'!$B$11="Scenario",ROUND(E763*G763*IFERROR(SUMIF('Pricing &amp; promotions'!$A$6:$A$8,L763,'Pricing &amp; promotions'!$B$6:$B$8)/100,0),2),J763)</f>
        <v>6.99</v>
      </c>
      <c r="I763" s="6">
        <f>ROUND((E763*G763-H763)/IF(OR(K763=TRUE,K763="TRUE",K763="YES",K763=1),1+'Settings'!$B$6/100,1),2)</f>
        <v>51.99</v>
      </c>
      <c r="J763" s="8">
        <v>6.99</v>
      </c>
      <c r="K763" s="3" t="inlineStr">
        <is>
          <t xml:space="preserve">TRUE</t>
        </is>
      </c>
      <c r="L763" s="3" t="inlineStr">
        <is>
          <t xml:space="preserve">WELCOME10</t>
        </is>
      </c>
      <c r="M763" s="6">
        <f>ROUND(E763*G763-H763,2)</f>
        <v>62.91</v>
      </c>
      <c r="N763" s="5">
        <f>IF(COUNTIF($A$3:A763,A763)=1,1,0)</f>
        <v>1</v>
      </c>
      <c r="O763" s="6">
        <f>IF(N763=1,ROUND((SUMIFS($M$3:$M$1200,$A$3:$A$1200,A763)+'Settings'!$B$13)*'Settings'!$B$14/100+'Settings'!$B$15,2),0)</f>
        <v>1.24</v>
      </c>
    </row>
    <row r="764">
      <c r="A764" s="3" t="inlineStr">
        <is>
          <t xml:space="preserve">#1566</t>
        </is>
      </c>
      <c r="B764" s="3" t="inlineStr">
        <is>
          <t xml:space="preserve">2026-06-19</t>
        </is>
      </c>
      <c r="C764" s="3" t="inlineStr">
        <is>
          <t xml:space="preserve">SKU-B</t>
        </is>
      </c>
      <c r="D764" s="3" t="inlineStr">
        <is>
          <t xml:space="preserve">Barrier Balm</t>
        </is>
      </c>
      <c r="E764" s="6">
        <f>IF('Settings'!$B$11="Scenario",IFERROR(INDEX('Catalogue'!$E$3:$E$100,MATCH(C764,'Catalogue'!$B$3:$B$100,0)),F764),F764)</f>
        <v>19</v>
      </c>
      <c r="F764" s="8">
        <v>19</v>
      </c>
      <c r="G764" s="3">
        <v>1</v>
      </c>
      <c r="H764" s="6">
        <f>IF('Settings'!$B$11="Scenario",ROUND(E764*G764*IFERROR(SUMIF('Pricing &amp; promotions'!$A$6:$A$8,L764,'Pricing &amp; promotions'!$B$6:$B$8)/100,0),2),J764)</f>
        <v>1.9</v>
      </c>
      <c r="I764" s="6">
        <f>ROUND((E764*G764-H764)/IF(OR(K764=TRUE,K764="TRUE",K764="YES",K764=1),1+'Settings'!$B$6/100,1),2)</f>
        <v>14.13</v>
      </c>
      <c r="J764" s="8">
        <v>1.9</v>
      </c>
      <c r="K764" s="3" t="inlineStr">
        <is>
          <t xml:space="preserve">TRUE</t>
        </is>
      </c>
      <c r="L764" s="3" t="inlineStr">
        <is>
          <t xml:space="preserve">WELCOME10</t>
        </is>
      </c>
      <c r="M764" s="6">
        <f>ROUND(E764*G764-H764,2)</f>
        <v>17.1</v>
      </c>
      <c r="N764" s="5">
        <f>IF(COUNTIF($A$3:A764,A764)=1,1,0)</f>
        <v>1</v>
      </c>
      <c r="O764" s="6">
        <f>IF(N764=1,ROUND((SUMIFS($M$3:$M$1200,$A$3:$A$1200,A764)+'Settings'!$B$13)*'Settings'!$B$14/100+'Settings'!$B$15,2),0)</f>
        <v>0.55</v>
      </c>
    </row>
    <row r="765">
      <c r="A765" s="3" t="inlineStr">
        <is>
          <t xml:space="preserve">#1567</t>
        </is>
      </c>
      <c r="B765" s="3" t="inlineStr">
        <is>
          <t xml:space="preserve">2026-06-19</t>
        </is>
      </c>
      <c r="C765" s="3" t="inlineStr">
        <is>
          <t xml:space="preserve">SKU-A</t>
        </is>
      </c>
      <c r="D765" s="3" t="inlineStr">
        <is>
          <t xml:space="preserve">Renewal Serum</t>
        </is>
      </c>
      <c r="E765" s="6">
        <f>IF('Settings'!$B$11="Scenario",IFERROR(INDEX('Catalogue'!$E$3:$E$100,MATCH(C765,'Catalogue'!$B$3:$B$100,0)),F765),F765)</f>
        <v>69.9</v>
      </c>
      <c r="F765" s="8">
        <v>69.9</v>
      </c>
      <c r="G765" s="3">
        <v>1</v>
      </c>
      <c r="H765" s="6">
        <f>IF('Settings'!$B$11="Scenario",ROUND(E765*G765*IFERROR(SUMIF('Pricing &amp; promotions'!$A$6:$A$8,L765,'Pricing &amp; promotions'!$B$6:$B$8)/100,0),2),J765)</f>
        <v>0.0</v>
      </c>
      <c r="I765" s="6">
        <f>ROUND((E765*G765-H765)/IF(OR(K765=TRUE,K765="TRUE",K765="YES",K765=1),1+'Settings'!$B$6/100,1),2)</f>
        <v>57.77</v>
      </c>
      <c r="J765" s="8">
        <v>0.0</v>
      </c>
      <c r="K765" s="3" t="inlineStr">
        <is>
          <t xml:space="preserve">TRUE</t>
        </is>
      </c>
      <c r="L765" s="3"/>
      <c r="M765" s="6">
        <f>ROUND(E765*G765-H765,2)</f>
        <v>69.9</v>
      </c>
      <c r="N765" s="5">
        <f>IF(COUNTIF($A$3:A765,A765)=1,1,0)</f>
        <v>1</v>
      </c>
      <c r="O765" s="6">
        <f>IF(N765=1,ROUND((SUMIFS($M$3:$M$1200,$A$3:$A$1200,A765)+'Settings'!$B$13)*'Settings'!$B$14/100+'Settings'!$B$15,2),0)</f>
        <v>1.34</v>
      </c>
    </row>
    <row r="766">
      <c r="A766" s="3" t="inlineStr">
        <is>
          <t xml:space="preserve">#1568</t>
        </is>
      </c>
      <c r="B766" s="3" t="inlineStr">
        <is>
          <t xml:space="preserve">2026-06-20</t>
        </is>
      </c>
      <c r="C766" s="3" t="inlineStr">
        <is>
          <t xml:space="preserve">SKU-D</t>
        </is>
      </c>
      <c r="D766" s="3" t="inlineStr">
        <is>
          <t xml:space="preserve">Daily Duo</t>
        </is>
      </c>
      <c r="E766" s="6">
        <f>IF('Settings'!$B$11="Scenario",IFERROR(INDEX('Catalogue'!$E$3:$E$100,MATCH(C766,'Catalogue'!$B$3:$B$100,0)),F766),F766)</f>
        <v>79</v>
      </c>
      <c r="F766" s="8">
        <v>79</v>
      </c>
      <c r="G766" s="3">
        <v>1</v>
      </c>
      <c r="H766" s="6">
        <f>IF('Settings'!$B$11="Scenario",ROUND(E766*G766*IFERROR(SUMIF('Pricing &amp; promotions'!$A$6:$A$8,L766,'Pricing &amp; promotions'!$B$6:$B$8)/100,0),2),J766)</f>
        <v>0.0</v>
      </c>
      <c r="I766" s="6">
        <f>ROUND((E766*G766-H766)/IF(OR(K766=TRUE,K766="TRUE",K766="YES",K766=1),1+'Settings'!$B$6/100,1),2)</f>
        <v>65.29</v>
      </c>
      <c r="J766" s="8">
        <v>0.0</v>
      </c>
      <c r="K766" s="3" t="inlineStr">
        <is>
          <t xml:space="preserve">TRUE</t>
        </is>
      </c>
      <c r="L766" s="3"/>
      <c r="M766" s="6">
        <f>ROUND(E766*G766-H766,2)</f>
        <v>79.0</v>
      </c>
      <c r="N766" s="5">
        <f>IF(COUNTIF($A$3:A766,A766)=1,1,0)</f>
        <v>1</v>
      </c>
      <c r="O766" s="6">
        <f>IF(N766=1,ROUND((SUMIFS($M$3:$M$1200,$A$3:$A$1200,A766)+'Settings'!$B$13)*'Settings'!$B$14/100+'Settings'!$B$15,2),0)</f>
        <v>1.48</v>
      </c>
    </row>
    <row r="767">
      <c r="A767" s="3" t="inlineStr">
        <is>
          <t xml:space="preserve">#1569</t>
        </is>
      </c>
      <c r="B767" s="3" t="inlineStr">
        <is>
          <t xml:space="preserve">2026-06-20</t>
        </is>
      </c>
      <c r="C767" s="3" t="inlineStr">
        <is>
          <t xml:space="preserve">SKU-B</t>
        </is>
      </c>
      <c r="D767" s="3" t="inlineStr">
        <is>
          <t xml:space="preserve">Barrier Balm</t>
        </is>
      </c>
      <c r="E767" s="6">
        <f>IF('Settings'!$B$11="Scenario",IFERROR(INDEX('Catalogue'!$E$3:$E$100,MATCH(C767,'Catalogue'!$B$3:$B$100,0)),F767),F767)</f>
        <v>19</v>
      </c>
      <c r="F767" s="8">
        <v>19</v>
      </c>
      <c r="G767" s="3">
        <v>1</v>
      </c>
      <c r="H767" s="6">
        <f>IF('Settings'!$B$11="Scenario",ROUND(E767*G767*IFERROR(SUMIF('Pricing &amp; promotions'!$A$6:$A$8,L767,'Pricing &amp; promotions'!$B$6:$B$8)/100,0),2),J767)</f>
        <v>0.0</v>
      </c>
      <c r="I767" s="6">
        <f>ROUND((E767*G767-H767)/IF(OR(K767=TRUE,K767="TRUE",K767="YES",K767=1),1+'Settings'!$B$6/100,1),2)</f>
        <v>15.7</v>
      </c>
      <c r="J767" s="8">
        <v>0.0</v>
      </c>
      <c r="K767" s="3" t="inlineStr">
        <is>
          <t xml:space="preserve">TRUE</t>
        </is>
      </c>
      <c r="L767" s="3"/>
      <c r="M767" s="6">
        <f>ROUND(E767*G767-H767,2)</f>
        <v>19.0</v>
      </c>
      <c r="N767" s="5">
        <f>IF(COUNTIF($A$3:A767,A767)=1,1,0)</f>
        <v>1</v>
      </c>
      <c r="O767" s="6">
        <f>IF(N767=1,ROUND((SUMIFS($M$3:$M$1200,$A$3:$A$1200,A767)+'Settings'!$B$13)*'Settings'!$B$14/100+'Settings'!$B$15,2),0)</f>
        <v>2.95</v>
      </c>
    </row>
    <row r="768">
      <c r="A768" s="3" t="inlineStr">
        <is>
          <t xml:space="preserve">#1569</t>
        </is>
      </c>
      <c r="B768" s="3" t="inlineStr">
        <is>
          <t xml:space="preserve">2026-06-20</t>
        </is>
      </c>
      <c r="C768" s="3" t="inlineStr">
        <is>
          <t xml:space="preserve">SKU-G</t>
        </is>
      </c>
      <c r="D768" s="3" t="inlineStr">
        <is>
          <t xml:space="preserve">Daily Reset Set</t>
        </is>
      </c>
      <c r="E768" s="6">
        <f>IF('Settings'!$B$11="Scenario",IFERROR(INDEX('Catalogue'!$E$3:$E$100,MATCH(C768,'Catalogue'!$B$3:$B$100,0)),F768),F768)</f>
        <v>69</v>
      </c>
      <c r="F768" s="8">
        <v>69</v>
      </c>
      <c r="G768" s="3">
        <v>1</v>
      </c>
      <c r="H768" s="6">
        <f>IF('Settings'!$B$11="Scenario",ROUND(E768*G768*IFERROR(SUMIF('Pricing &amp; promotions'!$A$6:$A$8,L768,'Pricing &amp; promotions'!$B$6:$B$8)/100,0),2),J768)</f>
        <v>0.0</v>
      </c>
      <c r="I768" s="6">
        <f>ROUND((E768*G768-H768)/IF(OR(K768=TRUE,K768="TRUE",K768="YES",K768=1),1+'Settings'!$B$6/100,1),2)</f>
        <v>57.02</v>
      </c>
      <c r="J768" s="8">
        <v>0.0</v>
      </c>
      <c r="K768" s="3" t="inlineStr">
        <is>
          <t xml:space="preserve">TRUE</t>
        </is>
      </c>
      <c r="L768" s="3"/>
      <c r="M768" s="6">
        <f>ROUND(E768*G768-H768,2)</f>
        <v>69.0</v>
      </c>
      <c r="N768" s="5">
        <f>IF(COUNTIF($A$3:A768,A768)=1,1,0)</f>
        <v>0</v>
      </c>
      <c r="O768" s="6">
        <f>IF(N768=1,ROUND((SUMIFS($M$3:$M$1200,$A$3:$A$1200,A768)+'Settings'!$B$13)*'Settings'!$B$14/100+'Settings'!$B$15,2),0)</f>
        <v>0</v>
      </c>
    </row>
    <row r="769">
      <c r="A769" s="3" t="inlineStr">
        <is>
          <t xml:space="preserve">#1569</t>
        </is>
      </c>
      <c r="B769" s="3" t="inlineStr">
        <is>
          <t xml:space="preserve">2026-06-20</t>
        </is>
      </c>
      <c r="C769" s="3" t="inlineStr">
        <is>
          <t xml:space="preserve">SKU-E</t>
        </is>
      </c>
      <c r="D769" s="3" t="inlineStr">
        <is>
          <t xml:space="preserve">Complete Ritual</t>
        </is>
      </c>
      <c r="E769" s="6">
        <f>IF('Settings'!$B$11="Scenario",IFERROR(INDEX('Catalogue'!$E$3:$E$100,MATCH(C769,'Catalogue'!$B$3:$B$100,0)),F769),F769)</f>
        <v>89</v>
      </c>
      <c r="F769" s="8">
        <v>89</v>
      </c>
      <c r="G769" s="3">
        <v>1</v>
      </c>
      <c r="H769" s="6">
        <f>IF('Settings'!$B$11="Scenario",ROUND(E769*G769*IFERROR(SUMIF('Pricing &amp; promotions'!$A$6:$A$8,L769,'Pricing &amp; promotions'!$B$6:$B$8)/100,0),2),J769)</f>
        <v>0.0</v>
      </c>
      <c r="I769" s="6">
        <f>ROUND((E769*G769-H769)/IF(OR(K769=TRUE,K769="TRUE",K769="YES",K769=1),1+'Settings'!$B$6/100,1),2)</f>
        <v>73.55</v>
      </c>
      <c r="J769" s="8">
        <v>0.0</v>
      </c>
      <c r="K769" s="3" t="inlineStr">
        <is>
          <t xml:space="preserve">TRUE</t>
        </is>
      </c>
      <c r="L769" s="3"/>
      <c r="M769" s="6">
        <f>ROUND(E769*G769-H769,2)</f>
        <v>89.0</v>
      </c>
      <c r="N769" s="5">
        <f>IF(COUNTIF($A$3:A769,A769)=1,1,0)</f>
        <v>0</v>
      </c>
      <c r="O769" s="6">
        <f>IF(N769=1,ROUND((SUMIFS($M$3:$M$1200,$A$3:$A$1200,A769)+'Settings'!$B$13)*'Settings'!$B$14/100+'Settings'!$B$15,2),0)</f>
        <v>0</v>
      </c>
    </row>
    <row r="770">
      <c r="A770" s="3" t="inlineStr">
        <is>
          <t xml:space="preserve">#1570</t>
        </is>
      </c>
      <c r="B770" s="3" t="inlineStr">
        <is>
          <t xml:space="preserve">2026-06-21</t>
        </is>
      </c>
      <c r="C770" s="3" t="inlineStr">
        <is>
          <t xml:space="preserve">SKU-G</t>
        </is>
      </c>
      <c r="D770" s="3" t="inlineStr">
        <is>
          <t xml:space="preserve">Daily Reset Set</t>
        </is>
      </c>
      <c r="E770" s="6">
        <f>IF('Settings'!$B$11="Scenario",IFERROR(INDEX('Catalogue'!$E$3:$E$100,MATCH(C770,'Catalogue'!$B$3:$B$100,0)),F770),F770)</f>
        <v>69</v>
      </c>
      <c r="F770" s="8">
        <v>69</v>
      </c>
      <c r="G770" s="3">
        <v>1</v>
      </c>
      <c r="H770" s="6">
        <f>IF('Settings'!$B$11="Scenario",ROUND(E770*G770*IFERROR(SUMIF('Pricing &amp; promotions'!$A$6:$A$8,L770,'Pricing &amp; promotions'!$B$6:$B$8)/100,0),2),J770)</f>
        <v>0.0</v>
      </c>
      <c r="I770" s="6">
        <f>ROUND((E770*G770-H770)/IF(OR(K770=TRUE,K770="TRUE",K770="YES",K770=1),1+'Settings'!$B$6/100,1),2)</f>
        <v>57.02</v>
      </c>
      <c r="J770" s="8">
        <v>0.0</v>
      </c>
      <c r="K770" s="3" t="inlineStr">
        <is>
          <t xml:space="preserve">TRUE</t>
        </is>
      </c>
      <c r="L770" s="3"/>
      <c r="M770" s="6">
        <f>ROUND(E770*G770-H770,2)</f>
        <v>69.0</v>
      </c>
      <c r="N770" s="5">
        <f>IF(COUNTIF($A$3:A770,A770)=1,1,0)</f>
        <v>1</v>
      </c>
      <c r="O770" s="6">
        <f>IF(N770=1,ROUND((SUMIFS($M$3:$M$1200,$A$3:$A$1200,A770)+'Settings'!$B$13)*'Settings'!$B$14/100+'Settings'!$B$15,2),0)</f>
        <v>1.33</v>
      </c>
    </row>
    <row r="771">
      <c r="A771" s="3" t="inlineStr">
        <is>
          <t xml:space="preserve">#1571</t>
        </is>
      </c>
      <c r="B771" s="3" t="inlineStr">
        <is>
          <t xml:space="preserve">2026-06-21</t>
        </is>
      </c>
      <c r="C771" s="3" t="inlineStr">
        <is>
          <t xml:space="preserve">SKU-D</t>
        </is>
      </c>
      <c r="D771" s="3" t="inlineStr">
        <is>
          <t xml:space="preserve">Daily Duo</t>
        </is>
      </c>
      <c r="E771" s="6">
        <f>IF('Settings'!$B$11="Scenario",IFERROR(INDEX('Catalogue'!$E$3:$E$100,MATCH(C771,'Catalogue'!$B$3:$B$100,0)),F771),F771)</f>
        <v>79</v>
      </c>
      <c r="F771" s="8">
        <v>79</v>
      </c>
      <c r="G771" s="3">
        <v>1</v>
      </c>
      <c r="H771" s="6">
        <f>IF('Settings'!$B$11="Scenario",ROUND(E771*G771*IFERROR(SUMIF('Pricing &amp; promotions'!$A$6:$A$8,L771,'Pricing &amp; promotions'!$B$6:$B$8)/100,0),2),J771)</f>
        <v>11.85</v>
      </c>
      <c r="I771" s="6">
        <f>ROUND((E771*G771-H771)/IF(OR(K771=TRUE,K771="TRUE",K771="YES",K771=1),1+'Settings'!$B$6/100,1),2)</f>
        <v>55.5</v>
      </c>
      <c r="J771" s="8">
        <v>11.85</v>
      </c>
      <c r="K771" s="3" t="inlineStr">
        <is>
          <t xml:space="preserve">TRUE</t>
        </is>
      </c>
      <c r="L771" s="3" t="inlineStr">
        <is>
          <t xml:space="preserve">SUMMER15</t>
        </is>
      </c>
      <c r="M771" s="6">
        <f>ROUND(E771*G771-H771,2)</f>
        <v>67.15</v>
      </c>
      <c r="N771" s="5">
        <f>IF(COUNTIF($A$3:A771,A771)=1,1,0)</f>
        <v>1</v>
      </c>
      <c r="O771" s="6">
        <f>IF(N771=1,ROUND((SUMIFS($M$3:$M$1200,$A$3:$A$1200,A771)+'Settings'!$B$13)*'Settings'!$B$14/100+'Settings'!$B$15,2),0)</f>
        <v>1.67</v>
      </c>
    </row>
    <row r="772">
      <c r="A772" s="3" t="inlineStr">
        <is>
          <t xml:space="preserve">#1571</t>
        </is>
      </c>
      <c r="B772" s="3" t="inlineStr">
        <is>
          <t xml:space="preserve">2026-06-21</t>
        </is>
      </c>
      <c r="C772" s="3" t="inlineStr">
        <is>
          <t xml:space="preserve">SKU-C</t>
        </is>
      </c>
      <c r="D772" s="3" t="inlineStr">
        <is>
          <t xml:space="preserve">Contour Stone</t>
        </is>
      </c>
      <c r="E772" s="6">
        <f>IF('Settings'!$B$11="Scenario",IFERROR(INDEX('Catalogue'!$E$3:$E$100,MATCH(C772,'Catalogue'!$B$3:$B$100,0)),F772),F772)</f>
        <v>29</v>
      </c>
      <c r="F772" s="8">
        <v>29</v>
      </c>
      <c r="G772" s="3">
        <v>1</v>
      </c>
      <c r="H772" s="6">
        <f>IF('Settings'!$B$11="Scenario",ROUND(E772*G772*IFERROR(SUMIF('Pricing &amp; promotions'!$A$6:$A$8,L772,'Pricing &amp; promotions'!$B$6:$B$8)/100,0),2),J772)</f>
        <v>4.35</v>
      </c>
      <c r="I772" s="6">
        <f>ROUND((E772*G772-H772)/IF(OR(K772=TRUE,K772="TRUE",K772="YES",K772=1),1+'Settings'!$B$6/100,1),2)</f>
        <v>20.37</v>
      </c>
      <c r="J772" s="8">
        <v>4.35</v>
      </c>
      <c r="K772" s="3" t="inlineStr">
        <is>
          <t xml:space="preserve">TRUE</t>
        </is>
      </c>
      <c r="L772" s="3" t="inlineStr">
        <is>
          <t xml:space="preserve">SUMMER15</t>
        </is>
      </c>
      <c r="M772" s="6">
        <f>ROUND(E772*G772-H772,2)</f>
        <v>24.65</v>
      </c>
      <c r="N772" s="5">
        <f>IF(COUNTIF($A$3:A772,A772)=1,1,0)</f>
        <v>0</v>
      </c>
      <c r="O772" s="6">
        <f>IF(N772=1,ROUND((SUMIFS($M$3:$M$1200,$A$3:$A$1200,A772)+'Settings'!$B$13)*'Settings'!$B$14/100+'Settings'!$B$15,2),0)</f>
        <v>0</v>
      </c>
    </row>
    <row r="773">
      <c r="A773" s="3" t="inlineStr">
        <is>
          <t xml:space="preserve">#1572</t>
        </is>
      </c>
      <c r="B773" s="3" t="inlineStr">
        <is>
          <t xml:space="preserve">2026-06-21</t>
        </is>
      </c>
      <c r="C773" s="3" t="inlineStr">
        <is>
          <t xml:space="preserve">SKU-G</t>
        </is>
      </c>
      <c r="D773" s="3" t="inlineStr">
        <is>
          <t xml:space="preserve">Daily Reset Set</t>
        </is>
      </c>
      <c r="E773" s="6">
        <f>IF('Settings'!$B$11="Scenario",IFERROR(INDEX('Catalogue'!$E$3:$E$100,MATCH(C773,'Catalogue'!$B$3:$B$100,0)),F773),F773)</f>
        <v>69</v>
      </c>
      <c r="F773" s="8">
        <v>69</v>
      </c>
      <c r="G773" s="3">
        <v>1</v>
      </c>
      <c r="H773" s="6">
        <f>IF('Settings'!$B$11="Scenario",ROUND(E773*G773*IFERROR(SUMIF('Pricing &amp; promotions'!$A$6:$A$8,L773,'Pricing &amp; promotions'!$B$6:$B$8)/100,0),2),J773)</f>
        <v>13.8</v>
      </c>
      <c r="I773" s="6">
        <f>ROUND((E773*G773-H773)/IF(OR(K773=TRUE,K773="TRUE",K773="YES",K773=1),1+'Settings'!$B$6/100,1),2)</f>
        <v>45.62</v>
      </c>
      <c r="J773" s="8">
        <v>13.8</v>
      </c>
      <c r="K773" s="3" t="inlineStr">
        <is>
          <t xml:space="preserve">TRUE</t>
        </is>
      </c>
      <c r="L773" s="3" t="inlineStr">
        <is>
          <t xml:space="preserve">VIP20</t>
        </is>
      </c>
      <c r="M773" s="6">
        <f>ROUND(E773*G773-H773,2)</f>
        <v>55.2</v>
      </c>
      <c r="N773" s="5">
        <f>IF(COUNTIF($A$3:A773,A773)=1,1,0)</f>
        <v>1</v>
      </c>
      <c r="O773" s="6">
        <f>IF(N773=1,ROUND((SUMIFS($M$3:$M$1200,$A$3:$A$1200,A773)+'Settings'!$B$13)*'Settings'!$B$14/100+'Settings'!$B$15,2),0)</f>
        <v>1.12</v>
      </c>
    </row>
    <row r="774">
      <c r="A774" s="3" t="inlineStr">
        <is>
          <t xml:space="preserve">#1573</t>
        </is>
      </c>
      <c r="B774" s="3" t="inlineStr">
        <is>
          <t xml:space="preserve">2026-06-23</t>
        </is>
      </c>
      <c r="C774" s="3" t="inlineStr">
        <is>
          <t xml:space="preserve">SKU-A</t>
        </is>
      </c>
      <c r="D774" s="3" t="inlineStr">
        <is>
          <t xml:space="preserve">Renewal Serum</t>
        </is>
      </c>
      <c r="E774" s="6">
        <f>IF('Settings'!$B$11="Scenario",IFERROR(INDEX('Catalogue'!$E$3:$E$100,MATCH(C774,'Catalogue'!$B$3:$B$100,0)),F774),F774)</f>
        <v>69.9</v>
      </c>
      <c r="F774" s="8">
        <v>69.9</v>
      </c>
      <c r="G774" s="3">
        <v>1</v>
      </c>
      <c r="H774" s="6">
        <f>IF('Settings'!$B$11="Scenario",ROUND(E774*G774*IFERROR(SUMIF('Pricing &amp; promotions'!$A$6:$A$8,L774,'Pricing &amp; promotions'!$B$6:$B$8)/100,0),2),J774)</f>
        <v>0.0</v>
      </c>
      <c r="I774" s="6">
        <f>ROUND((E774*G774-H774)/IF(OR(K774=TRUE,K774="TRUE",K774="YES",K774=1),1+'Settings'!$B$6/100,1),2)</f>
        <v>57.77</v>
      </c>
      <c r="J774" s="8">
        <v>0.0</v>
      </c>
      <c r="K774" s="3" t="inlineStr">
        <is>
          <t xml:space="preserve">TRUE</t>
        </is>
      </c>
      <c r="L774" s="3"/>
      <c r="M774" s="6">
        <f>ROUND(E774*G774-H774,2)</f>
        <v>69.9</v>
      </c>
      <c r="N774" s="5">
        <f>IF(COUNTIF($A$3:A774,A774)=1,1,0)</f>
        <v>1</v>
      </c>
      <c r="O774" s="6">
        <f>IF(N774=1,ROUND((SUMIFS($M$3:$M$1200,$A$3:$A$1200,A774)+'Settings'!$B$13)*'Settings'!$B$14/100+'Settings'!$B$15,2),0)</f>
        <v>3.41</v>
      </c>
    </row>
    <row r="775">
      <c r="A775" s="3" t="inlineStr">
        <is>
          <t xml:space="preserve">#1573</t>
        </is>
      </c>
      <c r="B775" s="3" t="inlineStr">
        <is>
          <t xml:space="preserve">2026-06-23</t>
        </is>
      </c>
      <c r="C775" s="3" t="inlineStr">
        <is>
          <t xml:space="preserve">SKU-G</t>
        </is>
      </c>
      <c r="D775" s="3" t="inlineStr">
        <is>
          <t xml:space="preserve">Daily Reset Set</t>
        </is>
      </c>
      <c r="E775" s="6">
        <f>IF('Settings'!$B$11="Scenario",IFERROR(INDEX('Catalogue'!$E$3:$E$100,MATCH(C775,'Catalogue'!$B$3:$B$100,0)),F775),F775)</f>
        <v>69</v>
      </c>
      <c r="F775" s="8">
        <v>69</v>
      </c>
      <c r="G775" s="3">
        <v>2</v>
      </c>
      <c r="H775" s="6">
        <f>IF('Settings'!$B$11="Scenario",ROUND(E775*G775*IFERROR(SUMIF('Pricing &amp; promotions'!$A$6:$A$8,L775,'Pricing &amp; promotions'!$B$6:$B$8)/100,0),2),J775)</f>
        <v>0.0</v>
      </c>
      <c r="I775" s="6">
        <f>ROUND((E775*G775-H775)/IF(OR(K775=TRUE,K775="TRUE",K775="YES",K775=1),1+'Settings'!$B$6/100,1),2)</f>
        <v>114.05</v>
      </c>
      <c r="J775" s="8">
        <v>0.0</v>
      </c>
      <c r="K775" s="3" t="inlineStr">
        <is>
          <t xml:space="preserve">TRUE</t>
        </is>
      </c>
      <c r="L775" s="3"/>
      <c r="M775" s="6">
        <f>ROUND(E775*G775-H775,2)</f>
        <v>138.0</v>
      </c>
      <c r="N775" s="5">
        <f>IF(COUNTIF($A$3:A775,A775)=1,1,0)</f>
        <v>0</v>
      </c>
      <c r="O775" s="6">
        <f>IF(N775=1,ROUND((SUMIFS($M$3:$M$1200,$A$3:$A$1200,A775)+'Settings'!$B$13)*'Settings'!$B$14/100+'Settings'!$B$15,2),0)</f>
        <v>0</v>
      </c>
    </row>
    <row r="776">
      <c r="A776" s="3" t="inlineStr">
        <is>
          <t xml:space="preserve">#1574</t>
        </is>
      </c>
      <c r="B776" s="3" t="inlineStr">
        <is>
          <t xml:space="preserve">2026-06-23</t>
        </is>
      </c>
      <c r="C776" s="3" t="inlineStr">
        <is>
          <t xml:space="preserve">SKU-A</t>
        </is>
      </c>
      <c r="D776" s="3" t="inlineStr">
        <is>
          <t xml:space="preserve">Renewal Serum</t>
        </is>
      </c>
      <c r="E776" s="6">
        <f>IF('Settings'!$B$11="Scenario",IFERROR(INDEX('Catalogue'!$E$3:$E$100,MATCH(C776,'Catalogue'!$B$3:$B$100,0)),F776),F776)</f>
        <v>69.9</v>
      </c>
      <c r="F776" s="8">
        <v>69.9</v>
      </c>
      <c r="G776" s="3">
        <v>1</v>
      </c>
      <c r="H776" s="6">
        <f>IF('Settings'!$B$11="Scenario",ROUND(E776*G776*IFERROR(SUMIF('Pricing &amp; promotions'!$A$6:$A$8,L776,'Pricing &amp; promotions'!$B$6:$B$8)/100,0),2),J776)</f>
        <v>0.0</v>
      </c>
      <c r="I776" s="6">
        <f>ROUND((E776*G776-H776)/IF(OR(K776=TRUE,K776="TRUE",K776="YES",K776=1),1+'Settings'!$B$6/100,1),2)</f>
        <v>57.77</v>
      </c>
      <c r="J776" s="8">
        <v>0.0</v>
      </c>
      <c r="K776" s="3" t="inlineStr">
        <is>
          <t xml:space="preserve">TRUE</t>
        </is>
      </c>
      <c r="L776" s="3"/>
      <c r="M776" s="6">
        <f>ROUND(E776*G776-H776,2)</f>
        <v>69.9</v>
      </c>
      <c r="N776" s="5">
        <f>IF(COUNTIF($A$3:A776,A776)=1,1,0)</f>
        <v>1</v>
      </c>
      <c r="O776" s="6">
        <f>IF(N776=1,ROUND((SUMIFS($M$3:$M$1200,$A$3:$A$1200,A776)+'Settings'!$B$13)*'Settings'!$B$14/100+'Settings'!$B$15,2),0)</f>
        <v>1.34</v>
      </c>
    </row>
    <row r="777">
      <c r="A777" s="3" t="inlineStr">
        <is>
          <t xml:space="preserve">#1575</t>
        </is>
      </c>
      <c r="B777" s="3" t="inlineStr">
        <is>
          <t xml:space="preserve">2026-06-23</t>
        </is>
      </c>
      <c r="C777" s="3" t="inlineStr">
        <is>
          <t xml:space="preserve">SKU-B</t>
        </is>
      </c>
      <c r="D777" s="3" t="inlineStr">
        <is>
          <t xml:space="preserve">Barrier Balm</t>
        </is>
      </c>
      <c r="E777" s="6">
        <f>IF('Settings'!$B$11="Scenario",IFERROR(INDEX('Catalogue'!$E$3:$E$100,MATCH(C777,'Catalogue'!$B$3:$B$100,0)),F777),F777)</f>
        <v>19</v>
      </c>
      <c r="F777" s="8">
        <v>19</v>
      </c>
      <c r="G777" s="3">
        <v>1</v>
      </c>
      <c r="H777" s="6">
        <f>IF('Settings'!$B$11="Scenario",ROUND(E777*G777*IFERROR(SUMIF('Pricing &amp; promotions'!$A$6:$A$8,L777,'Pricing &amp; promotions'!$B$6:$B$8)/100,0),2),J777)</f>
        <v>0.0</v>
      </c>
      <c r="I777" s="6">
        <f>ROUND((E777*G777-H777)/IF(OR(K777=TRUE,K777="TRUE",K777="YES",K777=1),1+'Settings'!$B$6/100,1),2)</f>
        <v>15.7</v>
      </c>
      <c r="J777" s="8">
        <v>0.0</v>
      </c>
      <c r="K777" s="3" t="inlineStr">
        <is>
          <t xml:space="preserve">TRUE</t>
        </is>
      </c>
      <c r="L777" s="3"/>
      <c r="M777" s="6">
        <f>ROUND(E777*G777-H777,2)</f>
        <v>19.0</v>
      </c>
      <c r="N777" s="5">
        <f>IF(COUNTIF($A$3:A777,A777)=1,1,0)</f>
        <v>1</v>
      </c>
      <c r="O777" s="6">
        <f>IF(N777=1,ROUND((SUMIFS($M$3:$M$1200,$A$3:$A$1200,A777)+'Settings'!$B$13)*'Settings'!$B$14/100+'Settings'!$B$15,2),0)</f>
        <v>0.58</v>
      </c>
    </row>
    <row r="778">
      <c r="A778" s="3" t="inlineStr">
        <is>
          <t xml:space="preserve">#1576</t>
        </is>
      </c>
      <c r="B778" s="3" t="inlineStr">
        <is>
          <t xml:space="preserve">2026-06-24</t>
        </is>
      </c>
      <c r="C778" s="3" t="inlineStr">
        <is>
          <t xml:space="preserve">SKU-A</t>
        </is>
      </c>
      <c r="D778" s="3" t="inlineStr">
        <is>
          <t xml:space="preserve">Renewal Serum</t>
        </is>
      </c>
      <c r="E778" s="6">
        <f>IF('Settings'!$B$11="Scenario",IFERROR(INDEX('Catalogue'!$E$3:$E$100,MATCH(C778,'Catalogue'!$B$3:$B$100,0)),F778),F778)</f>
        <v>69.9</v>
      </c>
      <c r="F778" s="8">
        <v>69.9</v>
      </c>
      <c r="G778" s="3">
        <v>1</v>
      </c>
      <c r="H778" s="6">
        <f>IF('Settings'!$B$11="Scenario",ROUND(E778*G778*IFERROR(SUMIF('Pricing &amp; promotions'!$A$6:$A$8,L778,'Pricing &amp; promotions'!$B$6:$B$8)/100,0),2),J778)</f>
        <v>0.0</v>
      </c>
      <c r="I778" s="6">
        <f>ROUND((E778*G778-H778)/IF(OR(K778=TRUE,K778="TRUE",K778="YES",K778=1),1+'Settings'!$B$6/100,1),2)</f>
        <v>57.77</v>
      </c>
      <c r="J778" s="8">
        <v>0.0</v>
      </c>
      <c r="K778" s="3" t="inlineStr">
        <is>
          <t xml:space="preserve">TRUE</t>
        </is>
      </c>
      <c r="L778" s="3"/>
      <c r="M778" s="6">
        <f>ROUND(E778*G778-H778,2)</f>
        <v>69.9</v>
      </c>
      <c r="N778" s="5">
        <f>IF(COUNTIF($A$3:A778,A778)=1,1,0)</f>
        <v>1</v>
      </c>
      <c r="O778" s="6">
        <f>IF(N778=1,ROUND((SUMIFS($M$3:$M$1200,$A$3:$A$1200,A778)+'Settings'!$B$13)*'Settings'!$B$14/100+'Settings'!$B$15,2),0)</f>
        <v>1.34</v>
      </c>
    </row>
    <row r="779">
      <c r="A779" s="3" t="inlineStr">
        <is>
          <t xml:space="preserve">#1577</t>
        </is>
      </c>
      <c r="B779" s="3" t="inlineStr">
        <is>
          <t xml:space="preserve">2026-06-24</t>
        </is>
      </c>
      <c r="C779" s="3" t="inlineStr">
        <is>
          <t xml:space="preserve">SKU-D</t>
        </is>
      </c>
      <c r="D779" s="3" t="inlineStr">
        <is>
          <t xml:space="preserve">Daily Duo</t>
        </is>
      </c>
      <c r="E779" s="6">
        <f>IF('Settings'!$B$11="Scenario",IFERROR(INDEX('Catalogue'!$E$3:$E$100,MATCH(C779,'Catalogue'!$B$3:$B$100,0)),F779),F779)</f>
        <v>79</v>
      </c>
      <c r="F779" s="8">
        <v>79</v>
      </c>
      <c r="G779" s="3">
        <v>1</v>
      </c>
      <c r="H779" s="6">
        <f>IF('Settings'!$B$11="Scenario",ROUND(E779*G779*IFERROR(SUMIF('Pricing &amp; promotions'!$A$6:$A$8,L779,'Pricing &amp; promotions'!$B$6:$B$8)/100,0),2),J779)</f>
        <v>0.0</v>
      </c>
      <c r="I779" s="6">
        <f>ROUND((E779*G779-H779)/IF(OR(K779=TRUE,K779="TRUE",K779="YES",K779=1),1+'Settings'!$B$6/100,1),2)</f>
        <v>65.29</v>
      </c>
      <c r="J779" s="8">
        <v>0.0</v>
      </c>
      <c r="K779" s="3" t="inlineStr">
        <is>
          <t xml:space="preserve">TRUE</t>
        </is>
      </c>
      <c r="L779" s="3"/>
      <c r="M779" s="6">
        <f>ROUND(E779*G779-H779,2)</f>
        <v>79.0</v>
      </c>
      <c r="N779" s="5">
        <f>IF(COUNTIF($A$3:A779,A779)=1,1,0)</f>
        <v>1</v>
      </c>
      <c r="O779" s="6">
        <f>IF(N779=1,ROUND((SUMIFS($M$3:$M$1200,$A$3:$A$1200,A779)+'Settings'!$B$13)*'Settings'!$B$14/100+'Settings'!$B$15,2),0)</f>
        <v>1.48</v>
      </c>
    </row>
    <row r="780">
      <c r="A780" s="3" t="inlineStr">
        <is>
          <t xml:space="preserve">#1578</t>
        </is>
      </c>
      <c r="B780" s="3" t="inlineStr">
        <is>
          <t xml:space="preserve">2026-06-24</t>
        </is>
      </c>
      <c r="C780" s="3" t="inlineStr">
        <is>
          <t xml:space="preserve">SKU-C</t>
        </is>
      </c>
      <c r="D780" s="3" t="inlineStr">
        <is>
          <t xml:space="preserve">Contour Stone</t>
        </is>
      </c>
      <c r="E780" s="6">
        <f>IF('Settings'!$B$11="Scenario",IFERROR(INDEX('Catalogue'!$E$3:$E$100,MATCH(C780,'Catalogue'!$B$3:$B$100,0)),F780),F780)</f>
        <v>29</v>
      </c>
      <c r="F780" s="8">
        <v>29</v>
      </c>
      <c r="G780" s="3">
        <v>2</v>
      </c>
      <c r="H780" s="6">
        <f>IF('Settings'!$B$11="Scenario",ROUND(E780*G780*IFERROR(SUMIF('Pricing &amp; promotions'!$A$6:$A$8,L780,'Pricing &amp; promotions'!$B$6:$B$8)/100,0),2),J780)</f>
        <v>0.0</v>
      </c>
      <c r="I780" s="6">
        <f>ROUND((E780*G780-H780)/IF(OR(K780=TRUE,K780="TRUE",K780="YES",K780=1),1+'Settings'!$B$6/100,1),2)</f>
        <v>47.93</v>
      </c>
      <c r="J780" s="8">
        <v>0.0</v>
      </c>
      <c r="K780" s="3" t="inlineStr">
        <is>
          <t xml:space="preserve">TRUE</t>
        </is>
      </c>
      <c r="L780" s="3"/>
      <c r="M780" s="6">
        <f>ROUND(E780*G780-H780,2)</f>
        <v>58.0</v>
      </c>
      <c r="N780" s="5">
        <f>IF(COUNTIF($A$3:A780,A780)=1,1,0)</f>
        <v>1</v>
      </c>
      <c r="O780" s="6">
        <f>IF(N780=1,ROUND((SUMIFS($M$3:$M$1200,$A$3:$A$1200,A780)+'Settings'!$B$13)*'Settings'!$B$14/100+'Settings'!$B$15,2),0)</f>
        <v>1.16</v>
      </c>
    </row>
    <row r="781">
      <c r="A781" s="3" t="inlineStr">
        <is>
          <t xml:space="preserve">#1579</t>
        </is>
      </c>
      <c r="B781" s="3" t="inlineStr">
        <is>
          <t xml:space="preserve">2026-06-24</t>
        </is>
      </c>
      <c r="C781" s="3" t="inlineStr">
        <is>
          <t xml:space="preserve">SKU-A</t>
        </is>
      </c>
      <c r="D781" s="3" t="inlineStr">
        <is>
          <t xml:space="preserve">Renewal Serum</t>
        </is>
      </c>
      <c r="E781" s="6">
        <f>IF('Settings'!$B$11="Scenario",IFERROR(INDEX('Catalogue'!$E$3:$E$100,MATCH(C781,'Catalogue'!$B$3:$B$100,0)),F781),F781)</f>
        <v>69.9</v>
      </c>
      <c r="F781" s="8">
        <v>69.9</v>
      </c>
      <c r="G781" s="3">
        <v>1</v>
      </c>
      <c r="H781" s="6">
        <f>IF('Settings'!$B$11="Scenario",ROUND(E781*G781*IFERROR(SUMIF('Pricing &amp; promotions'!$A$6:$A$8,L781,'Pricing &amp; promotions'!$B$6:$B$8)/100,0),2),J781)</f>
        <v>0.0</v>
      </c>
      <c r="I781" s="6">
        <f>ROUND((E781*G781-H781)/IF(OR(K781=TRUE,K781="TRUE",K781="YES",K781=1),1+'Settings'!$B$6/100,1),2)</f>
        <v>57.77</v>
      </c>
      <c r="J781" s="8">
        <v>0.0</v>
      </c>
      <c r="K781" s="3" t="inlineStr">
        <is>
          <t xml:space="preserve">TRUE</t>
        </is>
      </c>
      <c r="L781" s="3"/>
      <c r="M781" s="6">
        <f>ROUND(E781*G781-H781,2)</f>
        <v>69.9</v>
      </c>
      <c r="N781" s="5">
        <f>IF(COUNTIF($A$3:A781,A781)=1,1,0)</f>
        <v>1</v>
      </c>
      <c r="O781" s="6">
        <f>IF(N781=1,ROUND((SUMIFS($M$3:$M$1200,$A$3:$A$1200,A781)+'Settings'!$B$13)*'Settings'!$B$14/100+'Settings'!$B$15,2),0)</f>
        <v>2.53</v>
      </c>
    </row>
    <row r="782">
      <c r="A782" s="3" t="inlineStr">
        <is>
          <t xml:space="preserve">#1579</t>
        </is>
      </c>
      <c r="B782" s="3" t="inlineStr">
        <is>
          <t xml:space="preserve">2026-06-24</t>
        </is>
      </c>
      <c r="C782" s="3" t="inlineStr">
        <is>
          <t xml:space="preserve">SKU-D</t>
        </is>
      </c>
      <c r="D782" s="3" t="inlineStr">
        <is>
          <t xml:space="preserve">Daily Duo</t>
        </is>
      </c>
      <c r="E782" s="6">
        <f>IF('Settings'!$B$11="Scenario",IFERROR(INDEX('Catalogue'!$E$3:$E$100,MATCH(C782,'Catalogue'!$B$3:$B$100,0)),F782),F782)</f>
        <v>79</v>
      </c>
      <c r="F782" s="8">
        <v>79</v>
      </c>
      <c r="G782" s="3">
        <v>1</v>
      </c>
      <c r="H782" s="6">
        <f>IF('Settings'!$B$11="Scenario",ROUND(E782*G782*IFERROR(SUMIF('Pricing &amp; promotions'!$A$6:$A$8,L782,'Pricing &amp; promotions'!$B$6:$B$8)/100,0),2),J782)</f>
        <v>0.0</v>
      </c>
      <c r="I782" s="6">
        <f>ROUND((E782*G782-H782)/IF(OR(K782=TRUE,K782="TRUE",K782="YES",K782=1),1+'Settings'!$B$6/100,1),2)</f>
        <v>65.29</v>
      </c>
      <c r="J782" s="8">
        <v>0.0</v>
      </c>
      <c r="K782" s="3" t="inlineStr">
        <is>
          <t xml:space="preserve">TRUE</t>
        </is>
      </c>
      <c r="L782" s="3"/>
      <c r="M782" s="6">
        <f>ROUND(E782*G782-H782,2)</f>
        <v>79.0</v>
      </c>
      <c r="N782" s="5">
        <f>IF(COUNTIF($A$3:A782,A782)=1,1,0)</f>
        <v>0</v>
      </c>
      <c r="O782" s="6">
        <f>IF(N782=1,ROUND((SUMIFS($M$3:$M$1200,$A$3:$A$1200,A782)+'Settings'!$B$13)*'Settings'!$B$14/100+'Settings'!$B$15,2),0)</f>
        <v>0</v>
      </c>
    </row>
    <row r="783">
      <c r="A783" s="3" t="inlineStr">
        <is>
          <t xml:space="preserve">#1580</t>
        </is>
      </c>
      <c r="B783" s="3" t="inlineStr">
        <is>
          <t xml:space="preserve">2026-06-24</t>
        </is>
      </c>
      <c r="C783" s="3" t="inlineStr">
        <is>
          <t xml:space="preserve">SKU-A</t>
        </is>
      </c>
      <c r="D783" s="3" t="inlineStr">
        <is>
          <t xml:space="preserve">Renewal Serum</t>
        </is>
      </c>
      <c r="E783" s="6">
        <f>IF('Settings'!$B$11="Scenario",IFERROR(INDEX('Catalogue'!$E$3:$E$100,MATCH(C783,'Catalogue'!$B$3:$B$100,0)),F783),F783)</f>
        <v>69.9</v>
      </c>
      <c r="F783" s="8">
        <v>69.9</v>
      </c>
      <c r="G783" s="3">
        <v>1</v>
      </c>
      <c r="H783" s="6">
        <f>IF('Settings'!$B$11="Scenario",ROUND(E783*G783*IFERROR(SUMIF('Pricing &amp; promotions'!$A$6:$A$8,L783,'Pricing &amp; promotions'!$B$6:$B$8)/100,0),2),J783)</f>
        <v>0.0</v>
      </c>
      <c r="I783" s="6">
        <f>ROUND((E783*G783-H783)/IF(OR(K783=TRUE,K783="TRUE",K783="YES",K783=1),1+'Settings'!$B$6/100,1),2)</f>
        <v>57.77</v>
      </c>
      <c r="J783" s="8">
        <v>0.0</v>
      </c>
      <c r="K783" s="3" t="inlineStr">
        <is>
          <t xml:space="preserve">TRUE</t>
        </is>
      </c>
      <c r="L783" s="3"/>
      <c r="M783" s="6">
        <f>ROUND(E783*G783-H783,2)</f>
        <v>69.9</v>
      </c>
      <c r="N783" s="5">
        <f>IF(COUNTIF($A$3:A783,A783)=1,1,0)</f>
        <v>1</v>
      </c>
      <c r="O783" s="6">
        <f>IF(N783=1,ROUND((SUMIFS($M$3:$M$1200,$A$3:$A$1200,A783)+'Settings'!$B$13)*'Settings'!$B$14/100+'Settings'!$B$15,2),0)</f>
        <v>2.38</v>
      </c>
    </row>
    <row r="784">
      <c r="A784" s="3" t="inlineStr">
        <is>
          <t xml:space="preserve">#1580</t>
        </is>
      </c>
      <c r="B784" s="3" t="inlineStr">
        <is>
          <t xml:space="preserve">2026-06-24</t>
        </is>
      </c>
      <c r="C784" s="3" t="inlineStr">
        <is>
          <t xml:space="preserve">SKU-G</t>
        </is>
      </c>
      <c r="D784" s="3" t="inlineStr">
        <is>
          <t xml:space="preserve">Daily Reset Set</t>
        </is>
      </c>
      <c r="E784" s="6">
        <f>IF('Settings'!$B$11="Scenario",IFERROR(INDEX('Catalogue'!$E$3:$E$100,MATCH(C784,'Catalogue'!$B$3:$B$100,0)),F784),F784)</f>
        <v>69</v>
      </c>
      <c r="F784" s="8">
        <v>69</v>
      </c>
      <c r="G784" s="3">
        <v>1</v>
      </c>
      <c r="H784" s="6">
        <f>IF('Settings'!$B$11="Scenario",ROUND(E784*G784*IFERROR(SUMIF('Pricing &amp; promotions'!$A$6:$A$8,L784,'Pricing &amp; promotions'!$B$6:$B$8)/100,0),2),J784)</f>
        <v>0.0</v>
      </c>
      <c r="I784" s="6">
        <f>ROUND((E784*G784-H784)/IF(OR(K784=TRUE,K784="TRUE",K784="YES",K784=1),1+'Settings'!$B$6/100,1),2)</f>
        <v>57.02</v>
      </c>
      <c r="J784" s="8">
        <v>0.0</v>
      </c>
      <c r="K784" s="3" t="inlineStr">
        <is>
          <t xml:space="preserve">TRUE</t>
        </is>
      </c>
      <c r="L784" s="3"/>
      <c r="M784" s="6">
        <f>ROUND(E784*G784-H784,2)</f>
        <v>69.0</v>
      </c>
      <c r="N784" s="5">
        <f>IF(COUNTIF($A$3:A784,A784)=1,1,0)</f>
        <v>0</v>
      </c>
      <c r="O784" s="6">
        <f>IF(N784=1,ROUND((SUMIFS($M$3:$M$1200,$A$3:$A$1200,A784)+'Settings'!$B$13)*'Settings'!$B$14/100+'Settings'!$B$15,2),0)</f>
        <v>0</v>
      </c>
    </row>
    <row r="785">
      <c r="A785" s="3" t="inlineStr">
        <is>
          <t xml:space="preserve">#1581</t>
        </is>
      </c>
      <c r="B785" s="3" t="inlineStr">
        <is>
          <t xml:space="preserve">2026-06-25</t>
        </is>
      </c>
      <c r="C785" s="3" t="inlineStr">
        <is>
          <t xml:space="preserve">SKU-A</t>
        </is>
      </c>
      <c r="D785" s="3" t="inlineStr">
        <is>
          <t xml:space="preserve">Renewal Serum</t>
        </is>
      </c>
      <c r="E785" s="6">
        <f>IF('Settings'!$B$11="Scenario",IFERROR(INDEX('Catalogue'!$E$3:$E$100,MATCH(C785,'Catalogue'!$B$3:$B$100,0)),F785),F785)</f>
        <v>69.9</v>
      </c>
      <c r="F785" s="8">
        <v>69.9</v>
      </c>
      <c r="G785" s="3">
        <v>1</v>
      </c>
      <c r="H785" s="6">
        <f>IF('Settings'!$B$11="Scenario",ROUND(E785*G785*IFERROR(SUMIF('Pricing &amp; promotions'!$A$6:$A$8,L785,'Pricing &amp; promotions'!$B$6:$B$8)/100,0),2),J785)</f>
        <v>0.0</v>
      </c>
      <c r="I785" s="6">
        <f>ROUND((E785*G785-H785)/IF(OR(K785=TRUE,K785="TRUE",K785="YES",K785=1),1+'Settings'!$B$6/100,1),2)</f>
        <v>57.77</v>
      </c>
      <c r="J785" s="8">
        <v>0.0</v>
      </c>
      <c r="K785" s="3" t="inlineStr">
        <is>
          <t xml:space="preserve">TRUE</t>
        </is>
      </c>
      <c r="L785" s="3"/>
      <c r="M785" s="6">
        <f>ROUND(E785*G785-H785,2)</f>
        <v>69.9</v>
      </c>
      <c r="N785" s="5">
        <f>IF(COUNTIF($A$3:A785,A785)=1,1,0)</f>
        <v>1</v>
      </c>
      <c r="O785" s="6">
        <f>IF(N785=1,ROUND((SUMIFS($M$3:$M$1200,$A$3:$A$1200,A785)+'Settings'!$B$13)*'Settings'!$B$14/100+'Settings'!$B$15,2),0)</f>
        <v>1.85</v>
      </c>
    </row>
    <row r="786">
      <c r="A786" s="3" t="inlineStr">
        <is>
          <t xml:space="preserve">#1581</t>
        </is>
      </c>
      <c r="B786" s="3" t="inlineStr">
        <is>
          <t xml:space="preserve">2026-06-25</t>
        </is>
      </c>
      <c r="C786" s="3" t="inlineStr">
        <is>
          <t xml:space="preserve">SKU-F</t>
        </is>
      </c>
      <c r="D786" s="3" t="inlineStr">
        <is>
          <t xml:space="preserve">Cloud Cleanser</t>
        </is>
      </c>
      <c r="E786" s="6">
        <f>IF('Settings'!$B$11="Scenario",IFERROR(INDEX('Catalogue'!$E$3:$E$100,MATCH(C786,'Catalogue'!$B$3:$B$100,0)),F786),F786)</f>
        <v>34</v>
      </c>
      <c r="F786" s="8">
        <v>34</v>
      </c>
      <c r="G786" s="3">
        <v>1</v>
      </c>
      <c r="H786" s="6">
        <f>IF('Settings'!$B$11="Scenario",ROUND(E786*G786*IFERROR(SUMIF('Pricing &amp; promotions'!$A$6:$A$8,L786,'Pricing &amp; promotions'!$B$6:$B$8)/100,0),2),J786)</f>
        <v>0.0</v>
      </c>
      <c r="I786" s="6">
        <f>ROUND((E786*G786-H786)/IF(OR(K786=TRUE,K786="TRUE",K786="YES",K786=1),1+'Settings'!$B$6/100,1),2)</f>
        <v>28.1</v>
      </c>
      <c r="J786" s="8">
        <v>0.0</v>
      </c>
      <c r="K786" s="3" t="inlineStr">
        <is>
          <t xml:space="preserve">TRUE</t>
        </is>
      </c>
      <c r="L786" s="3"/>
      <c r="M786" s="6">
        <f>ROUND(E786*G786-H786,2)</f>
        <v>34.0</v>
      </c>
      <c r="N786" s="5">
        <f>IF(COUNTIF($A$3:A786,A786)=1,1,0)</f>
        <v>0</v>
      </c>
      <c r="O786" s="6">
        <f>IF(N786=1,ROUND((SUMIFS($M$3:$M$1200,$A$3:$A$1200,A786)+'Settings'!$B$13)*'Settings'!$B$14/100+'Settings'!$B$15,2),0)</f>
        <v>0</v>
      </c>
    </row>
    <row r="787">
      <c r="A787" s="3" t="inlineStr">
        <is>
          <t xml:space="preserve">#1582</t>
        </is>
      </c>
      <c r="B787" s="3" t="inlineStr">
        <is>
          <t xml:space="preserve">2026-06-25</t>
        </is>
      </c>
      <c r="C787" s="3" t="inlineStr">
        <is>
          <t xml:space="preserve">SKU-D</t>
        </is>
      </c>
      <c r="D787" s="3" t="inlineStr">
        <is>
          <t xml:space="preserve">Daily Duo</t>
        </is>
      </c>
      <c r="E787" s="6">
        <f>IF('Settings'!$B$11="Scenario",IFERROR(INDEX('Catalogue'!$E$3:$E$100,MATCH(C787,'Catalogue'!$B$3:$B$100,0)),F787),F787)</f>
        <v>79</v>
      </c>
      <c r="F787" s="8">
        <v>79</v>
      </c>
      <c r="G787" s="3">
        <v>1</v>
      </c>
      <c r="H787" s="6">
        <f>IF('Settings'!$B$11="Scenario",ROUND(E787*G787*IFERROR(SUMIF('Pricing &amp; promotions'!$A$6:$A$8,L787,'Pricing &amp; promotions'!$B$6:$B$8)/100,0),2),J787)</f>
        <v>0.0</v>
      </c>
      <c r="I787" s="6">
        <f>ROUND((E787*G787-H787)/IF(OR(K787=TRUE,K787="TRUE",K787="YES",K787=1),1+'Settings'!$B$6/100,1),2)</f>
        <v>65.29</v>
      </c>
      <c r="J787" s="8">
        <v>0.0</v>
      </c>
      <c r="K787" s="3" t="inlineStr">
        <is>
          <t xml:space="preserve">TRUE</t>
        </is>
      </c>
      <c r="L787" s="3"/>
      <c r="M787" s="6">
        <f>ROUND(E787*G787-H787,2)</f>
        <v>79.0</v>
      </c>
      <c r="N787" s="5">
        <f>IF(COUNTIF($A$3:A787,A787)=1,1,0)</f>
        <v>1</v>
      </c>
      <c r="O787" s="6">
        <f>IF(N787=1,ROUND((SUMIFS($M$3:$M$1200,$A$3:$A$1200,A787)+'Settings'!$B$13)*'Settings'!$B$14/100+'Settings'!$B$15,2),0)</f>
        <v>2.53</v>
      </c>
    </row>
    <row r="788">
      <c r="A788" s="3" t="inlineStr">
        <is>
          <t xml:space="preserve">#1582</t>
        </is>
      </c>
      <c r="B788" s="3" t="inlineStr">
        <is>
          <t xml:space="preserve">2026-06-25</t>
        </is>
      </c>
      <c r="C788" s="3" t="inlineStr">
        <is>
          <t xml:space="preserve">SKU-A</t>
        </is>
      </c>
      <c r="D788" s="3" t="inlineStr">
        <is>
          <t xml:space="preserve">Renewal Serum</t>
        </is>
      </c>
      <c r="E788" s="6">
        <f>IF('Settings'!$B$11="Scenario",IFERROR(INDEX('Catalogue'!$E$3:$E$100,MATCH(C788,'Catalogue'!$B$3:$B$100,0)),F788),F788)</f>
        <v>69.9</v>
      </c>
      <c r="F788" s="8">
        <v>69.9</v>
      </c>
      <c r="G788" s="3">
        <v>1</v>
      </c>
      <c r="H788" s="6">
        <f>IF('Settings'!$B$11="Scenario",ROUND(E788*G788*IFERROR(SUMIF('Pricing &amp; promotions'!$A$6:$A$8,L788,'Pricing &amp; promotions'!$B$6:$B$8)/100,0),2),J788)</f>
        <v>0.0</v>
      </c>
      <c r="I788" s="6">
        <f>ROUND((E788*G788-H788)/IF(OR(K788=TRUE,K788="TRUE",K788="YES",K788=1),1+'Settings'!$B$6/100,1),2)</f>
        <v>57.77</v>
      </c>
      <c r="J788" s="8">
        <v>0.0</v>
      </c>
      <c r="K788" s="3" t="inlineStr">
        <is>
          <t xml:space="preserve">TRUE</t>
        </is>
      </c>
      <c r="L788" s="3"/>
      <c r="M788" s="6">
        <f>ROUND(E788*G788-H788,2)</f>
        <v>69.9</v>
      </c>
      <c r="N788" s="5">
        <f>IF(COUNTIF($A$3:A788,A788)=1,1,0)</f>
        <v>0</v>
      </c>
      <c r="O788" s="6">
        <f>IF(N788=1,ROUND((SUMIFS($M$3:$M$1200,$A$3:$A$1200,A788)+'Settings'!$B$13)*'Settings'!$B$14/100+'Settings'!$B$15,2),0)</f>
        <v>0</v>
      </c>
    </row>
    <row r="789">
      <c r="A789" s="3" t="inlineStr">
        <is>
          <t xml:space="preserve">#1583</t>
        </is>
      </c>
      <c r="B789" s="3" t="inlineStr">
        <is>
          <t xml:space="preserve">2026-06-26</t>
        </is>
      </c>
      <c r="C789" s="3" t="inlineStr">
        <is>
          <t xml:space="preserve">SKU-A</t>
        </is>
      </c>
      <c r="D789" s="3" t="inlineStr">
        <is>
          <t xml:space="preserve">Renewal Serum</t>
        </is>
      </c>
      <c r="E789" s="6">
        <f>IF('Settings'!$B$11="Scenario",IFERROR(INDEX('Catalogue'!$E$3:$E$100,MATCH(C789,'Catalogue'!$B$3:$B$100,0)),F789),F789)</f>
        <v>69.9</v>
      </c>
      <c r="F789" s="8">
        <v>69.9</v>
      </c>
      <c r="G789" s="3">
        <v>1</v>
      </c>
      <c r="H789" s="6">
        <f>IF('Settings'!$B$11="Scenario",ROUND(E789*G789*IFERROR(SUMIF('Pricing &amp; promotions'!$A$6:$A$8,L789,'Pricing &amp; promotions'!$B$6:$B$8)/100,0),2),J789)</f>
        <v>0.0</v>
      </c>
      <c r="I789" s="6">
        <f>ROUND((E789*G789-H789)/IF(OR(K789=TRUE,K789="TRUE",K789="YES",K789=1),1+'Settings'!$B$6/100,1),2)</f>
        <v>57.77</v>
      </c>
      <c r="J789" s="8">
        <v>0.0</v>
      </c>
      <c r="K789" s="3" t="inlineStr">
        <is>
          <t xml:space="preserve">TRUE</t>
        </is>
      </c>
      <c r="L789" s="3"/>
      <c r="M789" s="6">
        <f>ROUND(E789*G789-H789,2)</f>
        <v>69.9</v>
      </c>
      <c r="N789" s="5">
        <f>IF(COUNTIF($A$3:A789,A789)=1,1,0)</f>
        <v>1</v>
      </c>
      <c r="O789" s="6">
        <f>IF(N789=1,ROUND((SUMIFS($M$3:$M$1200,$A$3:$A$1200,A789)+'Settings'!$B$13)*'Settings'!$B$14/100+'Settings'!$B$15,2),0)</f>
        <v>1.34</v>
      </c>
    </row>
    <row r="790">
      <c r="A790" s="3" t="inlineStr">
        <is>
          <t xml:space="preserve">#1584</t>
        </is>
      </c>
      <c r="B790" s="3" t="inlineStr">
        <is>
          <t xml:space="preserve">2026-06-26</t>
        </is>
      </c>
      <c r="C790" s="3" t="inlineStr">
        <is>
          <t xml:space="preserve">SKU-F</t>
        </is>
      </c>
      <c r="D790" s="3" t="inlineStr">
        <is>
          <t xml:space="preserve">Cloud Cleanser</t>
        </is>
      </c>
      <c r="E790" s="6">
        <f>IF('Settings'!$B$11="Scenario",IFERROR(INDEX('Catalogue'!$E$3:$E$100,MATCH(C790,'Catalogue'!$B$3:$B$100,0)),F790),F790)</f>
        <v>34</v>
      </c>
      <c r="F790" s="8">
        <v>34</v>
      </c>
      <c r="G790" s="3">
        <v>2</v>
      </c>
      <c r="H790" s="6">
        <f>IF('Settings'!$B$11="Scenario",ROUND(E790*G790*IFERROR(SUMIF('Pricing &amp; promotions'!$A$6:$A$8,L790,'Pricing &amp; promotions'!$B$6:$B$8)/100,0),2),J790)</f>
        <v>0.0</v>
      </c>
      <c r="I790" s="6">
        <f>ROUND((E790*G790-H790)/IF(OR(K790=TRUE,K790="TRUE",K790="YES",K790=1),1+'Settings'!$B$6/100,1),2)</f>
        <v>56.2</v>
      </c>
      <c r="J790" s="8">
        <v>0.0</v>
      </c>
      <c r="K790" s="3" t="inlineStr">
        <is>
          <t xml:space="preserve">TRUE</t>
        </is>
      </c>
      <c r="L790" s="3"/>
      <c r="M790" s="6">
        <f>ROUND(E790*G790-H790,2)</f>
        <v>68.0</v>
      </c>
      <c r="N790" s="5">
        <f>IF(COUNTIF($A$3:A790,A790)=1,1,0)</f>
        <v>1</v>
      </c>
      <c r="O790" s="6">
        <f>IF(N790=1,ROUND((SUMIFS($M$3:$M$1200,$A$3:$A$1200,A790)+'Settings'!$B$13)*'Settings'!$B$14/100+'Settings'!$B$15,2),0)</f>
        <v>1.31</v>
      </c>
    </row>
    <row r="791">
      <c r="A791" s="3" t="inlineStr">
        <is>
          <t xml:space="preserve">#1585</t>
        </is>
      </c>
      <c r="B791" s="3" t="inlineStr">
        <is>
          <t xml:space="preserve">2026-06-26</t>
        </is>
      </c>
      <c r="C791" s="3" t="inlineStr">
        <is>
          <t xml:space="preserve">SKU-B</t>
        </is>
      </c>
      <c r="D791" s="3" t="inlineStr">
        <is>
          <t xml:space="preserve">Barrier Balm</t>
        </is>
      </c>
      <c r="E791" s="6">
        <f>IF('Settings'!$B$11="Scenario",IFERROR(INDEX('Catalogue'!$E$3:$E$100,MATCH(C791,'Catalogue'!$B$3:$B$100,0)),F791),F791)</f>
        <v>19</v>
      </c>
      <c r="F791" s="8">
        <v>19</v>
      </c>
      <c r="G791" s="3">
        <v>1</v>
      </c>
      <c r="H791" s="6">
        <f>IF('Settings'!$B$11="Scenario",ROUND(E791*G791*IFERROR(SUMIF('Pricing &amp; promotions'!$A$6:$A$8,L791,'Pricing &amp; promotions'!$B$6:$B$8)/100,0),2),J791)</f>
        <v>0.0</v>
      </c>
      <c r="I791" s="6">
        <f>ROUND((E791*G791-H791)/IF(OR(K791=TRUE,K791="TRUE",K791="YES",K791=1),1+'Settings'!$B$6/100,1),2)</f>
        <v>15.7</v>
      </c>
      <c r="J791" s="8">
        <v>0.0</v>
      </c>
      <c r="K791" s="3" t="inlineStr">
        <is>
          <t xml:space="preserve">TRUE</t>
        </is>
      </c>
      <c r="L791" s="3"/>
      <c r="M791" s="6">
        <f>ROUND(E791*G791-H791,2)</f>
        <v>19.0</v>
      </c>
      <c r="N791" s="5">
        <f>IF(COUNTIF($A$3:A791,A791)=1,1,0)</f>
        <v>1</v>
      </c>
      <c r="O791" s="6">
        <f>IF(N791=1,ROUND((SUMIFS($M$3:$M$1200,$A$3:$A$1200,A791)+'Settings'!$B$13)*'Settings'!$B$14/100+'Settings'!$B$15,2),0)</f>
        <v>2.96</v>
      </c>
    </row>
    <row r="792">
      <c r="A792" s="3" t="inlineStr">
        <is>
          <t xml:space="preserve">#1585</t>
        </is>
      </c>
      <c r="B792" s="3" t="inlineStr">
        <is>
          <t xml:space="preserve">2026-06-26</t>
        </is>
      </c>
      <c r="C792" s="3" t="inlineStr">
        <is>
          <t xml:space="preserve">SKU-E</t>
        </is>
      </c>
      <c r="D792" s="3" t="inlineStr">
        <is>
          <t xml:space="preserve">Complete Ritual</t>
        </is>
      </c>
      <c r="E792" s="6">
        <f>IF('Settings'!$B$11="Scenario",IFERROR(INDEX('Catalogue'!$E$3:$E$100,MATCH(C792,'Catalogue'!$B$3:$B$100,0)),F792),F792)</f>
        <v>89</v>
      </c>
      <c r="F792" s="8">
        <v>89</v>
      </c>
      <c r="G792" s="3">
        <v>1</v>
      </c>
      <c r="H792" s="6">
        <f>IF('Settings'!$B$11="Scenario",ROUND(E792*G792*IFERROR(SUMIF('Pricing &amp; promotions'!$A$6:$A$8,L792,'Pricing &amp; promotions'!$B$6:$B$8)/100,0),2),J792)</f>
        <v>0.0</v>
      </c>
      <c r="I792" s="6">
        <f>ROUND((E792*G792-H792)/IF(OR(K792=TRUE,K792="TRUE",K792="YES",K792=1),1+'Settings'!$B$6/100,1),2)</f>
        <v>73.55</v>
      </c>
      <c r="J792" s="8">
        <v>0.0</v>
      </c>
      <c r="K792" s="3" t="inlineStr">
        <is>
          <t xml:space="preserve">TRUE</t>
        </is>
      </c>
      <c r="L792" s="3"/>
      <c r="M792" s="6">
        <f>ROUND(E792*G792-H792,2)</f>
        <v>89.0</v>
      </c>
      <c r="N792" s="5">
        <f>IF(COUNTIF($A$3:A792,A792)=1,1,0)</f>
        <v>0</v>
      </c>
      <c r="O792" s="6">
        <f>IF(N792=1,ROUND((SUMIFS($M$3:$M$1200,$A$3:$A$1200,A792)+'Settings'!$B$13)*'Settings'!$B$14/100+'Settings'!$B$15,2),0)</f>
        <v>0</v>
      </c>
    </row>
    <row r="793">
      <c r="A793" s="3" t="inlineStr">
        <is>
          <t xml:space="preserve">#1585</t>
        </is>
      </c>
      <c r="B793" s="3" t="inlineStr">
        <is>
          <t xml:space="preserve">2026-06-26</t>
        </is>
      </c>
      <c r="C793" s="3" t="inlineStr">
        <is>
          <t xml:space="preserve">SKU-A</t>
        </is>
      </c>
      <c r="D793" s="3" t="inlineStr">
        <is>
          <t xml:space="preserve">Renewal Serum</t>
        </is>
      </c>
      <c r="E793" s="6">
        <f>IF('Settings'!$B$11="Scenario",IFERROR(INDEX('Catalogue'!$E$3:$E$100,MATCH(C793,'Catalogue'!$B$3:$B$100,0)),F793),F793)</f>
        <v>69.9</v>
      </c>
      <c r="F793" s="8">
        <v>69.9</v>
      </c>
      <c r="G793" s="3">
        <v>1</v>
      </c>
      <c r="H793" s="6">
        <f>IF('Settings'!$B$11="Scenario",ROUND(E793*G793*IFERROR(SUMIF('Pricing &amp; promotions'!$A$6:$A$8,L793,'Pricing &amp; promotions'!$B$6:$B$8)/100,0),2),J793)</f>
        <v>0.0</v>
      </c>
      <c r="I793" s="6">
        <f>ROUND((E793*G793-H793)/IF(OR(K793=TRUE,K793="TRUE",K793="YES",K793=1),1+'Settings'!$B$6/100,1),2)</f>
        <v>57.77</v>
      </c>
      <c r="J793" s="8">
        <v>0.0</v>
      </c>
      <c r="K793" s="3" t="inlineStr">
        <is>
          <t xml:space="preserve">TRUE</t>
        </is>
      </c>
      <c r="L793" s="3"/>
      <c r="M793" s="6">
        <f>ROUND(E793*G793-H793,2)</f>
        <v>69.9</v>
      </c>
      <c r="N793" s="5">
        <f>IF(COUNTIF($A$3:A793,A793)=1,1,0)</f>
        <v>0</v>
      </c>
      <c r="O793" s="6">
        <f>IF(N793=1,ROUND((SUMIFS($M$3:$M$1200,$A$3:$A$1200,A793)+'Settings'!$B$13)*'Settings'!$B$14/100+'Settings'!$B$15,2),0)</f>
        <v>0</v>
      </c>
    </row>
    <row r="794">
      <c r="A794" s="3" t="inlineStr">
        <is>
          <t xml:space="preserve">#1586</t>
        </is>
      </c>
      <c r="B794" s="3" t="inlineStr">
        <is>
          <t xml:space="preserve">2026-06-26</t>
        </is>
      </c>
      <c r="C794" s="3" t="inlineStr">
        <is>
          <t xml:space="preserve">SKU-G</t>
        </is>
      </c>
      <c r="D794" s="3" t="inlineStr">
        <is>
          <t xml:space="preserve">Daily Reset Set</t>
        </is>
      </c>
      <c r="E794" s="6">
        <f>IF('Settings'!$B$11="Scenario",IFERROR(INDEX('Catalogue'!$E$3:$E$100,MATCH(C794,'Catalogue'!$B$3:$B$100,0)),F794),F794)</f>
        <v>69</v>
      </c>
      <c r="F794" s="8">
        <v>69</v>
      </c>
      <c r="G794" s="3">
        <v>2</v>
      </c>
      <c r="H794" s="6">
        <f>IF('Settings'!$B$11="Scenario",ROUND(E794*G794*IFERROR(SUMIF('Pricing &amp; promotions'!$A$6:$A$8,L794,'Pricing &amp; promotions'!$B$6:$B$8)/100,0),2),J794)</f>
        <v>0.0</v>
      </c>
      <c r="I794" s="6">
        <f>ROUND((E794*G794-H794)/IF(OR(K794=TRUE,K794="TRUE",K794="YES",K794=1),1+'Settings'!$B$6/100,1),2)</f>
        <v>114.05</v>
      </c>
      <c r="J794" s="8">
        <v>0.0</v>
      </c>
      <c r="K794" s="3" t="inlineStr">
        <is>
          <t xml:space="preserve">TRUE</t>
        </is>
      </c>
      <c r="L794" s="3"/>
      <c r="M794" s="6">
        <f>ROUND(E794*G794-H794,2)</f>
        <v>138.0</v>
      </c>
      <c r="N794" s="5">
        <f>IF(COUNTIF($A$3:A794,A794)=1,1,0)</f>
        <v>1</v>
      </c>
      <c r="O794" s="6">
        <f>IF(N794=1,ROUND((SUMIFS($M$3:$M$1200,$A$3:$A$1200,A794)+'Settings'!$B$13)*'Settings'!$B$14/100+'Settings'!$B$15,2),0)</f>
        <v>2.36</v>
      </c>
    </row>
    <row r="795">
      <c r="A795" s="3" t="inlineStr">
        <is>
          <t xml:space="preserve">#1587</t>
        </is>
      </c>
      <c r="B795" s="3" t="inlineStr">
        <is>
          <t xml:space="preserve">2026-06-27</t>
        </is>
      </c>
      <c r="C795" s="3" t="inlineStr">
        <is>
          <t xml:space="preserve">SKU-E</t>
        </is>
      </c>
      <c r="D795" s="3" t="inlineStr">
        <is>
          <t xml:space="preserve">Complete Ritual</t>
        </is>
      </c>
      <c r="E795" s="6">
        <f>IF('Settings'!$B$11="Scenario",IFERROR(INDEX('Catalogue'!$E$3:$E$100,MATCH(C795,'Catalogue'!$B$3:$B$100,0)),F795),F795)</f>
        <v>89</v>
      </c>
      <c r="F795" s="8">
        <v>89</v>
      </c>
      <c r="G795" s="3">
        <v>1</v>
      </c>
      <c r="H795" s="6">
        <f>IF('Settings'!$B$11="Scenario",ROUND(E795*G795*IFERROR(SUMIF('Pricing &amp; promotions'!$A$6:$A$8,L795,'Pricing &amp; promotions'!$B$6:$B$8)/100,0),2),J795)</f>
        <v>0.0</v>
      </c>
      <c r="I795" s="6">
        <f>ROUND((E795*G795-H795)/IF(OR(K795=TRUE,K795="TRUE",K795="YES",K795=1),1+'Settings'!$B$6/100,1),2)</f>
        <v>73.55</v>
      </c>
      <c r="J795" s="8">
        <v>0.0</v>
      </c>
      <c r="K795" s="3" t="inlineStr">
        <is>
          <t xml:space="preserve">TRUE</t>
        </is>
      </c>
      <c r="L795" s="3"/>
      <c r="M795" s="6">
        <f>ROUND(E795*G795-H795,2)</f>
        <v>89.0</v>
      </c>
      <c r="N795" s="5">
        <f>IF(COUNTIF($A$3:A795,A795)=1,1,0)</f>
        <v>1</v>
      </c>
      <c r="O795" s="6">
        <f>IF(N795=1,ROUND((SUMIFS($M$3:$M$1200,$A$3:$A$1200,A795)+'Settings'!$B$13)*'Settings'!$B$14/100+'Settings'!$B$15,2),0)</f>
        <v>1.63</v>
      </c>
    </row>
    <row r="796">
      <c r="A796" s="3" t="inlineStr">
        <is>
          <t xml:space="preserve">#1588</t>
        </is>
      </c>
      <c r="B796" s="3" t="inlineStr">
        <is>
          <t xml:space="preserve">2026-06-27</t>
        </is>
      </c>
      <c r="C796" s="3" t="inlineStr">
        <is>
          <t xml:space="preserve">SKU-A</t>
        </is>
      </c>
      <c r="D796" s="3" t="inlineStr">
        <is>
          <t xml:space="preserve">Renewal Serum</t>
        </is>
      </c>
      <c r="E796" s="6">
        <f>IF('Settings'!$B$11="Scenario",IFERROR(INDEX('Catalogue'!$E$3:$E$100,MATCH(C796,'Catalogue'!$B$3:$B$100,0)),F796),F796)</f>
        <v>69.9</v>
      </c>
      <c r="F796" s="8">
        <v>69.9</v>
      </c>
      <c r="G796" s="3">
        <v>1</v>
      </c>
      <c r="H796" s="6">
        <f>IF('Settings'!$B$11="Scenario",ROUND(E796*G796*IFERROR(SUMIF('Pricing &amp; promotions'!$A$6:$A$8,L796,'Pricing &amp; promotions'!$B$6:$B$8)/100,0),2),J796)</f>
        <v>0.0</v>
      </c>
      <c r="I796" s="6">
        <f>ROUND((E796*G796-H796)/IF(OR(K796=TRUE,K796="TRUE",K796="YES",K796=1),1+'Settings'!$B$6/100,1),2)</f>
        <v>57.77</v>
      </c>
      <c r="J796" s="8">
        <v>0.0</v>
      </c>
      <c r="K796" s="3" t="inlineStr">
        <is>
          <t xml:space="preserve">TRUE</t>
        </is>
      </c>
      <c r="L796" s="3"/>
      <c r="M796" s="6">
        <f>ROUND(E796*G796-H796,2)</f>
        <v>69.9</v>
      </c>
      <c r="N796" s="5">
        <f>IF(COUNTIF($A$3:A796,A796)=1,1,0)</f>
        <v>1</v>
      </c>
      <c r="O796" s="6">
        <f>IF(N796=1,ROUND((SUMIFS($M$3:$M$1200,$A$3:$A$1200,A796)+'Settings'!$B$13)*'Settings'!$B$14/100+'Settings'!$B$15,2),0)</f>
        <v>1.34</v>
      </c>
    </row>
    <row r="797">
      <c r="A797" s="3" t="inlineStr">
        <is>
          <t xml:space="preserve">#1589</t>
        </is>
      </c>
      <c r="B797" s="3" t="inlineStr">
        <is>
          <t xml:space="preserve">2026-06-27</t>
        </is>
      </c>
      <c r="C797" s="3" t="inlineStr">
        <is>
          <t xml:space="preserve">SKU-A</t>
        </is>
      </c>
      <c r="D797" s="3" t="inlineStr">
        <is>
          <t xml:space="preserve">Renewal Serum</t>
        </is>
      </c>
      <c r="E797" s="6">
        <f>IF('Settings'!$B$11="Scenario",IFERROR(INDEX('Catalogue'!$E$3:$E$100,MATCH(C797,'Catalogue'!$B$3:$B$100,0)),F797),F797)</f>
        <v>69.9</v>
      </c>
      <c r="F797" s="8">
        <v>69.9</v>
      </c>
      <c r="G797" s="3">
        <v>1</v>
      </c>
      <c r="H797" s="6">
        <f>IF('Settings'!$B$11="Scenario",ROUND(E797*G797*IFERROR(SUMIF('Pricing &amp; promotions'!$A$6:$A$8,L797,'Pricing &amp; promotions'!$B$6:$B$8)/100,0),2),J797)</f>
        <v>0.0</v>
      </c>
      <c r="I797" s="6">
        <f>ROUND((E797*G797-H797)/IF(OR(K797=TRUE,K797="TRUE",K797="YES",K797=1),1+'Settings'!$B$6/100,1),2)</f>
        <v>57.77</v>
      </c>
      <c r="J797" s="8">
        <v>0.0</v>
      </c>
      <c r="K797" s="3" t="inlineStr">
        <is>
          <t xml:space="preserve">TRUE</t>
        </is>
      </c>
      <c r="L797" s="3"/>
      <c r="M797" s="6">
        <f>ROUND(E797*G797-H797,2)</f>
        <v>69.9</v>
      </c>
      <c r="N797" s="5">
        <f>IF(COUNTIF($A$3:A797,A797)=1,1,0)</f>
        <v>1</v>
      </c>
      <c r="O797" s="6">
        <f>IF(N797=1,ROUND((SUMIFS($M$3:$M$1200,$A$3:$A$1200,A797)+'Settings'!$B$13)*'Settings'!$B$14/100+'Settings'!$B$15,2),0)</f>
        <v>2.53</v>
      </c>
    </row>
    <row r="798">
      <c r="A798" s="3" t="inlineStr">
        <is>
          <t xml:space="preserve">#1589</t>
        </is>
      </c>
      <c r="B798" s="3" t="inlineStr">
        <is>
          <t xml:space="preserve">2026-06-27</t>
        </is>
      </c>
      <c r="C798" s="3" t="inlineStr">
        <is>
          <t xml:space="preserve">SKU-D</t>
        </is>
      </c>
      <c r="D798" s="3" t="inlineStr">
        <is>
          <t xml:space="preserve">Daily Duo</t>
        </is>
      </c>
      <c r="E798" s="6">
        <f>IF('Settings'!$B$11="Scenario",IFERROR(INDEX('Catalogue'!$E$3:$E$100,MATCH(C798,'Catalogue'!$B$3:$B$100,0)),F798),F798)</f>
        <v>79</v>
      </c>
      <c r="F798" s="8">
        <v>79</v>
      </c>
      <c r="G798" s="3">
        <v>1</v>
      </c>
      <c r="H798" s="6">
        <f>IF('Settings'!$B$11="Scenario",ROUND(E798*G798*IFERROR(SUMIF('Pricing &amp; promotions'!$A$6:$A$8,L798,'Pricing &amp; promotions'!$B$6:$B$8)/100,0),2),J798)</f>
        <v>0.0</v>
      </c>
      <c r="I798" s="6">
        <f>ROUND((E798*G798-H798)/IF(OR(K798=TRUE,K798="TRUE",K798="YES",K798=1),1+'Settings'!$B$6/100,1),2)</f>
        <v>65.29</v>
      </c>
      <c r="J798" s="8">
        <v>0.0</v>
      </c>
      <c r="K798" s="3" t="inlineStr">
        <is>
          <t xml:space="preserve">TRUE</t>
        </is>
      </c>
      <c r="L798" s="3"/>
      <c r="M798" s="6">
        <f>ROUND(E798*G798-H798,2)</f>
        <v>79.0</v>
      </c>
      <c r="N798" s="5">
        <f>IF(COUNTIF($A$3:A798,A798)=1,1,0)</f>
        <v>0</v>
      </c>
      <c r="O798" s="6">
        <f>IF(N798=1,ROUND((SUMIFS($M$3:$M$1200,$A$3:$A$1200,A798)+'Settings'!$B$13)*'Settings'!$B$14/100+'Settings'!$B$15,2),0)</f>
        <v>0</v>
      </c>
    </row>
    <row r="799">
      <c r="A799" s="3" t="inlineStr">
        <is>
          <t xml:space="preserve">#1590</t>
        </is>
      </c>
      <c r="B799" s="3" t="inlineStr">
        <is>
          <t xml:space="preserve">2026-06-28</t>
        </is>
      </c>
      <c r="C799" s="3" t="inlineStr">
        <is>
          <t xml:space="preserve">SKU-D</t>
        </is>
      </c>
      <c r="D799" s="3" t="inlineStr">
        <is>
          <t xml:space="preserve">Daily Duo</t>
        </is>
      </c>
      <c r="E799" s="6">
        <f>IF('Settings'!$B$11="Scenario",IFERROR(INDEX('Catalogue'!$E$3:$E$100,MATCH(C799,'Catalogue'!$B$3:$B$100,0)),F799),F799)</f>
        <v>79</v>
      </c>
      <c r="F799" s="8">
        <v>79</v>
      </c>
      <c r="G799" s="3">
        <v>1</v>
      </c>
      <c r="H799" s="6">
        <f>IF('Settings'!$B$11="Scenario",ROUND(E799*G799*IFERROR(SUMIF('Pricing &amp; promotions'!$A$6:$A$8,L799,'Pricing &amp; promotions'!$B$6:$B$8)/100,0),2),J799)</f>
        <v>7.9</v>
      </c>
      <c r="I799" s="6">
        <f>ROUND((E799*G799-H799)/IF(OR(K799=TRUE,K799="TRUE",K799="YES",K799=1),1+'Settings'!$B$6/100,1),2)</f>
        <v>58.76</v>
      </c>
      <c r="J799" s="8">
        <v>7.9</v>
      </c>
      <c r="K799" s="3" t="inlineStr">
        <is>
          <t xml:space="preserve">TRUE</t>
        </is>
      </c>
      <c r="L799" s="3" t="inlineStr">
        <is>
          <t xml:space="preserve">WELCOME10</t>
        </is>
      </c>
      <c r="M799" s="6">
        <f>ROUND(E799*G799-H799,2)</f>
        <v>71.1</v>
      </c>
      <c r="N799" s="5">
        <f>IF(COUNTIF($A$3:A799,A799)=1,1,0)</f>
        <v>1</v>
      </c>
      <c r="O799" s="6">
        <f>IF(N799=1,ROUND((SUMIFS($M$3:$M$1200,$A$3:$A$1200,A799)+'Settings'!$B$13)*'Settings'!$B$14/100+'Settings'!$B$15,2),0)</f>
        <v>1.36</v>
      </c>
    </row>
    <row r="800">
      <c r="A800" s="3" t="inlineStr">
        <is>
          <t xml:space="preserve">#1591</t>
        </is>
      </c>
      <c r="B800" s="3" t="inlineStr">
        <is>
          <t xml:space="preserve">2026-06-28</t>
        </is>
      </c>
      <c r="C800" s="3" t="inlineStr">
        <is>
          <t xml:space="preserve">SKU-G</t>
        </is>
      </c>
      <c r="D800" s="3" t="inlineStr">
        <is>
          <t xml:space="preserve">Daily Reset Set</t>
        </is>
      </c>
      <c r="E800" s="6">
        <f>IF('Settings'!$B$11="Scenario",IFERROR(INDEX('Catalogue'!$E$3:$E$100,MATCH(C800,'Catalogue'!$B$3:$B$100,0)),F800),F800)</f>
        <v>69</v>
      </c>
      <c r="F800" s="8">
        <v>69</v>
      </c>
      <c r="G800" s="3">
        <v>1</v>
      </c>
      <c r="H800" s="6">
        <f>IF('Settings'!$B$11="Scenario",ROUND(E800*G800*IFERROR(SUMIF('Pricing &amp; promotions'!$A$6:$A$8,L800,'Pricing &amp; promotions'!$B$6:$B$8)/100,0),2),J800)</f>
        <v>0.0</v>
      </c>
      <c r="I800" s="6">
        <f>ROUND((E800*G800-H800)/IF(OR(K800=TRUE,K800="TRUE",K800="YES",K800=1),1+'Settings'!$B$6/100,1),2)</f>
        <v>57.02</v>
      </c>
      <c r="J800" s="8">
        <v>0.0</v>
      </c>
      <c r="K800" s="3" t="inlineStr">
        <is>
          <t xml:space="preserve">TRUE</t>
        </is>
      </c>
      <c r="L800" s="3"/>
      <c r="M800" s="6">
        <f>ROUND(E800*G800-H800,2)</f>
        <v>69.0</v>
      </c>
      <c r="N800" s="5">
        <f>IF(COUNTIF($A$3:A800,A800)=1,1,0)</f>
        <v>1</v>
      </c>
      <c r="O800" s="6">
        <f>IF(N800=1,ROUND((SUMIFS($M$3:$M$1200,$A$3:$A$1200,A800)+'Settings'!$B$13)*'Settings'!$B$14/100+'Settings'!$B$15,2),0)</f>
        <v>1.33</v>
      </c>
    </row>
    <row r="801">
      <c r="A801" s="3" t="inlineStr">
        <is>
          <t xml:space="preserve">#1592</t>
        </is>
      </c>
      <c r="B801" s="3" t="inlineStr">
        <is>
          <t xml:space="preserve">2026-06-29</t>
        </is>
      </c>
      <c r="C801" s="3" t="inlineStr">
        <is>
          <t xml:space="preserve">SKU-G</t>
        </is>
      </c>
      <c r="D801" s="3" t="inlineStr">
        <is>
          <t xml:space="preserve">Daily Reset Set</t>
        </is>
      </c>
      <c r="E801" s="6">
        <f>IF('Settings'!$B$11="Scenario",IFERROR(INDEX('Catalogue'!$E$3:$E$100,MATCH(C801,'Catalogue'!$B$3:$B$100,0)),F801),F801)</f>
        <v>69</v>
      </c>
      <c r="F801" s="8">
        <v>69</v>
      </c>
      <c r="G801" s="3">
        <v>1</v>
      </c>
      <c r="H801" s="6">
        <f>IF('Settings'!$B$11="Scenario",ROUND(E801*G801*IFERROR(SUMIF('Pricing &amp; promotions'!$A$6:$A$8,L801,'Pricing &amp; promotions'!$B$6:$B$8)/100,0),2),J801)</f>
        <v>0.0</v>
      </c>
      <c r="I801" s="6">
        <f>ROUND((E801*G801-H801)/IF(OR(K801=TRUE,K801="TRUE",K801="YES",K801=1),1+'Settings'!$B$6/100,1),2)</f>
        <v>57.02</v>
      </c>
      <c r="J801" s="8">
        <v>0.0</v>
      </c>
      <c r="K801" s="3" t="inlineStr">
        <is>
          <t xml:space="preserve">TRUE</t>
        </is>
      </c>
      <c r="L801" s="3"/>
      <c r="M801" s="6">
        <f>ROUND(E801*G801-H801,2)</f>
        <v>69.0</v>
      </c>
      <c r="N801" s="5">
        <f>IF(COUNTIF($A$3:A801,A801)=1,1,0)</f>
        <v>1</v>
      </c>
      <c r="O801" s="6">
        <f>IF(N801=1,ROUND((SUMIFS($M$3:$M$1200,$A$3:$A$1200,A801)+'Settings'!$B$13)*'Settings'!$B$14/100+'Settings'!$B$15,2),0)</f>
        <v>1.33</v>
      </c>
    </row>
    <row r="802">
      <c r="A802" s="3" t="inlineStr">
        <is>
          <t xml:space="preserve">#1593</t>
        </is>
      </c>
      <c r="B802" s="3" t="inlineStr">
        <is>
          <t xml:space="preserve">2026-06-29</t>
        </is>
      </c>
      <c r="C802" s="3" t="inlineStr">
        <is>
          <t xml:space="preserve">SKU-A</t>
        </is>
      </c>
      <c r="D802" s="3" t="inlineStr">
        <is>
          <t xml:space="preserve">Renewal Serum</t>
        </is>
      </c>
      <c r="E802" s="6">
        <f>IF('Settings'!$B$11="Scenario",IFERROR(INDEX('Catalogue'!$E$3:$E$100,MATCH(C802,'Catalogue'!$B$3:$B$100,0)),F802),F802)</f>
        <v>69.9</v>
      </c>
      <c r="F802" s="8">
        <v>69.9</v>
      </c>
      <c r="G802" s="3">
        <v>1</v>
      </c>
      <c r="H802" s="6">
        <f>IF('Settings'!$B$11="Scenario",ROUND(E802*G802*IFERROR(SUMIF('Pricing &amp; promotions'!$A$6:$A$8,L802,'Pricing &amp; promotions'!$B$6:$B$8)/100,0),2),J802)</f>
        <v>0.0</v>
      </c>
      <c r="I802" s="6">
        <f>ROUND((E802*G802-H802)/IF(OR(K802=TRUE,K802="TRUE",K802="YES",K802=1),1+'Settings'!$B$6/100,1),2)</f>
        <v>57.77</v>
      </c>
      <c r="J802" s="8">
        <v>0.0</v>
      </c>
      <c r="K802" s="3" t="inlineStr">
        <is>
          <t xml:space="preserve">TRUE</t>
        </is>
      </c>
      <c r="L802" s="3"/>
      <c r="M802" s="6">
        <f>ROUND(E802*G802-H802,2)</f>
        <v>69.9</v>
      </c>
      <c r="N802" s="5">
        <f>IF(COUNTIF($A$3:A802,A802)=1,1,0)</f>
        <v>1</v>
      </c>
      <c r="O802" s="6">
        <f>IF(N802=1,ROUND((SUMIFS($M$3:$M$1200,$A$3:$A$1200,A802)+'Settings'!$B$13)*'Settings'!$B$14/100+'Settings'!$B$15,2),0)</f>
        <v>1.34</v>
      </c>
    </row>
    <row r="803">
      <c r="A803" s="3" t="inlineStr">
        <is>
          <t xml:space="preserve">#1594</t>
        </is>
      </c>
      <c r="B803" s="3" t="inlineStr">
        <is>
          <t xml:space="preserve">2026-06-29</t>
        </is>
      </c>
      <c r="C803" s="3" t="inlineStr">
        <is>
          <t xml:space="preserve">SKU-E</t>
        </is>
      </c>
      <c r="D803" s="3" t="inlineStr">
        <is>
          <t xml:space="preserve">Complete Ritual</t>
        </is>
      </c>
      <c r="E803" s="6">
        <f>IF('Settings'!$B$11="Scenario",IFERROR(INDEX('Catalogue'!$E$3:$E$100,MATCH(C803,'Catalogue'!$B$3:$B$100,0)),F803),F803)</f>
        <v>89</v>
      </c>
      <c r="F803" s="8">
        <v>89</v>
      </c>
      <c r="G803" s="3">
        <v>2</v>
      </c>
      <c r="H803" s="6">
        <f>IF('Settings'!$B$11="Scenario",ROUND(E803*G803*IFERROR(SUMIF('Pricing &amp; promotions'!$A$6:$A$8,L803,'Pricing &amp; promotions'!$B$6:$B$8)/100,0),2),J803)</f>
        <v>0.0</v>
      </c>
      <c r="I803" s="6">
        <f>ROUND((E803*G803-H803)/IF(OR(K803=TRUE,K803="TRUE",K803="YES",K803=1),1+'Settings'!$B$6/100,1),2)</f>
        <v>147.11</v>
      </c>
      <c r="J803" s="8">
        <v>0.0</v>
      </c>
      <c r="K803" s="3" t="inlineStr">
        <is>
          <t xml:space="preserve">TRUE</t>
        </is>
      </c>
      <c r="L803" s="3"/>
      <c r="M803" s="6">
        <f>ROUND(E803*G803-H803,2)</f>
        <v>178.0</v>
      </c>
      <c r="N803" s="5">
        <f>IF(COUNTIF($A$3:A803,A803)=1,1,0)</f>
        <v>1</v>
      </c>
      <c r="O803" s="6">
        <f>IF(N803=1,ROUND((SUMIFS($M$3:$M$1200,$A$3:$A$1200,A803)+'Settings'!$B$13)*'Settings'!$B$14/100+'Settings'!$B$15,2),0)</f>
        <v>3.76</v>
      </c>
    </row>
    <row r="804">
      <c r="A804" s="3" t="inlineStr">
        <is>
          <t xml:space="preserve">#1594</t>
        </is>
      </c>
      <c r="B804" s="3" t="inlineStr">
        <is>
          <t xml:space="preserve">2026-06-29</t>
        </is>
      </c>
      <c r="C804" s="3" t="inlineStr">
        <is>
          <t xml:space="preserve">SKU-B</t>
        </is>
      </c>
      <c r="D804" s="3" t="inlineStr">
        <is>
          <t xml:space="preserve">Barrier Balm</t>
        </is>
      </c>
      <c r="E804" s="6">
        <f>IF('Settings'!$B$11="Scenario",IFERROR(INDEX('Catalogue'!$E$3:$E$100,MATCH(C804,'Catalogue'!$B$3:$B$100,0)),F804),F804)</f>
        <v>19</v>
      </c>
      <c r="F804" s="8">
        <v>19</v>
      </c>
      <c r="G804" s="3">
        <v>1</v>
      </c>
      <c r="H804" s="6">
        <f>IF('Settings'!$B$11="Scenario",ROUND(E804*G804*IFERROR(SUMIF('Pricing &amp; promotions'!$A$6:$A$8,L804,'Pricing &amp; promotions'!$B$6:$B$8)/100,0),2),J804)</f>
        <v>0.0</v>
      </c>
      <c r="I804" s="6">
        <f>ROUND((E804*G804-H804)/IF(OR(K804=TRUE,K804="TRUE",K804="YES",K804=1),1+'Settings'!$B$6/100,1),2)</f>
        <v>15.7</v>
      </c>
      <c r="J804" s="8">
        <v>0.0</v>
      </c>
      <c r="K804" s="3" t="inlineStr">
        <is>
          <t xml:space="preserve">TRUE</t>
        </is>
      </c>
      <c r="L804" s="3"/>
      <c r="M804" s="6">
        <f>ROUND(E804*G804-H804,2)</f>
        <v>19.0</v>
      </c>
      <c r="N804" s="5">
        <f>IF(COUNTIF($A$3:A804,A804)=1,1,0)</f>
        <v>0</v>
      </c>
      <c r="O804" s="6">
        <f>IF(N804=1,ROUND((SUMIFS($M$3:$M$1200,$A$3:$A$1200,A804)+'Settings'!$B$13)*'Settings'!$B$14/100+'Settings'!$B$15,2),0)</f>
        <v>0</v>
      </c>
    </row>
    <row r="805">
      <c r="A805" s="3" t="inlineStr">
        <is>
          <t xml:space="preserve">#1594</t>
        </is>
      </c>
      <c r="B805" s="3" t="inlineStr">
        <is>
          <t xml:space="preserve">2026-06-29</t>
        </is>
      </c>
      <c r="C805" s="3" t="inlineStr">
        <is>
          <t xml:space="preserve">SKU-F</t>
        </is>
      </c>
      <c r="D805" s="3" t="inlineStr">
        <is>
          <t xml:space="preserve">Cloud Cleanser</t>
        </is>
      </c>
      <c r="E805" s="6">
        <f>IF('Settings'!$B$11="Scenario",IFERROR(INDEX('Catalogue'!$E$3:$E$100,MATCH(C805,'Catalogue'!$B$3:$B$100,0)),F805),F805)</f>
        <v>34</v>
      </c>
      <c r="F805" s="8">
        <v>34</v>
      </c>
      <c r="G805" s="3">
        <v>1</v>
      </c>
      <c r="H805" s="6">
        <f>IF('Settings'!$B$11="Scenario",ROUND(E805*G805*IFERROR(SUMIF('Pricing &amp; promotions'!$A$6:$A$8,L805,'Pricing &amp; promotions'!$B$6:$B$8)/100,0),2),J805)</f>
        <v>0.0</v>
      </c>
      <c r="I805" s="6">
        <f>ROUND((E805*G805-H805)/IF(OR(K805=TRUE,K805="TRUE",K805="YES",K805=1),1+'Settings'!$B$6/100,1),2)</f>
        <v>28.1</v>
      </c>
      <c r="J805" s="8">
        <v>0.0</v>
      </c>
      <c r="K805" s="3" t="inlineStr">
        <is>
          <t xml:space="preserve">TRUE</t>
        </is>
      </c>
      <c r="L805" s="3"/>
      <c r="M805" s="6">
        <f>ROUND(E805*G805-H805,2)</f>
        <v>34.0</v>
      </c>
      <c r="N805" s="5">
        <f>IF(COUNTIF($A$3:A805,A805)=1,1,0)</f>
        <v>0</v>
      </c>
      <c r="O805" s="6">
        <f>IF(N805=1,ROUND((SUMIFS($M$3:$M$1200,$A$3:$A$1200,A805)+'Settings'!$B$13)*'Settings'!$B$14/100+'Settings'!$B$15,2),0)</f>
        <v>0</v>
      </c>
    </row>
    <row r="806">
      <c r="A806" s="3" t="inlineStr">
        <is>
          <t xml:space="preserve">#1595</t>
        </is>
      </c>
      <c r="B806" s="3" t="inlineStr">
        <is>
          <t xml:space="preserve">2026-06-29</t>
        </is>
      </c>
      <c r="C806" s="3" t="inlineStr">
        <is>
          <t xml:space="preserve">SKU-E</t>
        </is>
      </c>
      <c r="D806" s="3" t="inlineStr">
        <is>
          <t xml:space="preserve">Complete Ritual</t>
        </is>
      </c>
      <c r="E806" s="6">
        <f>IF('Settings'!$B$11="Scenario",IFERROR(INDEX('Catalogue'!$E$3:$E$100,MATCH(C806,'Catalogue'!$B$3:$B$100,0)),F806),F806)</f>
        <v>89</v>
      </c>
      <c r="F806" s="8">
        <v>89</v>
      </c>
      <c r="G806" s="3">
        <v>1</v>
      </c>
      <c r="H806" s="6">
        <f>IF('Settings'!$B$11="Scenario",ROUND(E806*G806*IFERROR(SUMIF('Pricing &amp; promotions'!$A$6:$A$8,L806,'Pricing &amp; promotions'!$B$6:$B$8)/100,0),2),J806)</f>
        <v>0.0</v>
      </c>
      <c r="I806" s="6">
        <f>ROUND((E806*G806-H806)/IF(OR(K806=TRUE,K806="TRUE",K806="YES",K806=1),1+'Settings'!$B$6/100,1),2)</f>
        <v>73.55</v>
      </c>
      <c r="J806" s="8">
        <v>0.0</v>
      </c>
      <c r="K806" s="3" t="inlineStr">
        <is>
          <t xml:space="preserve">TRUE</t>
        </is>
      </c>
      <c r="L806" s="3"/>
      <c r="M806" s="6">
        <f>ROUND(E806*G806-H806,2)</f>
        <v>89.0</v>
      </c>
      <c r="N806" s="5">
        <f>IF(COUNTIF($A$3:A806,A806)=1,1,0)</f>
        <v>1</v>
      </c>
      <c r="O806" s="6">
        <f>IF(N806=1,ROUND((SUMIFS($M$3:$M$1200,$A$3:$A$1200,A806)+'Settings'!$B$13)*'Settings'!$B$14/100+'Settings'!$B$15,2),0)</f>
        <v>1.63</v>
      </c>
    </row>
    <row r="807">
      <c r="A807" s="3" t="inlineStr">
        <is>
          <t xml:space="preserve">#1596</t>
        </is>
      </c>
      <c r="B807" s="3" t="inlineStr">
        <is>
          <t xml:space="preserve">2026-06-30</t>
        </is>
      </c>
      <c r="C807" s="3" t="inlineStr">
        <is>
          <t xml:space="preserve">SKU-A</t>
        </is>
      </c>
      <c r="D807" s="3" t="inlineStr">
        <is>
          <t xml:space="preserve">Renewal Serum</t>
        </is>
      </c>
      <c r="E807" s="6">
        <f>IF('Settings'!$B$11="Scenario",IFERROR(INDEX('Catalogue'!$E$3:$E$100,MATCH(C807,'Catalogue'!$B$3:$B$100,0)),F807),F807)</f>
        <v>69.9</v>
      </c>
      <c r="F807" s="8">
        <v>69.9</v>
      </c>
      <c r="G807" s="3">
        <v>1</v>
      </c>
      <c r="H807" s="6">
        <f>IF('Settings'!$B$11="Scenario",ROUND(E807*G807*IFERROR(SUMIF('Pricing &amp; promotions'!$A$6:$A$8,L807,'Pricing &amp; promotions'!$B$6:$B$8)/100,0),2),J807)</f>
        <v>0.0</v>
      </c>
      <c r="I807" s="6">
        <f>ROUND((E807*G807-H807)/IF(OR(K807=TRUE,K807="TRUE",K807="YES",K807=1),1+'Settings'!$B$6/100,1),2)</f>
        <v>57.77</v>
      </c>
      <c r="J807" s="8">
        <v>0.0</v>
      </c>
      <c r="K807" s="3" t="inlineStr">
        <is>
          <t xml:space="preserve">TRUE</t>
        </is>
      </c>
      <c r="L807" s="3"/>
      <c r="M807" s="6">
        <f>ROUND(E807*G807-H807,2)</f>
        <v>69.9</v>
      </c>
      <c r="N807" s="5">
        <f>IF(COUNTIF($A$3:A807,A807)=1,1,0)</f>
        <v>1</v>
      </c>
      <c r="O807" s="6">
        <f>IF(N807=1,ROUND((SUMIFS($M$3:$M$1200,$A$3:$A$1200,A807)+'Settings'!$B$13)*'Settings'!$B$14/100+'Settings'!$B$15,2),0)</f>
        <v>1.34</v>
      </c>
    </row>
    <row r="808">
      <c r="A808" s="3" t="inlineStr">
        <is>
          <t xml:space="preserve">#1597</t>
        </is>
      </c>
      <c r="B808" s="3" t="inlineStr">
        <is>
          <t xml:space="preserve">2026-06-30</t>
        </is>
      </c>
      <c r="C808" s="3" t="inlineStr">
        <is>
          <t xml:space="preserve">SKU-B</t>
        </is>
      </c>
      <c r="D808" s="3" t="inlineStr">
        <is>
          <t xml:space="preserve">Barrier Balm</t>
        </is>
      </c>
      <c r="E808" s="6">
        <f>IF('Settings'!$B$11="Scenario",IFERROR(INDEX('Catalogue'!$E$3:$E$100,MATCH(C808,'Catalogue'!$B$3:$B$100,0)),F808),F808)</f>
        <v>19</v>
      </c>
      <c r="F808" s="8">
        <v>19</v>
      </c>
      <c r="G808" s="3">
        <v>1</v>
      </c>
      <c r="H808" s="6">
        <f>IF('Settings'!$B$11="Scenario",ROUND(E808*G808*IFERROR(SUMIF('Pricing &amp; promotions'!$A$6:$A$8,L808,'Pricing &amp; promotions'!$B$6:$B$8)/100,0),2),J808)</f>
        <v>0.0</v>
      </c>
      <c r="I808" s="6">
        <f>ROUND((E808*G808-H808)/IF(OR(K808=TRUE,K808="TRUE",K808="YES",K808=1),1+'Settings'!$B$6/100,1),2)</f>
        <v>15.7</v>
      </c>
      <c r="J808" s="8">
        <v>0.0</v>
      </c>
      <c r="K808" s="3" t="inlineStr">
        <is>
          <t xml:space="preserve">TRUE</t>
        </is>
      </c>
      <c r="L808" s="3"/>
      <c r="M808" s="6">
        <f>ROUND(E808*G808-H808,2)</f>
        <v>19.0</v>
      </c>
      <c r="N808" s="5">
        <f>IF(COUNTIF($A$3:A808,A808)=1,1,0)</f>
        <v>1</v>
      </c>
      <c r="O808" s="6">
        <f>IF(N808=1,ROUND((SUMIFS($M$3:$M$1200,$A$3:$A$1200,A808)+'Settings'!$B$13)*'Settings'!$B$14/100+'Settings'!$B$15,2),0)</f>
        <v>2.65</v>
      </c>
    </row>
    <row r="809">
      <c r="A809" s="3" t="inlineStr">
        <is>
          <t xml:space="preserve">#1597</t>
        </is>
      </c>
      <c r="B809" s="3" t="inlineStr">
        <is>
          <t xml:space="preserve">2026-06-30</t>
        </is>
      </c>
      <c r="C809" s="3" t="inlineStr">
        <is>
          <t xml:space="preserve">SKU-G</t>
        </is>
      </c>
      <c r="D809" s="3" t="inlineStr">
        <is>
          <t xml:space="preserve">Daily Reset Set</t>
        </is>
      </c>
      <c r="E809" s="6">
        <f>IF('Settings'!$B$11="Scenario",IFERROR(INDEX('Catalogue'!$E$3:$E$100,MATCH(C809,'Catalogue'!$B$3:$B$100,0)),F809),F809)</f>
        <v>69</v>
      </c>
      <c r="F809" s="8">
        <v>69</v>
      </c>
      <c r="G809" s="3">
        <v>2</v>
      </c>
      <c r="H809" s="6">
        <f>IF('Settings'!$B$11="Scenario",ROUND(E809*G809*IFERROR(SUMIF('Pricing &amp; promotions'!$A$6:$A$8,L809,'Pricing &amp; promotions'!$B$6:$B$8)/100,0),2),J809)</f>
        <v>0.0</v>
      </c>
      <c r="I809" s="6">
        <f>ROUND((E809*G809-H809)/IF(OR(K809=TRUE,K809="TRUE",K809="YES",K809=1),1+'Settings'!$B$6/100,1),2)</f>
        <v>114.05</v>
      </c>
      <c r="J809" s="8">
        <v>0.0</v>
      </c>
      <c r="K809" s="3" t="inlineStr">
        <is>
          <t xml:space="preserve">TRUE</t>
        </is>
      </c>
      <c r="L809" s="3"/>
      <c r="M809" s="6">
        <f>ROUND(E809*G809-H809,2)</f>
        <v>138.0</v>
      </c>
      <c r="N809" s="5">
        <f>IF(COUNTIF($A$3:A809,A809)=1,1,0)</f>
        <v>0</v>
      </c>
      <c r="O809" s="6">
        <f>IF(N809=1,ROUND((SUMIFS($M$3:$M$1200,$A$3:$A$1200,A809)+'Settings'!$B$13)*'Settings'!$B$14/100+'Settings'!$B$15,2),0)</f>
        <v>0</v>
      </c>
    </row>
    <row r="810">
      <c r="A810" s="3" t="inlineStr">
        <is>
          <t xml:space="preserve">#1598</t>
        </is>
      </c>
      <c r="B810" s="3" t="inlineStr">
        <is>
          <t xml:space="preserve">2026-06-30</t>
        </is>
      </c>
      <c r="C810" s="3" t="inlineStr">
        <is>
          <t xml:space="preserve">SKU-A</t>
        </is>
      </c>
      <c r="D810" s="3" t="inlineStr">
        <is>
          <t xml:space="preserve">Renewal Serum</t>
        </is>
      </c>
      <c r="E810" s="6">
        <f>IF('Settings'!$B$11="Scenario",IFERROR(INDEX('Catalogue'!$E$3:$E$100,MATCH(C810,'Catalogue'!$B$3:$B$100,0)),F810),F810)</f>
        <v>69.9</v>
      </c>
      <c r="F810" s="8">
        <v>69.9</v>
      </c>
      <c r="G810" s="3">
        <v>2</v>
      </c>
      <c r="H810" s="6">
        <f>IF('Settings'!$B$11="Scenario",ROUND(E810*G810*IFERROR(SUMIF('Pricing &amp; promotions'!$A$6:$A$8,L810,'Pricing &amp; promotions'!$B$6:$B$8)/100,0),2),J810)</f>
        <v>13.98</v>
      </c>
      <c r="I810" s="6">
        <f>ROUND((E810*G810-H810)/IF(OR(K810=TRUE,K810="TRUE",K810="YES",K810=1),1+'Settings'!$B$6/100,1),2)</f>
        <v>103.98</v>
      </c>
      <c r="J810" s="8">
        <v>13.98</v>
      </c>
      <c r="K810" s="3" t="inlineStr">
        <is>
          <t xml:space="preserve">TRUE</t>
        </is>
      </c>
      <c r="L810" s="3" t="inlineStr">
        <is>
          <t xml:space="preserve">WELCOME10</t>
        </is>
      </c>
      <c r="M810" s="6">
        <f>ROUND(E810*G810-H810,2)</f>
        <v>125.82</v>
      </c>
      <c r="N810" s="5">
        <f>IF(COUNTIF($A$3:A810,A810)=1,1,0)</f>
        <v>1</v>
      </c>
      <c r="O810" s="6">
        <f>IF(N810=1,ROUND((SUMIFS($M$3:$M$1200,$A$3:$A$1200,A810)+'Settings'!$B$13)*'Settings'!$B$14/100+'Settings'!$B$15,2),0)</f>
        <v>2.18</v>
      </c>
    </row>
    <row r="811">
      <c r="A811" s="3" t="inlineStr">
        <is>
          <t xml:space="preserve">#1599</t>
        </is>
      </c>
      <c r="B811" s="3" t="inlineStr">
        <is>
          <t xml:space="preserve">2026-07-01</t>
        </is>
      </c>
      <c r="C811" s="3" t="inlineStr">
        <is>
          <t xml:space="preserve">SKU-A</t>
        </is>
      </c>
      <c r="D811" s="3" t="inlineStr">
        <is>
          <t xml:space="preserve">Renewal Serum</t>
        </is>
      </c>
      <c r="E811" s="6">
        <f>IF('Settings'!$B$11="Scenario",IFERROR(INDEX('Catalogue'!$E$3:$E$100,MATCH(C811,'Catalogue'!$B$3:$B$100,0)),F811),F811)</f>
        <v>69.9</v>
      </c>
      <c r="F811" s="8">
        <v>69.9</v>
      </c>
      <c r="G811" s="3">
        <v>1</v>
      </c>
      <c r="H811" s="6">
        <f>IF('Settings'!$B$11="Scenario",ROUND(E811*G811*IFERROR(SUMIF('Pricing &amp; promotions'!$A$6:$A$8,L811,'Pricing &amp; promotions'!$B$6:$B$8)/100,0),2),J811)</f>
        <v>10.49</v>
      </c>
      <c r="I811" s="6">
        <f>ROUND((E811*G811-H811)/IF(OR(K811=TRUE,K811="TRUE",K811="YES",K811=1),1+'Settings'!$B$6/100,1),2)</f>
        <v>49.1</v>
      </c>
      <c r="J811" s="8">
        <v>10.49</v>
      </c>
      <c r="K811" s="3" t="inlineStr">
        <is>
          <t xml:space="preserve">TRUE</t>
        </is>
      </c>
      <c r="L811" s="3" t="inlineStr">
        <is>
          <t xml:space="preserve">SUMMER15</t>
        </is>
      </c>
      <c r="M811" s="6">
        <f>ROUND(E811*G811-H811,2)</f>
        <v>59.41</v>
      </c>
      <c r="N811" s="5">
        <f>IF(COUNTIF($A$3:A811,A811)=1,1,0)</f>
        <v>1</v>
      </c>
      <c r="O811" s="6">
        <f>IF(N811=1,ROUND((SUMIFS($M$3:$M$1200,$A$3:$A$1200,A811)+'Settings'!$B$13)*'Settings'!$B$14/100+'Settings'!$B$15,2),0)</f>
        <v>2.19</v>
      </c>
    </row>
    <row r="812">
      <c r="A812" s="3" t="inlineStr">
        <is>
          <t xml:space="preserve">#1599</t>
        </is>
      </c>
      <c r="B812" s="3" t="inlineStr">
        <is>
          <t xml:space="preserve">2026-07-01</t>
        </is>
      </c>
      <c r="C812" s="3" t="inlineStr">
        <is>
          <t xml:space="preserve">SKU-D</t>
        </is>
      </c>
      <c r="D812" s="3" t="inlineStr">
        <is>
          <t xml:space="preserve">Daily Duo</t>
        </is>
      </c>
      <c r="E812" s="6">
        <f>IF('Settings'!$B$11="Scenario",IFERROR(INDEX('Catalogue'!$E$3:$E$100,MATCH(C812,'Catalogue'!$B$3:$B$100,0)),F812),F812)</f>
        <v>79</v>
      </c>
      <c r="F812" s="8">
        <v>79</v>
      </c>
      <c r="G812" s="3">
        <v>1</v>
      </c>
      <c r="H812" s="6">
        <f>IF('Settings'!$B$11="Scenario",ROUND(E812*G812*IFERROR(SUMIF('Pricing &amp; promotions'!$A$6:$A$8,L812,'Pricing &amp; promotions'!$B$6:$B$8)/100,0),2),J812)</f>
        <v>11.85</v>
      </c>
      <c r="I812" s="6">
        <f>ROUND((E812*G812-H812)/IF(OR(K812=TRUE,K812="TRUE",K812="YES",K812=1),1+'Settings'!$B$6/100,1),2)</f>
        <v>55.5</v>
      </c>
      <c r="J812" s="8">
        <v>11.85</v>
      </c>
      <c r="K812" s="3" t="inlineStr">
        <is>
          <t xml:space="preserve">TRUE</t>
        </is>
      </c>
      <c r="L812" s="3" t="inlineStr">
        <is>
          <t xml:space="preserve">SUMMER15</t>
        </is>
      </c>
      <c r="M812" s="6">
        <f>ROUND(E812*G812-H812,2)</f>
        <v>67.15</v>
      </c>
      <c r="N812" s="5">
        <f>IF(COUNTIF($A$3:A812,A812)=1,1,0)</f>
        <v>0</v>
      </c>
      <c r="O812" s="6">
        <f>IF(N812=1,ROUND((SUMIFS($M$3:$M$1200,$A$3:$A$1200,A812)+'Settings'!$B$13)*'Settings'!$B$14/100+'Settings'!$B$15,2),0)</f>
        <v>0</v>
      </c>
    </row>
    <row r="813">
      <c r="A813" s="3" t="inlineStr">
        <is>
          <t xml:space="preserve">#1600</t>
        </is>
      </c>
      <c r="B813" s="3" t="inlineStr">
        <is>
          <t xml:space="preserve">2026-07-01</t>
        </is>
      </c>
      <c r="C813" s="3" t="inlineStr">
        <is>
          <t xml:space="preserve">SKU-F</t>
        </is>
      </c>
      <c r="D813" s="3" t="inlineStr">
        <is>
          <t xml:space="preserve">Cloud Cleanser</t>
        </is>
      </c>
      <c r="E813" s="6">
        <f>IF('Settings'!$B$11="Scenario",IFERROR(INDEX('Catalogue'!$E$3:$E$100,MATCH(C813,'Catalogue'!$B$3:$B$100,0)),F813),F813)</f>
        <v>34</v>
      </c>
      <c r="F813" s="8">
        <v>34</v>
      </c>
      <c r="G813" s="3">
        <v>1</v>
      </c>
      <c r="H813" s="6">
        <f>IF('Settings'!$B$11="Scenario",ROUND(E813*G813*IFERROR(SUMIF('Pricing &amp; promotions'!$A$6:$A$8,L813,'Pricing &amp; promotions'!$B$6:$B$8)/100,0),2),J813)</f>
        <v>3.4</v>
      </c>
      <c r="I813" s="6">
        <f>ROUND((E813*G813-H813)/IF(OR(K813=TRUE,K813="TRUE",K813="YES",K813=1),1+'Settings'!$B$6/100,1),2)</f>
        <v>25.29</v>
      </c>
      <c r="J813" s="8">
        <v>3.4</v>
      </c>
      <c r="K813" s="3" t="inlineStr">
        <is>
          <t xml:space="preserve">TRUE</t>
        </is>
      </c>
      <c r="L813" s="3" t="inlineStr">
        <is>
          <t xml:space="preserve">WELCOME10</t>
        </is>
      </c>
      <c r="M813" s="6">
        <f>ROUND(E813*G813-H813,2)</f>
        <v>30.6</v>
      </c>
      <c r="N813" s="5">
        <f>IF(COUNTIF($A$3:A813,A813)=1,1,0)</f>
        <v>1</v>
      </c>
      <c r="O813" s="6">
        <f>IF(N813=1,ROUND((SUMIFS($M$3:$M$1200,$A$3:$A$1200,A813)+'Settings'!$B$13)*'Settings'!$B$14/100+'Settings'!$B$15,2),0)</f>
        <v>0.75</v>
      </c>
    </row>
    <row r="814">
      <c r="A814" s="3" t="inlineStr">
        <is>
          <t xml:space="preserve">#1601</t>
        </is>
      </c>
      <c r="B814" s="3" t="inlineStr">
        <is>
          <t xml:space="preserve">2026-07-02</t>
        </is>
      </c>
      <c r="C814" s="3" t="inlineStr">
        <is>
          <t xml:space="preserve">SKU-A</t>
        </is>
      </c>
      <c r="D814" s="3" t="inlineStr">
        <is>
          <t xml:space="preserve">Renewal Serum</t>
        </is>
      </c>
      <c r="E814" s="6">
        <f>IF('Settings'!$B$11="Scenario",IFERROR(INDEX('Catalogue'!$E$3:$E$100,MATCH(C814,'Catalogue'!$B$3:$B$100,0)),F814),F814)</f>
        <v>69.9</v>
      </c>
      <c r="F814" s="8">
        <v>69.9</v>
      </c>
      <c r="G814" s="3">
        <v>1</v>
      </c>
      <c r="H814" s="6">
        <f>IF('Settings'!$B$11="Scenario",ROUND(E814*G814*IFERROR(SUMIF('Pricing &amp; promotions'!$A$6:$A$8,L814,'Pricing &amp; promotions'!$B$6:$B$8)/100,0),2),J814)</f>
        <v>0.0</v>
      </c>
      <c r="I814" s="6">
        <f>ROUND((E814*G814-H814)/IF(OR(K814=TRUE,K814="TRUE",K814="YES",K814=1),1+'Settings'!$B$6/100,1),2)</f>
        <v>57.77</v>
      </c>
      <c r="J814" s="8">
        <v>0.0</v>
      </c>
      <c r="K814" s="3" t="inlineStr">
        <is>
          <t xml:space="preserve">TRUE</t>
        </is>
      </c>
      <c r="L814" s="3"/>
      <c r="M814" s="6">
        <f>ROUND(E814*G814-H814,2)</f>
        <v>69.9</v>
      </c>
      <c r="N814" s="5">
        <f>IF(COUNTIF($A$3:A814,A814)=1,1,0)</f>
        <v>1</v>
      </c>
      <c r="O814" s="6">
        <f>IF(N814=1,ROUND((SUMIFS($M$3:$M$1200,$A$3:$A$1200,A814)+'Settings'!$B$13)*'Settings'!$B$14/100+'Settings'!$B$15,2),0)</f>
        <v>1.34</v>
      </c>
    </row>
    <row r="815">
      <c r="A815" s="3" t="inlineStr">
        <is>
          <t xml:space="preserve">#1602</t>
        </is>
      </c>
      <c r="B815" s="3" t="inlineStr">
        <is>
          <t xml:space="preserve">2026-07-02</t>
        </is>
      </c>
      <c r="C815" s="3" t="inlineStr">
        <is>
          <t xml:space="preserve">SKU-E</t>
        </is>
      </c>
      <c r="D815" s="3" t="inlineStr">
        <is>
          <t xml:space="preserve">Complete Ritual</t>
        </is>
      </c>
      <c r="E815" s="6">
        <f>IF('Settings'!$B$11="Scenario",IFERROR(INDEX('Catalogue'!$E$3:$E$100,MATCH(C815,'Catalogue'!$B$3:$B$100,0)),F815),F815)</f>
        <v>89</v>
      </c>
      <c r="F815" s="8">
        <v>89</v>
      </c>
      <c r="G815" s="3">
        <v>1</v>
      </c>
      <c r="H815" s="6">
        <f>IF('Settings'!$B$11="Scenario",ROUND(E815*G815*IFERROR(SUMIF('Pricing &amp; promotions'!$A$6:$A$8,L815,'Pricing &amp; promotions'!$B$6:$B$8)/100,0),2),J815)</f>
        <v>8.9</v>
      </c>
      <c r="I815" s="6">
        <f>ROUND((E815*G815-H815)/IF(OR(K815=TRUE,K815="TRUE",K815="YES",K815=1),1+'Settings'!$B$6/100,1),2)</f>
        <v>66.2</v>
      </c>
      <c r="J815" s="8">
        <v>8.9</v>
      </c>
      <c r="K815" s="3" t="inlineStr">
        <is>
          <t xml:space="preserve">TRUE</t>
        </is>
      </c>
      <c r="L815" s="3" t="inlineStr">
        <is>
          <t xml:space="preserve">WELCOME10</t>
        </is>
      </c>
      <c r="M815" s="6">
        <f>ROUND(E815*G815-H815,2)</f>
        <v>80.1</v>
      </c>
      <c r="N815" s="5">
        <f>IF(COUNTIF($A$3:A815,A815)=1,1,0)</f>
        <v>1</v>
      </c>
      <c r="O815" s="6">
        <f>IF(N815=1,ROUND((SUMIFS($M$3:$M$1200,$A$3:$A$1200,A815)+'Settings'!$B$13)*'Settings'!$B$14/100+'Settings'!$B$15,2),0)</f>
        <v>1.5</v>
      </c>
    </row>
    <row r="816">
      <c r="A816" s="3" t="inlineStr">
        <is>
          <t xml:space="preserve">#1603</t>
        </is>
      </c>
      <c r="B816" s="3" t="inlineStr">
        <is>
          <t xml:space="preserve">2026-07-03</t>
        </is>
      </c>
      <c r="C816" s="3" t="inlineStr">
        <is>
          <t xml:space="preserve">SKU-G</t>
        </is>
      </c>
      <c r="D816" s="3" t="inlineStr">
        <is>
          <t xml:space="preserve">Daily Reset Set</t>
        </is>
      </c>
      <c r="E816" s="6">
        <f>IF('Settings'!$B$11="Scenario",IFERROR(INDEX('Catalogue'!$E$3:$E$100,MATCH(C816,'Catalogue'!$B$3:$B$100,0)),F816),F816)</f>
        <v>69</v>
      </c>
      <c r="F816" s="8">
        <v>69</v>
      </c>
      <c r="G816" s="3">
        <v>1</v>
      </c>
      <c r="H816" s="6">
        <f>IF('Settings'!$B$11="Scenario",ROUND(E816*G816*IFERROR(SUMIF('Pricing &amp; promotions'!$A$6:$A$8,L816,'Pricing &amp; promotions'!$B$6:$B$8)/100,0),2),J816)</f>
        <v>0.0</v>
      </c>
      <c r="I816" s="6">
        <f>ROUND((E816*G816-H816)/IF(OR(K816=TRUE,K816="TRUE",K816="YES",K816=1),1+'Settings'!$B$6/100,1),2)</f>
        <v>57.02</v>
      </c>
      <c r="J816" s="8">
        <v>0.0</v>
      </c>
      <c r="K816" s="3" t="inlineStr">
        <is>
          <t xml:space="preserve">TRUE</t>
        </is>
      </c>
      <c r="L816" s="3"/>
      <c r="M816" s="6">
        <f>ROUND(E816*G816-H816,2)</f>
        <v>69.0</v>
      </c>
      <c r="N816" s="5">
        <f>IF(COUNTIF($A$3:A816,A816)=1,1,0)</f>
        <v>1</v>
      </c>
      <c r="O816" s="6">
        <f>IF(N816=1,ROUND((SUMIFS($M$3:$M$1200,$A$3:$A$1200,A816)+'Settings'!$B$13)*'Settings'!$B$14/100+'Settings'!$B$15,2),0)</f>
        <v>2.66</v>
      </c>
    </row>
    <row r="817">
      <c r="A817" s="3" t="inlineStr">
        <is>
          <t xml:space="preserve">#1603</t>
        </is>
      </c>
      <c r="B817" s="3" t="inlineStr">
        <is>
          <t xml:space="preserve">2026-07-03</t>
        </is>
      </c>
      <c r="C817" s="3" t="inlineStr">
        <is>
          <t xml:space="preserve">SKU-E</t>
        </is>
      </c>
      <c r="D817" s="3" t="inlineStr">
        <is>
          <t xml:space="preserve">Complete Ritual</t>
        </is>
      </c>
      <c r="E817" s="6">
        <f>IF('Settings'!$B$11="Scenario",IFERROR(INDEX('Catalogue'!$E$3:$E$100,MATCH(C817,'Catalogue'!$B$3:$B$100,0)),F817),F817)</f>
        <v>89</v>
      </c>
      <c r="F817" s="8">
        <v>89</v>
      </c>
      <c r="G817" s="3">
        <v>1</v>
      </c>
      <c r="H817" s="6">
        <f>IF('Settings'!$B$11="Scenario",ROUND(E817*G817*IFERROR(SUMIF('Pricing &amp; promotions'!$A$6:$A$8,L817,'Pricing &amp; promotions'!$B$6:$B$8)/100,0),2),J817)</f>
        <v>0.0</v>
      </c>
      <c r="I817" s="6">
        <f>ROUND((E817*G817-H817)/IF(OR(K817=TRUE,K817="TRUE",K817="YES",K817=1),1+'Settings'!$B$6/100,1),2)</f>
        <v>73.55</v>
      </c>
      <c r="J817" s="8">
        <v>0.0</v>
      </c>
      <c r="K817" s="3" t="inlineStr">
        <is>
          <t xml:space="preserve">TRUE</t>
        </is>
      </c>
      <c r="L817" s="3"/>
      <c r="M817" s="6">
        <f>ROUND(E817*G817-H817,2)</f>
        <v>89.0</v>
      </c>
      <c r="N817" s="5">
        <f>IF(COUNTIF($A$3:A817,A817)=1,1,0)</f>
        <v>0</v>
      </c>
      <c r="O817" s="6">
        <f>IF(N817=1,ROUND((SUMIFS($M$3:$M$1200,$A$3:$A$1200,A817)+'Settings'!$B$13)*'Settings'!$B$14/100+'Settings'!$B$15,2),0)</f>
        <v>0</v>
      </c>
    </row>
    <row r="818">
      <c r="A818" s="3" t="inlineStr">
        <is>
          <t xml:space="preserve">#1604</t>
        </is>
      </c>
      <c r="B818" s="3" t="inlineStr">
        <is>
          <t xml:space="preserve">2026-07-04</t>
        </is>
      </c>
      <c r="C818" s="3" t="inlineStr">
        <is>
          <t xml:space="preserve">SKU-G</t>
        </is>
      </c>
      <c r="D818" s="3" t="inlineStr">
        <is>
          <t xml:space="preserve">Daily Reset Set</t>
        </is>
      </c>
      <c r="E818" s="6">
        <f>IF('Settings'!$B$11="Scenario",IFERROR(INDEX('Catalogue'!$E$3:$E$100,MATCH(C818,'Catalogue'!$B$3:$B$100,0)),F818),F818)</f>
        <v>69</v>
      </c>
      <c r="F818" s="8">
        <v>69</v>
      </c>
      <c r="G818" s="3">
        <v>2</v>
      </c>
      <c r="H818" s="6">
        <f>IF('Settings'!$B$11="Scenario",ROUND(E818*G818*IFERROR(SUMIF('Pricing &amp; promotions'!$A$6:$A$8,L818,'Pricing &amp; promotions'!$B$6:$B$8)/100,0),2),J818)</f>
        <v>0.0</v>
      </c>
      <c r="I818" s="6">
        <f>ROUND((E818*G818-H818)/IF(OR(K818=TRUE,K818="TRUE",K818="YES",K818=1),1+'Settings'!$B$6/100,1),2)</f>
        <v>114.05</v>
      </c>
      <c r="J818" s="8">
        <v>0.0</v>
      </c>
      <c r="K818" s="3" t="inlineStr">
        <is>
          <t xml:space="preserve">TRUE</t>
        </is>
      </c>
      <c r="L818" s="3"/>
      <c r="M818" s="6">
        <f>ROUND(E818*G818-H818,2)</f>
        <v>138.0</v>
      </c>
      <c r="N818" s="5">
        <f>IF(COUNTIF($A$3:A818,A818)=1,1,0)</f>
        <v>1</v>
      </c>
      <c r="O818" s="6">
        <f>IF(N818=1,ROUND((SUMIFS($M$3:$M$1200,$A$3:$A$1200,A818)+'Settings'!$B$13)*'Settings'!$B$14/100+'Settings'!$B$15,2),0)</f>
        <v>2.36</v>
      </c>
    </row>
    <row r="819">
      <c r="A819" s="3" t="inlineStr">
        <is>
          <t xml:space="preserve">#1605</t>
        </is>
      </c>
      <c r="B819" s="3" t="inlineStr">
        <is>
          <t xml:space="preserve">2026-07-04</t>
        </is>
      </c>
      <c r="C819" s="3" t="inlineStr">
        <is>
          <t xml:space="preserve">SKU-E</t>
        </is>
      </c>
      <c r="D819" s="3" t="inlineStr">
        <is>
          <t xml:space="preserve">Complete Ritual</t>
        </is>
      </c>
      <c r="E819" s="6">
        <f>IF('Settings'!$B$11="Scenario",IFERROR(INDEX('Catalogue'!$E$3:$E$100,MATCH(C819,'Catalogue'!$B$3:$B$100,0)),F819),F819)</f>
        <v>89</v>
      </c>
      <c r="F819" s="8">
        <v>89</v>
      </c>
      <c r="G819" s="3">
        <v>1</v>
      </c>
      <c r="H819" s="6">
        <f>IF('Settings'!$B$11="Scenario",ROUND(E819*G819*IFERROR(SUMIF('Pricing &amp; promotions'!$A$6:$A$8,L819,'Pricing &amp; promotions'!$B$6:$B$8)/100,0),2),J819)</f>
        <v>0.0</v>
      </c>
      <c r="I819" s="6">
        <f>ROUND((E819*G819-H819)/IF(OR(K819=TRUE,K819="TRUE",K819="YES",K819=1),1+'Settings'!$B$6/100,1),2)</f>
        <v>73.55</v>
      </c>
      <c r="J819" s="8">
        <v>0.0</v>
      </c>
      <c r="K819" s="3" t="inlineStr">
        <is>
          <t xml:space="preserve">TRUE</t>
        </is>
      </c>
      <c r="L819" s="3"/>
      <c r="M819" s="6">
        <f>ROUND(E819*G819-H819,2)</f>
        <v>89.0</v>
      </c>
      <c r="N819" s="5">
        <f>IF(COUNTIF($A$3:A819,A819)=1,1,0)</f>
        <v>1</v>
      </c>
      <c r="O819" s="6">
        <f>IF(N819=1,ROUND((SUMIFS($M$3:$M$1200,$A$3:$A$1200,A819)+'Settings'!$B$13)*'Settings'!$B$14/100+'Settings'!$B$15,2),0)</f>
        <v>2.68</v>
      </c>
    </row>
    <row r="820">
      <c r="A820" s="3" t="inlineStr">
        <is>
          <t xml:space="preserve">#1605</t>
        </is>
      </c>
      <c r="B820" s="3" t="inlineStr">
        <is>
          <t xml:space="preserve">2026-07-04</t>
        </is>
      </c>
      <c r="C820" s="3" t="inlineStr">
        <is>
          <t xml:space="preserve">SKU-A</t>
        </is>
      </c>
      <c r="D820" s="3" t="inlineStr">
        <is>
          <t xml:space="preserve">Renewal Serum</t>
        </is>
      </c>
      <c r="E820" s="6">
        <f>IF('Settings'!$B$11="Scenario",IFERROR(INDEX('Catalogue'!$E$3:$E$100,MATCH(C820,'Catalogue'!$B$3:$B$100,0)),F820),F820)</f>
        <v>69.9</v>
      </c>
      <c r="F820" s="8">
        <v>69.9</v>
      </c>
      <c r="G820" s="3">
        <v>1</v>
      </c>
      <c r="H820" s="6">
        <f>IF('Settings'!$B$11="Scenario",ROUND(E820*G820*IFERROR(SUMIF('Pricing &amp; promotions'!$A$6:$A$8,L820,'Pricing &amp; promotions'!$B$6:$B$8)/100,0),2),J820)</f>
        <v>0.0</v>
      </c>
      <c r="I820" s="6">
        <f>ROUND((E820*G820-H820)/IF(OR(K820=TRUE,K820="TRUE",K820="YES",K820=1),1+'Settings'!$B$6/100,1),2)</f>
        <v>57.77</v>
      </c>
      <c r="J820" s="8">
        <v>0.0</v>
      </c>
      <c r="K820" s="3" t="inlineStr">
        <is>
          <t xml:space="preserve">TRUE</t>
        </is>
      </c>
      <c r="L820" s="3"/>
      <c r="M820" s="6">
        <f>ROUND(E820*G820-H820,2)</f>
        <v>69.9</v>
      </c>
      <c r="N820" s="5">
        <f>IF(COUNTIF($A$3:A820,A820)=1,1,0)</f>
        <v>0</v>
      </c>
      <c r="O820" s="6">
        <f>IF(N820=1,ROUND((SUMIFS($M$3:$M$1200,$A$3:$A$1200,A820)+'Settings'!$B$13)*'Settings'!$B$14/100+'Settings'!$B$15,2),0)</f>
        <v>0</v>
      </c>
    </row>
    <row r="821">
      <c r="A821" s="3" t="inlineStr">
        <is>
          <t xml:space="preserve">#1606</t>
        </is>
      </c>
      <c r="B821" s="3" t="inlineStr">
        <is>
          <t xml:space="preserve">2026-07-04</t>
        </is>
      </c>
      <c r="C821" s="3" t="inlineStr">
        <is>
          <t xml:space="preserve">SKU-A</t>
        </is>
      </c>
      <c r="D821" s="3" t="inlineStr">
        <is>
          <t xml:space="preserve">Renewal Serum</t>
        </is>
      </c>
      <c r="E821" s="6">
        <f>IF('Settings'!$B$11="Scenario",IFERROR(INDEX('Catalogue'!$E$3:$E$100,MATCH(C821,'Catalogue'!$B$3:$B$100,0)),F821),F821)</f>
        <v>69.9</v>
      </c>
      <c r="F821" s="8">
        <v>69.9</v>
      </c>
      <c r="G821" s="3">
        <v>1</v>
      </c>
      <c r="H821" s="6">
        <f>IF('Settings'!$B$11="Scenario",ROUND(E821*G821*IFERROR(SUMIF('Pricing &amp; promotions'!$A$6:$A$8,L821,'Pricing &amp; promotions'!$B$6:$B$8)/100,0),2),J821)</f>
        <v>6.99</v>
      </c>
      <c r="I821" s="6">
        <f>ROUND((E821*G821-H821)/IF(OR(K821=TRUE,K821="TRUE",K821="YES",K821=1),1+'Settings'!$B$6/100,1),2)</f>
        <v>51.99</v>
      </c>
      <c r="J821" s="8">
        <v>6.99</v>
      </c>
      <c r="K821" s="3" t="inlineStr">
        <is>
          <t xml:space="preserve">TRUE</t>
        </is>
      </c>
      <c r="L821" s="3" t="inlineStr">
        <is>
          <t xml:space="preserve">WELCOME10</t>
        </is>
      </c>
      <c r="M821" s="6">
        <f>ROUND(E821*G821-H821,2)</f>
        <v>62.91</v>
      </c>
      <c r="N821" s="5">
        <f>IF(COUNTIF($A$3:A821,A821)=1,1,0)</f>
        <v>1</v>
      </c>
      <c r="O821" s="6">
        <f>IF(N821=1,ROUND((SUMIFS($M$3:$M$1200,$A$3:$A$1200,A821)+'Settings'!$B$13)*'Settings'!$B$14/100+'Settings'!$B$15,2),0)</f>
        <v>2.44</v>
      </c>
    </row>
    <row r="822">
      <c r="A822" s="3" t="inlineStr">
        <is>
          <t xml:space="preserve">#1606</t>
        </is>
      </c>
      <c r="B822" s="3" t="inlineStr">
        <is>
          <t xml:space="preserve">2026-07-04</t>
        </is>
      </c>
      <c r="C822" s="3" t="inlineStr">
        <is>
          <t xml:space="preserve">SKU-E</t>
        </is>
      </c>
      <c r="D822" s="3" t="inlineStr">
        <is>
          <t xml:space="preserve">Complete Ritual</t>
        </is>
      </c>
      <c r="E822" s="6">
        <f>IF('Settings'!$B$11="Scenario",IFERROR(INDEX('Catalogue'!$E$3:$E$100,MATCH(C822,'Catalogue'!$B$3:$B$100,0)),F822),F822)</f>
        <v>89</v>
      </c>
      <c r="F822" s="8">
        <v>89</v>
      </c>
      <c r="G822" s="3">
        <v>1</v>
      </c>
      <c r="H822" s="6">
        <f>IF('Settings'!$B$11="Scenario",ROUND(E822*G822*IFERROR(SUMIF('Pricing &amp; promotions'!$A$6:$A$8,L822,'Pricing &amp; promotions'!$B$6:$B$8)/100,0),2),J822)</f>
        <v>8.9</v>
      </c>
      <c r="I822" s="6">
        <f>ROUND((E822*G822-H822)/IF(OR(K822=TRUE,K822="TRUE",K822="YES",K822=1),1+'Settings'!$B$6/100,1),2)</f>
        <v>66.2</v>
      </c>
      <c r="J822" s="8">
        <v>8.9</v>
      </c>
      <c r="K822" s="3" t="inlineStr">
        <is>
          <t xml:space="preserve">TRUE</t>
        </is>
      </c>
      <c r="L822" s="3" t="inlineStr">
        <is>
          <t xml:space="preserve">WELCOME10</t>
        </is>
      </c>
      <c r="M822" s="6">
        <f>ROUND(E822*G822-H822,2)</f>
        <v>80.1</v>
      </c>
      <c r="N822" s="5">
        <f>IF(COUNTIF($A$3:A822,A822)=1,1,0)</f>
        <v>0</v>
      </c>
      <c r="O822" s="6">
        <f>IF(N822=1,ROUND((SUMIFS($M$3:$M$1200,$A$3:$A$1200,A822)+'Settings'!$B$13)*'Settings'!$B$14/100+'Settings'!$B$15,2),0)</f>
        <v>0</v>
      </c>
    </row>
    <row r="823">
      <c r="A823" s="3" t="inlineStr">
        <is>
          <t xml:space="preserve">#1607</t>
        </is>
      </c>
      <c r="B823" s="3" t="inlineStr">
        <is>
          <t xml:space="preserve">2026-07-05</t>
        </is>
      </c>
      <c r="C823" s="3" t="inlineStr">
        <is>
          <t xml:space="preserve">SKU-B</t>
        </is>
      </c>
      <c r="D823" s="3" t="inlineStr">
        <is>
          <t xml:space="preserve">Barrier Balm</t>
        </is>
      </c>
      <c r="E823" s="6">
        <f>IF('Settings'!$B$11="Scenario",IFERROR(INDEX('Catalogue'!$E$3:$E$100,MATCH(C823,'Catalogue'!$B$3:$B$100,0)),F823),F823)</f>
        <v>19</v>
      </c>
      <c r="F823" s="8">
        <v>19</v>
      </c>
      <c r="G823" s="3">
        <v>1</v>
      </c>
      <c r="H823" s="6">
        <f>IF('Settings'!$B$11="Scenario",ROUND(E823*G823*IFERROR(SUMIF('Pricing &amp; promotions'!$A$6:$A$8,L823,'Pricing &amp; promotions'!$B$6:$B$8)/100,0),2),J823)</f>
        <v>0.0</v>
      </c>
      <c r="I823" s="6">
        <f>ROUND((E823*G823-H823)/IF(OR(K823=TRUE,K823="TRUE",K823="YES",K823=1),1+'Settings'!$B$6/100,1),2)</f>
        <v>15.7</v>
      </c>
      <c r="J823" s="8">
        <v>0.0</v>
      </c>
      <c r="K823" s="3" t="inlineStr">
        <is>
          <t xml:space="preserve">TRUE</t>
        </is>
      </c>
      <c r="L823" s="3"/>
      <c r="M823" s="6">
        <f>ROUND(E823*G823-H823,2)</f>
        <v>19.0</v>
      </c>
      <c r="N823" s="5">
        <f>IF(COUNTIF($A$3:A823,A823)=1,1,0)</f>
        <v>1</v>
      </c>
      <c r="O823" s="6">
        <f>IF(N823=1,ROUND((SUMIFS($M$3:$M$1200,$A$3:$A$1200,A823)+'Settings'!$B$13)*'Settings'!$B$14/100+'Settings'!$B$15,2),0)</f>
        <v>2.06</v>
      </c>
    </row>
    <row r="824">
      <c r="A824" s="3" t="inlineStr">
        <is>
          <t xml:space="preserve">#1607</t>
        </is>
      </c>
      <c r="B824" s="3" t="inlineStr">
        <is>
          <t xml:space="preserve">2026-07-05</t>
        </is>
      </c>
      <c r="C824" s="3" t="inlineStr">
        <is>
          <t xml:space="preserve">SKU-C</t>
        </is>
      </c>
      <c r="D824" s="3" t="inlineStr">
        <is>
          <t xml:space="preserve">Contour Stone</t>
        </is>
      </c>
      <c r="E824" s="6">
        <f>IF('Settings'!$B$11="Scenario",IFERROR(INDEX('Catalogue'!$E$3:$E$100,MATCH(C824,'Catalogue'!$B$3:$B$100,0)),F824),F824)</f>
        <v>29</v>
      </c>
      <c r="F824" s="8">
        <v>29</v>
      </c>
      <c r="G824" s="3">
        <v>1</v>
      </c>
      <c r="H824" s="6">
        <f>IF('Settings'!$B$11="Scenario",ROUND(E824*G824*IFERROR(SUMIF('Pricing &amp; promotions'!$A$6:$A$8,L824,'Pricing &amp; promotions'!$B$6:$B$8)/100,0),2),J824)</f>
        <v>0.0</v>
      </c>
      <c r="I824" s="6">
        <f>ROUND((E824*G824-H824)/IF(OR(K824=TRUE,K824="TRUE",K824="YES",K824=1),1+'Settings'!$B$6/100,1),2)</f>
        <v>23.97</v>
      </c>
      <c r="J824" s="8">
        <v>0.0</v>
      </c>
      <c r="K824" s="3" t="inlineStr">
        <is>
          <t xml:space="preserve">TRUE</t>
        </is>
      </c>
      <c r="L824" s="3"/>
      <c r="M824" s="6">
        <f>ROUND(E824*G824-H824,2)</f>
        <v>29.0</v>
      </c>
      <c r="N824" s="5">
        <f>IF(COUNTIF($A$3:A824,A824)=1,1,0)</f>
        <v>0</v>
      </c>
      <c r="O824" s="6">
        <f>IF(N824=1,ROUND((SUMIFS($M$3:$M$1200,$A$3:$A$1200,A824)+'Settings'!$B$13)*'Settings'!$B$14/100+'Settings'!$B$15,2),0)</f>
        <v>0</v>
      </c>
    </row>
    <row r="825">
      <c r="A825" s="3" t="inlineStr">
        <is>
          <t xml:space="preserve">#1607</t>
        </is>
      </c>
      <c r="B825" s="3" t="inlineStr">
        <is>
          <t xml:space="preserve">2026-07-05</t>
        </is>
      </c>
      <c r="C825" s="3" t="inlineStr">
        <is>
          <t xml:space="preserve">SKU-A</t>
        </is>
      </c>
      <c r="D825" s="3" t="inlineStr">
        <is>
          <t xml:space="preserve">Renewal Serum</t>
        </is>
      </c>
      <c r="E825" s="6">
        <f>IF('Settings'!$B$11="Scenario",IFERROR(INDEX('Catalogue'!$E$3:$E$100,MATCH(C825,'Catalogue'!$B$3:$B$100,0)),F825),F825)</f>
        <v>69.9</v>
      </c>
      <c r="F825" s="8">
        <v>69.9</v>
      </c>
      <c r="G825" s="3">
        <v>1</v>
      </c>
      <c r="H825" s="6">
        <f>IF('Settings'!$B$11="Scenario",ROUND(E825*G825*IFERROR(SUMIF('Pricing &amp; promotions'!$A$6:$A$8,L825,'Pricing &amp; promotions'!$B$6:$B$8)/100,0),2),J825)</f>
        <v>0.0</v>
      </c>
      <c r="I825" s="6">
        <f>ROUND((E825*G825-H825)/IF(OR(K825=TRUE,K825="TRUE",K825="YES",K825=1),1+'Settings'!$B$6/100,1),2)</f>
        <v>57.77</v>
      </c>
      <c r="J825" s="8">
        <v>0.0</v>
      </c>
      <c r="K825" s="3" t="inlineStr">
        <is>
          <t xml:space="preserve">TRUE</t>
        </is>
      </c>
      <c r="L825" s="3"/>
      <c r="M825" s="6">
        <f>ROUND(E825*G825-H825,2)</f>
        <v>69.9</v>
      </c>
      <c r="N825" s="5">
        <f>IF(COUNTIF($A$3:A825,A825)=1,1,0)</f>
        <v>0</v>
      </c>
      <c r="O825" s="6">
        <f>IF(N825=1,ROUND((SUMIFS($M$3:$M$1200,$A$3:$A$1200,A825)+'Settings'!$B$13)*'Settings'!$B$14/100+'Settings'!$B$15,2),0)</f>
        <v>0</v>
      </c>
    </row>
    <row r="826">
      <c r="A826" s="3" t="inlineStr">
        <is>
          <t xml:space="preserve">#1608</t>
        </is>
      </c>
      <c r="B826" s="3" t="inlineStr">
        <is>
          <t xml:space="preserve">2026-07-06</t>
        </is>
      </c>
      <c r="C826" s="3" t="inlineStr">
        <is>
          <t xml:space="preserve">SKU-C</t>
        </is>
      </c>
      <c r="D826" s="3" t="inlineStr">
        <is>
          <t xml:space="preserve">Contour Stone</t>
        </is>
      </c>
      <c r="E826" s="6">
        <f>IF('Settings'!$B$11="Scenario",IFERROR(INDEX('Catalogue'!$E$3:$E$100,MATCH(C826,'Catalogue'!$B$3:$B$100,0)),F826),F826)</f>
        <v>29</v>
      </c>
      <c r="F826" s="8">
        <v>29</v>
      </c>
      <c r="G826" s="3">
        <v>1</v>
      </c>
      <c r="H826" s="6">
        <f>IF('Settings'!$B$11="Scenario",ROUND(E826*G826*IFERROR(SUMIF('Pricing &amp; promotions'!$A$6:$A$8,L826,'Pricing &amp; promotions'!$B$6:$B$8)/100,0),2),J826)</f>
        <v>4.35</v>
      </c>
      <c r="I826" s="6">
        <f>ROUND((E826*G826-H826)/IF(OR(K826=TRUE,K826="TRUE",K826="YES",K826=1),1+'Settings'!$B$6/100,1),2)</f>
        <v>20.37</v>
      </c>
      <c r="J826" s="8">
        <v>4.35</v>
      </c>
      <c r="K826" s="3" t="inlineStr">
        <is>
          <t xml:space="preserve">TRUE</t>
        </is>
      </c>
      <c r="L826" s="3" t="inlineStr">
        <is>
          <t xml:space="preserve">SUMMER15</t>
        </is>
      </c>
      <c r="M826" s="6">
        <f>ROUND(E826*G826-H826,2)</f>
        <v>24.65</v>
      </c>
      <c r="N826" s="5">
        <f>IF(COUNTIF($A$3:A826,A826)=1,1,0)</f>
        <v>1</v>
      </c>
      <c r="O826" s="6">
        <f>IF(N826=1,ROUND((SUMIFS($M$3:$M$1200,$A$3:$A$1200,A826)+'Settings'!$B$13)*'Settings'!$B$14/100+'Settings'!$B$15,2),0)</f>
        <v>0.66</v>
      </c>
    </row>
    <row r="827">
      <c r="A827" s="3" t="inlineStr">
        <is>
          <t xml:space="preserve">#1609</t>
        </is>
      </c>
      <c r="B827" s="3" t="inlineStr">
        <is>
          <t xml:space="preserve">2026-07-06</t>
        </is>
      </c>
      <c r="C827" s="3" t="inlineStr">
        <is>
          <t xml:space="preserve">SKU-G</t>
        </is>
      </c>
      <c r="D827" s="3" t="inlineStr">
        <is>
          <t xml:space="preserve">Daily Reset Set</t>
        </is>
      </c>
      <c r="E827" s="6">
        <f>IF('Settings'!$B$11="Scenario",IFERROR(INDEX('Catalogue'!$E$3:$E$100,MATCH(C827,'Catalogue'!$B$3:$B$100,0)),F827),F827)</f>
        <v>69</v>
      </c>
      <c r="F827" s="8">
        <v>69</v>
      </c>
      <c r="G827" s="3">
        <v>1</v>
      </c>
      <c r="H827" s="6">
        <f>IF('Settings'!$B$11="Scenario",ROUND(E827*G827*IFERROR(SUMIF('Pricing &amp; promotions'!$A$6:$A$8,L827,'Pricing &amp; promotions'!$B$6:$B$8)/100,0),2),J827)</f>
        <v>13.8</v>
      </c>
      <c r="I827" s="6">
        <f>ROUND((E827*G827-H827)/IF(OR(K827=TRUE,K827="TRUE",K827="YES",K827=1),1+'Settings'!$B$6/100,1),2)</f>
        <v>45.62</v>
      </c>
      <c r="J827" s="8">
        <v>13.8</v>
      </c>
      <c r="K827" s="3" t="inlineStr">
        <is>
          <t xml:space="preserve">TRUE</t>
        </is>
      </c>
      <c r="L827" s="3" t="inlineStr">
        <is>
          <t xml:space="preserve">VIP20</t>
        </is>
      </c>
      <c r="M827" s="6">
        <f>ROUND(E827*G827-H827,2)</f>
        <v>55.2</v>
      </c>
      <c r="N827" s="5">
        <f>IF(COUNTIF($A$3:A827,A827)=1,1,0)</f>
        <v>1</v>
      </c>
      <c r="O827" s="6">
        <f>IF(N827=1,ROUND((SUMIFS($M$3:$M$1200,$A$3:$A$1200,A827)+'Settings'!$B$13)*'Settings'!$B$14/100+'Settings'!$B$15,2),0)</f>
        <v>1.12</v>
      </c>
    </row>
    <row r="828">
      <c r="A828" s="3" t="inlineStr">
        <is>
          <t xml:space="preserve">#1610</t>
        </is>
      </c>
      <c r="B828" s="3" t="inlineStr">
        <is>
          <t xml:space="preserve">2026-07-06</t>
        </is>
      </c>
      <c r="C828" s="3" t="inlineStr">
        <is>
          <t xml:space="preserve">SKU-D</t>
        </is>
      </c>
      <c r="D828" s="3" t="inlineStr">
        <is>
          <t xml:space="preserve">Daily Duo</t>
        </is>
      </c>
      <c r="E828" s="6">
        <f>IF('Settings'!$B$11="Scenario",IFERROR(INDEX('Catalogue'!$E$3:$E$100,MATCH(C828,'Catalogue'!$B$3:$B$100,0)),F828),F828)</f>
        <v>79</v>
      </c>
      <c r="F828" s="8">
        <v>79</v>
      </c>
      <c r="G828" s="3">
        <v>1</v>
      </c>
      <c r="H828" s="6">
        <f>IF('Settings'!$B$11="Scenario",ROUND(E828*G828*IFERROR(SUMIF('Pricing &amp; promotions'!$A$6:$A$8,L828,'Pricing &amp; promotions'!$B$6:$B$8)/100,0),2),J828)</f>
        <v>11.85</v>
      </c>
      <c r="I828" s="6">
        <f>ROUND((E828*G828-H828)/IF(OR(K828=TRUE,K828="TRUE",K828="YES",K828=1),1+'Settings'!$B$6/100,1),2)</f>
        <v>55.5</v>
      </c>
      <c r="J828" s="8">
        <v>11.85</v>
      </c>
      <c r="K828" s="3" t="inlineStr">
        <is>
          <t xml:space="preserve">TRUE</t>
        </is>
      </c>
      <c r="L828" s="3" t="inlineStr">
        <is>
          <t xml:space="preserve">SUMMER15</t>
        </is>
      </c>
      <c r="M828" s="6">
        <f>ROUND(E828*G828-H828,2)</f>
        <v>67.15</v>
      </c>
      <c r="N828" s="5">
        <f>IF(COUNTIF($A$3:A828,A828)=1,1,0)</f>
        <v>1</v>
      </c>
      <c r="O828" s="6">
        <f>IF(N828=1,ROUND((SUMIFS($M$3:$M$1200,$A$3:$A$1200,A828)+'Settings'!$B$13)*'Settings'!$B$14/100+'Settings'!$B$15,2),0)</f>
        <v>1.3</v>
      </c>
    </row>
    <row r="829">
      <c r="A829" s="3" t="inlineStr">
        <is>
          <t xml:space="preserve">#1611</t>
        </is>
      </c>
      <c r="B829" s="3" t="inlineStr">
        <is>
          <t xml:space="preserve">2026-07-08</t>
        </is>
      </c>
      <c r="C829" s="3" t="inlineStr">
        <is>
          <t xml:space="preserve">SKU-A</t>
        </is>
      </c>
      <c r="D829" s="3" t="inlineStr">
        <is>
          <t xml:space="preserve">Renewal Serum</t>
        </is>
      </c>
      <c r="E829" s="6">
        <f>IF('Settings'!$B$11="Scenario",IFERROR(INDEX('Catalogue'!$E$3:$E$100,MATCH(C829,'Catalogue'!$B$3:$B$100,0)),F829),F829)</f>
        <v>69.9</v>
      </c>
      <c r="F829" s="8">
        <v>69.9</v>
      </c>
      <c r="G829" s="3">
        <v>1</v>
      </c>
      <c r="H829" s="6">
        <f>IF('Settings'!$B$11="Scenario",ROUND(E829*G829*IFERROR(SUMIF('Pricing &amp; promotions'!$A$6:$A$8,L829,'Pricing &amp; promotions'!$B$6:$B$8)/100,0),2),J829)</f>
        <v>0.0</v>
      </c>
      <c r="I829" s="6">
        <f>ROUND((E829*G829-H829)/IF(OR(K829=TRUE,K829="TRUE",K829="YES",K829=1),1+'Settings'!$B$6/100,1),2)</f>
        <v>57.77</v>
      </c>
      <c r="J829" s="8">
        <v>0.0</v>
      </c>
      <c r="K829" s="3" t="inlineStr">
        <is>
          <t xml:space="preserve">TRUE</t>
        </is>
      </c>
      <c r="L829" s="3"/>
      <c r="M829" s="6">
        <f>ROUND(E829*G829-H829,2)</f>
        <v>69.9</v>
      </c>
      <c r="N829" s="5">
        <f>IF(COUNTIF($A$3:A829,A829)=1,1,0)</f>
        <v>1</v>
      </c>
      <c r="O829" s="6">
        <f>IF(N829=1,ROUND((SUMIFS($M$3:$M$1200,$A$3:$A$1200,A829)+'Settings'!$B$13)*'Settings'!$B$14/100+'Settings'!$B$15,2),0)</f>
        <v>1.34</v>
      </c>
    </row>
    <row r="830">
      <c r="A830" s="3" t="inlineStr">
        <is>
          <t xml:space="preserve">#1612</t>
        </is>
      </c>
      <c r="B830" s="3" t="inlineStr">
        <is>
          <t xml:space="preserve">2026-07-08</t>
        </is>
      </c>
      <c r="C830" s="3" t="inlineStr">
        <is>
          <t xml:space="preserve">SKU-G</t>
        </is>
      </c>
      <c r="D830" s="3" t="inlineStr">
        <is>
          <t xml:space="preserve">Daily Reset Set</t>
        </is>
      </c>
      <c r="E830" s="6">
        <f>IF('Settings'!$B$11="Scenario",IFERROR(INDEX('Catalogue'!$E$3:$E$100,MATCH(C830,'Catalogue'!$B$3:$B$100,0)),F830),F830)</f>
        <v>69</v>
      </c>
      <c r="F830" s="8">
        <v>69</v>
      </c>
      <c r="G830" s="3">
        <v>1</v>
      </c>
      <c r="H830" s="6">
        <f>IF('Settings'!$B$11="Scenario",ROUND(E830*G830*IFERROR(SUMIF('Pricing &amp; promotions'!$A$6:$A$8,L830,'Pricing &amp; promotions'!$B$6:$B$8)/100,0),2),J830)</f>
        <v>0.0</v>
      </c>
      <c r="I830" s="6">
        <f>ROUND((E830*G830-H830)/IF(OR(K830=TRUE,K830="TRUE",K830="YES",K830=1),1+'Settings'!$B$6/100,1),2)</f>
        <v>57.02</v>
      </c>
      <c r="J830" s="8">
        <v>0.0</v>
      </c>
      <c r="K830" s="3" t="inlineStr">
        <is>
          <t xml:space="preserve">TRUE</t>
        </is>
      </c>
      <c r="L830" s="3"/>
      <c r="M830" s="6">
        <f>ROUND(E830*G830-H830,2)</f>
        <v>69.0</v>
      </c>
      <c r="N830" s="5">
        <f>IF(COUNTIF($A$3:A830,A830)=1,1,0)</f>
        <v>1</v>
      </c>
      <c r="O830" s="6">
        <f>IF(N830=1,ROUND((SUMIFS($M$3:$M$1200,$A$3:$A$1200,A830)+'Settings'!$B$13)*'Settings'!$B$14/100+'Settings'!$B$15,2),0)</f>
        <v>1.33</v>
      </c>
    </row>
    <row r="831">
      <c r="A831" s="3" t="inlineStr">
        <is>
          <t xml:space="preserve">#1613</t>
        </is>
      </c>
      <c r="B831" s="3" t="inlineStr">
        <is>
          <t xml:space="preserve">2026-07-09</t>
        </is>
      </c>
      <c r="C831" s="3" t="inlineStr">
        <is>
          <t xml:space="preserve">SKU-B</t>
        </is>
      </c>
      <c r="D831" s="3" t="inlineStr">
        <is>
          <t xml:space="preserve">Barrier Balm</t>
        </is>
      </c>
      <c r="E831" s="6">
        <f>IF('Settings'!$B$11="Scenario",IFERROR(INDEX('Catalogue'!$E$3:$E$100,MATCH(C831,'Catalogue'!$B$3:$B$100,0)),F831),F831)</f>
        <v>19</v>
      </c>
      <c r="F831" s="8">
        <v>19</v>
      </c>
      <c r="G831" s="3">
        <v>1</v>
      </c>
      <c r="H831" s="6">
        <f>IF('Settings'!$B$11="Scenario",ROUND(E831*G831*IFERROR(SUMIF('Pricing &amp; promotions'!$A$6:$A$8,L831,'Pricing &amp; promotions'!$B$6:$B$8)/100,0),2),J831)</f>
        <v>2.85</v>
      </c>
      <c r="I831" s="6">
        <f>ROUND((E831*G831-H831)/IF(OR(K831=TRUE,K831="TRUE",K831="YES",K831=1),1+'Settings'!$B$6/100,1),2)</f>
        <v>13.35</v>
      </c>
      <c r="J831" s="8">
        <v>2.85</v>
      </c>
      <c r="K831" s="3" t="inlineStr">
        <is>
          <t xml:space="preserve">TRUE</t>
        </is>
      </c>
      <c r="L831" s="3" t="inlineStr">
        <is>
          <t xml:space="preserve">SUMMER15</t>
        </is>
      </c>
      <c r="M831" s="6">
        <f>ROUND(E831*G831-H831,2)</f>
        <v>16.15</v>
      </c>
      <c r="N831" s="5">
        <f>IF(COUNTIF($A$3:A831,A831)=1,1,0)</f>
        <v>1</v>
      </c>
      <c r="O831" s="6">
        <f>IF(N831=1,ROUND((SUMIFS($M$3:$M$1200,$A$3:$A$1200,A831)+'Settings'!$B$13)*'Settings'!$B$14/100+'Settings'!$B$15,2),0)</f>
        <v>0.54</v>
      </c>
    </row>
    <row r="832">
      <c r="A832" s="3" t="inlineStr">
        <is>
          <t xml:space="preserve">#1614</t>
        </is>
      </c>
      <c r="B832" s="3" t="inlineStr">
        <is>
          <t xml:space="preserve">2026-07-10</t>
        </is>
      </c>
      <c r="C832" s="3" t="inlineStr">
        <is>
          <t xml:space="preserve">SKU-A</t>
        </is>
      </c>
      <c r="D832" s="3" t="inlineStr">
        <is>
          <t xml:space="preserve">Renewal Serum</t>
        </is>
      </c>
      <c r="E832" s="6">
        <f>IF('Settings'!$B$11="Scenario",IFERROR(INDEX('Catalogue'!$E$3:$E$100,MATCH(C832,'Catalogue'!$B$3:$B$100,0)),F832),F832)</f>
        <v>69.9</v>
      </c>
      <c r="F832" s="8">
        <v>69.9</v>
      </c>
      <c r="G832" s="3">
        <v>1</v>
      </c>
      <c r="H832" s="6">
        <f>IF('Settings'!$B$11="Scenario",ROUND(E832*G832*IFERROR(SUMIF('Pricing &amp; promotions'!$A$6:$A$8,L832,'Pricing &amp; promotions'!$B$6:$B$8)/100,0),2),J832)</f>
        <v>0.0</v>
      </c>
      <c r="I832" s="6">
        <f>ROUND((E832*G832-H832)/IF(OR(K832=TRUE,K832="TRUE",K832="YES",K832=1),1+'Settings'!$B$6/100,1),2)</f>
        <v>57.77</v>
      </c>
      <c r="J832" s="8">
        <v>0.0</v>
      </c>
      <c r="K832" s="3" t="inlineStr">
        <is>
          <t xml:space="preserve">TRUE</t>
        </is>
      </c>
      <c r="L832" s="3"/>
      <c r="M832" s="6">
        <f>ROUND(E832*G832-H832,2)</f>
        <v>69.9</v>
      </c>
      <c r="N832" s="5">
        <f>IF(COUNTIF($A$3:A832,A832)=1,1,0)</f>
        <v>1</v>
      </c>
      <c r="O832" s="6">
        <f>IF(N832=1,ROUND((SUMIFS($M$3:$M$1200,$A$3:$A$1200,A832)+'Settings'!$B$13)*'Settings'!$B$14/100+'Settings'!$B$15,2),0)</f>
        <v>1.34</v>
      </c>
    </row>
    <row r="833">
      <c r="A833" s="3" t="inlineStr">
        <is>
          <t xml:space="preserve">#1615</t>
        </is>
      </c>
      <c r="B833" s="3" t="inlineStr">
        <is>
          <t xml:space="preserve">2026-07-10</t>
        </is>
      </c>
      <c r="C833" s="3" t="inlineStr">
        <is>
          <t xml:space="preserve">SKU-A</t>
        </is>
      </c>
      <c r="D833" s="3" t="inlineStr">
        <is>
          <t xml:space="preserve">Renewal Serum</t>
        </is>
      </c>
      <c r="E833" s="6">
        <f>IF('Settings'!$B$11="Scenario",IFERROR(INDEX('Catalogue'!$E$3:$E$100,MATCH(C833,'Catalogue'!$B$3:$B$100,0)),F833),F833)</f>
        <v>69.9</v>
      </c>
      <c r="F833" s="8">
        <v>69.9</v>
      </c>
      <c r="G833" s="3">
        <v>2</v>
      </c>
      <c r="H833" s="6">
        <f>IF('Settings'!$B$11="Scenario",ROUND(E833*G833*IFERROR(SUMIF('Pricing &amp; promotions'!$A$6:$A$8,L833,'Pricing &amp; promotions'!$B$6:$B$8)/100,0),2),J833)</f>
        <v>0.0</v>
      </c>
      <c r="I833" s="6">
        <f>ROUND((E833*G833-H833)/IF(OR(K833=TRUE,K833="TRUE",K833="YES",K833=1),1+'Settings'!$B$6/100,1),2)</f>
        <v>115.54</v>
      </c>
      <c r="J833" s="8">
        <v>0.0</v>
      </c>
      <c r="K833" s="3" t="inlineStr">
        <is>
          <t xml:space="preserve">TRUE</t>
        </is>
      </c>
      <c r="L833" s="3"/>
      <c r="M833" s="6">
        <f>ROUND(E833*G833-H833,2)</f>
        <v>139.8</v>
      </c>
      <c r="N833" s="5">
        <f>IF(COUNTIF($A$3:A833,A833)=1,1,0)</f>
        <v>1</v>
      </c>
      <c r="O833" s="6">
        <f>IF(N833=1,ROUND((SUMIFS($M$3:$M$1200,$A$3:$A$1200,A833)+'Settings'!$B$13)*'Settings'!$B$14/100+'Settings'!$B$15,2),0)</f>
        <v>3.73</v>
      </c>
    </row>
    <row r="834">
      <c r="A834" s="3" t="inlineStr">
        <is>
          <t xml:space="preserve">#1615</t>
        </is>
      </c>
      <c r="B834" s="3" t="inlineStr">
        <is>
          <t xml:space="preserve">2026-07-10</t>
        </is>
      </c>
      <c r="C834" s="3" t="inlineStr">
        <is>
          <t xml:space="preserve">SKU-E</t>
        </is>
      </c>
      <c r="D834" s="3" t="inlineStr">
        <is>
          <t xml:space="preserve">Complete Ritual</t>
        </is>
      </c>
      <c r="E834" s="6">
        <f>IF('Settings'!$B$11="Scenario",IFERROR(INDEX('Catalogue'!$E$3:$E$100,MATCH(C834,'Catalogue'!$B$3:$B$100,0)),F834),F834)</f>
        <v>89</v>
      </c>
      <c r="F834" s="8">
        <v>89</v>
      </c>
      <c r="G834" s="3">
        <v>1</v>
      </c>
      <c r="H834" s="6">
        <f>IF('Settings'!$B$11="Scenario",ROUND(E834*G834*IFERROR(SUMIF('Pricing &amp; promotions'!$A$6:$A$8,L834,'Pricing &amp; promotions'!$B$6:$B$8)/100,0),2),J834)</f>
        <v>0.0</v>
      </c>
      <c r="I834" s="6">
        <f>ROUND((E834*G834-H834)/IF(OR(K834=TRUE,K834="TRUE",K834="YES",K834=1),1+'Settings'!$B$6/100,1),2)</f>
        <v>73.55</v>
      </c>
      <c r="J834" s="8">
        <v>0.0</v>
      </c>
      <c r="K834" s="3" t="inlineStr">
        <is>
          <t xml:space="preserve">TRUE</t>
        </is>
      </c>
      <c r="L834" s="3"/>
      <c r="M834" s="6">
        <f>ROUND(E834*G834-H834,2)</f>
        <v>89.0</v>
      </c>
      <c r="N834" s="5">
        <f>IF(COUNTIF($A$3:A834,A834)=1,1,0)</f>
        <v>0</v>
      </c>
      <c r="O834" s="6">
        <f>IF(N834=1,ROUND((SUMIFS($M$3:$M$1200,$A$3:$A$1200,A834)+'Settings'!$B$13)*'Settings'!$B$14/100+'Settings'!$B$15,2),0)</f>
        <v>0</v>
      </c>
    </row>
    <row r="835">
      <c r="A835" s="3" t="inlineStr">
        <is>
          <t xml:space="preserve">#1616</t>
        </is>
      </c>
      <c r="B835" s="3" t="inlineStr">
        <is>
          <t xml:space="preserve">2026-07-11</t>
        </is>
      </c>
      <c r="C835" s="3" t="inlineStr">
        <is>
          <t xml:space="preserve">SKU-A</t>
        </is>
      </c>
      <c r="D835" s="3" t="inlineStr">
        <is>
          <t xml:space="preserve">Renewal Serum</t>
        </is>
      </c>
      <c r="E835" s="6">
        <f>IF('Settings'!$B$11="Scenario",IFERROR(INDEX('Catalogue'!$E$3:$E$100,MATCH(C835,'Catalogue'!$B$3:$B$100,0)),F835),F835)</f>
        <v>69.9</v>
      </c>
      <c r="F835" s="8">
        <v>69.9</v>
      </c>
      <c r="G835" s="3">
        <v>1</v>
      </c>
      <c r="H835" s="6">
        <f>IF('Settings'!$B$11="Scenario",ROUND(E835*G835*IFERROR(SUMIF('Pricing &amp; promotions'!$A$6:$A$8,L835,'Pricing &amp; promotions'!$B$6:$B$8)/100,0),2),J835)</f>
        <v>0.0</v>
      </c>
      <c r="I835" s="6">
        <f>ROUND((E835*G835-H835)/IF(OR(K835=TRUE,K835="TRUE",K835="YES",K835=1),1+'Settings'!$B$6/100,1),2)</f>
        <v>57.77</v>
      </c>
      <c r="J835" s="8">
        <v>0.0</v>
      </c>
      <c r="K835" s="3" t="inlineStr">
        <is>
          <t xml:space="preserve">TRUE</t>
        </is>
      </c>
      <c r="L835" s="3"/>
      <c r="M835" s="6">
        <f>ROUND(E835*G835-H835,2)</f>
        <v>69.9</v>
      </c>
      <c r="N835" s="5">
        <f>IF(COUNTIF($A$3:A835,A835)=1,1,0)</f>
        <v>1</v>
      </c>
      <c r="O835" s="6">
        <f>IF(N835=1,ROUND((SUMIFS($M$3:$M$1200,$A$3:$A$1200,A835)+'Settings'!$B$13)*'Settings'!$B$14/100+'Settings'!$B$15,2),0)</f>
        <v>1.34</v>
      </c>
    </row>
    <row r="836">
      <c r="A836" s="3" t="inlineStr">
        <is>
          <t xml:space="preserve">#1617</t>
        </is>
      </c>
      <c r="B836" s="3" t="inlineStr">
        <is>
          <t xml:space="preserve">2026-07-11</t>
        </is>
      </c>
      <c r="C836" s="3" t="inlineStr">
        <is>
          <t xml:space="preserve">SKU-F</t>
        </is>
      </c>
      <c r="D836" s="3" t="inlineStr">
        <is>
          <t xml:space="preserve">Cloud Cleanser</t>
        </is>
      </c>
      <c r="E836" s="6">
        <f>IF('Settings'!$B$11="Scenario",IFERROR(INDEX('Catalogue'!$E$3:$E$100,MATCH(C836,'Catalogue'!$B$3:$B$100,0)),F836),F836)</f>
        <v>34</v>
      </c>
      <c r="F836" s="8">
        <v>34</v>
      </c>
      <c r="G836" s="3">
        <v>1</v>
      </c>
      <c r="H836" s="6">
        <f>IF('Settings'!$B$11="Scenario",ROUND(E836*G836*IFERROR(SUMIF('Pricing &amp; promotions'!$A$6:$A$8,L836,'Pricing &amp; promotions'!$B$6:$B$8)/100,0),2),J836)</f>
        <v>5.1</v>
      </c>
      <c r="I836" s="6">
        <f>ROUND((E836*G836-H836)/IF(OR(K836=TRUE,K836="TRUE",K836="YES",K836=1),1+'Settings'!$B$6/100,1),2)</f>
        <v>23.88</v>
      </c>
      <c r="J836" s="8">
        <v>5.1</v>
      </c>
      <c r="K836" s="3" t="inlineStr">
        <is>
          <t xml:space="preserve">TRUE</t>
        </is>
      </c>
      <c r="L836" s="3" t="inlineStr">
        <is>
          <t xml:space="preserve">SUMMER15</t>
        </is>
      </c>
      <c r="M836" s="6">
        <f>ROUND(E836*G836-H836,2)</f>
        <v>28.9</v>
      </c>
      <c r="N836" s="5">
        <f>IF(COUNTIF($A$3:A836,A836)=1,1,0)</f>
        <v>1</v>
      </c>
      <c r="O836" s="6">
        <f>IF(N836=1,ROUND((SUMIFS($M$3:$M$1200,$A$3:$A$1200,A836)+'Settings'!$B$13)*'Settings'!$B$14/100+'Settings'!$B$15,2),0)</f>
        <v>0.73</v>
      </c>
    </row>
    <row r="837">
      <c r="A837" s="3" t="inlineStr">
        <is>
          <t xml:space="preserve">#1618</t>
        </is>
      </c>
      <c r="B837" s="3" t="inlineStr">
        <is>
          <t xml:space="preserve">2026-07-12</t>
        </is>
      </c>
      <c r="C837" s="3" t="inlineStr">
        <is>
          <t xml:space="preserve">SKU-A</t>
        </is>
      </c>
      <c r="D837" s="3" t="inlineStr">
        <is>
          <t xml:space="preserve">Renewal Serum</t>
        </is>
      </c>
      <c r="E837" s="6">
        <f>IF('Settings'!$B$11="Scenario",IFERROR(INDEX('Catalogue'!$E$3:$E$100,MATCH(C837,'Catalogue'!$B$3:$B$100,0)),F837),F837)</f>
        <v>69.9</v>
      </c>
      <c r="F837" s="8">
        <v>69.9</v>
      </c>
      <c r="G837" s="3">
        <v>2</v>
      </c>
      <c r="H837" s="6">
        <f>IF('Settings'!$B$11="Scenario",ROUND(E837*G837*IFERROR(SUMIF('Pricing &amp; promotions'!$A$6:$A$8,L837,'Pricing &amp; promotions'!$B$6:$B$8)/100,0),2),J837)</f>
        <v>0.0</v>
      </c>
      <c r="I837" s="6">
        <f>ROUND((E837*G837-H837)/IF(OR(K837=TRUE,K837="TRUE",K837="YES",K837=1),1+'Settings'!$B$6/100,1),2)</f>
        <v>115.54</v>
      </c>
      <c r="J837" s="8">
        <v>0.0</v>
      </c>
      <c r="K837" s="3" t="inlineStr">
        <is>
          <t xml:space="preserve">TRUE</t>
        </is>
      </c>
      <c r="L837" s="3"/>
      <c r="M837" s="6">
        <f>ROUND(E837*G837-H837,2)</f>
        <v>139.8</v>
      </c>
      <c r="N837" s="5">
        <f>IF(COUNTIF($A$3:A837,A837)=1,1,0)</f>
        <v>1</v>
      </c>
      <c r="O837" s="6">
        <f>IF(N837=1,ROUND((SUMIFS($M$3:$M$1200,$A$3:$A$1200,A837)+'Settings'!$B$13)*'Settings'!$B$14/100+'Settings'!$B$15,2),0)</f>
        <v>2.39</v>
      </c>
    </row>
    <row r="838">
      <c r="A838" s="3" t="inlineStr">
        <is>
          <t xml:space="preserve">#1619</t>
        </is>
      </c>
      <c r="B838" s="3" t="inlineStr">
        <is>
          <t xml:space="preserve">2026-07-12</t>
        </is>
      </c>
      <c r="C838" s="3" t="inlineStr">
        <is>
          <t xml:space="preserve">SKU-G</t>
        </is>
      </c>
      <c r="D838" s="3" t="inlineStr">
        <is>
          <t xml:space="preserve">Daily Reset Set</t>
        </is>
      </c>
      <c r="E838" s="6">
        <f>IF('Settings'!$B$11="Scenario",IFERROR(INDEX('Catalogue'!$E$3:$E$100,MATCH(C838,'Catalogue'!$B$3:$B$100,0)),F838),F838)</f>
        <v>69</v>
      </c>
      <c r="F838" s="8">
        <v>69</v>
      </c>
      <c r="G838" s="3">
        <v>1</v>
      </c>
      <c r="H838" s="6">
        <f>IF('Settings'!$B$11="Scenario",ROUND(E838*G838*IFERROR(SUMIF('Pricing &amp; promotions'!$A$6:$A$8,L838,'Pricing &amp; promotions'!$B$6:$B$8)/100,0),2),J838)</f>
        <v>10.35</v>
      </c>
      <c r="I838" s="6">
        <f>ROUND((E838*G838-H838)/IF(OR(K838=TRUE,K838="TRUE",K838="YES",K838=1),1+'Settings'!$B$6/100,1),2)</f>
        <v>48.47</v>
      </c>
      <c r="J838" s="8">
        <v>10.35</v>
      </c>
      <c r="K838" s="3" t="inlineStr">
        <is>
          <t xml:space="preserve">TRUE</t>
        </is>
      </c>
      <c r="L838" s="3" t="inlineStr">
        <is>
          <t xml:space="preserve">SUMMER15</t>
        </is>
      </c>
      <c r="M838" s="6">
        <f>ROUND(E838*G838-H838,2)</f>
        <v>58.65</v>
      </c>
      <c r="N838" s="5">
        <f>IF(COUNTIF($A$3:A838,A838)=1,1,0)</f>
        <v>1</v>
      </c>
      <c r="O838" s="6">
        <f>IF(N838=1,ROUND((SUMIFS($M$3:$M$1200,$A$3:$A$1200,A838)+'Settings'!$B$13)*'Settings'!$B$14/100+'Settings'!$B$15,2),0)</f>
        <v>1.17</v>
      </c>
    </row>
    <row r="839">
      <c r="A839" s="3" t="inlineStr">
        <is>
          <t xml:space="preserve">#1620</t>
        </is>
      </c>
      <c r="B839" s="3" t="inlineStr">
        <is>
          <t xml:space="preserve">2026-07-12</t>
        </is>
      </c>
      <c r="C839" s="3" t="inlineStr">
        <is>
          <t xml:space="preserve">SKU-A</t>
        </is>
      </c>
      <c r="D839" s="3" t="inlineStr">
        <is>
          <t xml:space="preserve">Renewal Serum</t>
        </is>
      </c>
      <c r="E839" s="6">
        <f>IF('Settings'!$B$11="Scenario",IFERROR(INDEX('Catalogue'!$E$3:$E$100,MATCH(C839,'Catalogue'!$B$3:$B$100,0)),F839),F839)</f>
        <v>69.9</v>
      </c>
      <c r="F839" s="8">
        <v>69.9</v>
      </c>
      <c r="G839" s="3">
        <v>2</v>
      </c>
      <c r="H839" s="6">
        <f>IF('Settings'!$B$11="Scenario",ROUND(E839*G839*IFERROR(SUMIF('Pricing &amp; promotions'!$A$6:$A$8,L839,'Pricing &amp; promotions'!$B$6:$B$8)/100,0),2),J839)</f>
        <v>0.0</v>
      </c>
      <c r="I839" s="6">
        <f>ROUND((E839*G839-H839)/IF(OR(K839=TRUE,K839="TRUE",K839="YES",K839=1),1+'Settings'!$B$6/100,1),2)</f>
        <v>115.54</v>
      </c>
      <c r="J839" s="8">
        <v>0.0</v>
      </c>
      <c r="K839" s="3" t="inlineStr">
        <is>
          <t xml:space="preserve">TRUE</t>
        </is>
      </c>
      <c r="L839" s="3"/>
      <c r="M839" s="6">
        <f>ROUND(E839*G839-H839,2)</f>
        <v>139.8</v>
      </c>
      <c r="N839" s="5">
        <f>IF(COUNTIF($A$3:A839,A839)=1,1,0)</f>
        <v>1</v>
      </c>
      <c r="O839" s="6">
        <f>IF(N839=1,ROUND((SUMIFS($M$3:$M$1200,$A$3:$A$1200,A839)+'Settings'!$B$13)*'Settings'!$B$14/100+'Settings'!$B$15,2),0)</f>
        <v>2.9</v>
      </c>
    </row>
    <row r="840">
      <c r="A840" s="3" t="inlineStr">
        <is>
          <t xml:space="preserve">#1620</t>
        </is>
      </c>
      <c r="B840" s="3" t="inlineStr">
        <is>
          <t xml:space="preserve">2026-07-12</t>
        </is>
      </c>
      <c r="C840" s="3" t="inlineStr">
        <is>
          <t xml:space="preserve">SKU-F</t>
        </is>
      </c>
      <c r="D840" s="3" t="inlineStr">
        <is>
          <t xml:space="preserve">Cloud Cleanser</t>
        </is>
      </c>
      <c r="E840" s="6">
        <f>IF('Settings'!$B$11="Scenario",IFERROR(INDEX('Catalogue'!$E$3:$E$100,MATCH(C840,'Catalogue'!$B$3:$B$100,0)),F840),F840)</f>
        <v>34</v>
      </c>
      <c r="F840" s="8">
        <v>34</v>
      </c>
      <c r="G840" s="3">
        <v>1</v>
      </c>
      <c r="H840" s="6">
        <f>IF('Settings'!$B$11="Scenario",ROUND(E840*G840*IFERROR(SUMIF('Pricing &amp; promotions'!$A$6:$A$8,L840,'Pricing &amp; promotions'!$B$6:$B$8)/100,0),2),J840)</f>
        <v>0.0</v>
      </c>
      <c r="I840" s="6">
        <f>ROUND((E840*G840-H840)/IF(OR(K840=TRUE,K840="TRUE",K840="YES",K840=1),1+'Settings'!$B$6/100,1),2)</f>
        <v>28.1</v>
      </c>
      <c r="J840" s="8">
        <v>0.0</v>
      </c>
      <c r="K840" s="3" t="inlineStr">
        <is>
          <t xml:space="preserve">TRUE</t>
        </is>
      </c>
      <c r="L840" s="3"/>
      <c r="M840" s="6">
        <f>ROUND(E840*G840-H840,2)</f>
        <v>34.0</v>
      </c>
      <c r="N840" s="5">
        <f>IF(COUNTIF($A$3:A840,A840)=1,1,0)</f>
        <v>0</v>
      </c>
      <c r="O840" s="6">
        <f>IF(N840=1,ROUND((SUMIFS($M$3:$M$1200,$A$3:$A$1200,A840)+'Settings'!$B$13)*'Settings'!$B$14/100+'Settings'!$B$15,2),0)</f>
        <v>0</v>
      </c>
    </row>
    <row r="841">
      <c r="A841" s="3" t="inlineStr">
        <is>
          <t xml:space="preserve">#1621</t>
        </is>
      </c>
      <c r="B841" s="3" t="inlineStr">
        <is>
          <t xml:space="preserve">2026-07-13</t>
        </is>
      </c>
      <c r="C841" s="3" t="inlineStr">
        <is>
          <t xml:space="preserve">SKU-A</t>
        </is>
      </c>
      <c r="D841" s="3" t="inlineStr">
        <is>
          <t xml:space="preserve">Renewal Serum</t>
        </is>
      </c>
      <c r="E841" s="6">
        <f>IF('Settings'!$B$11="Scenario",IFERROR(INDEX('Catalogue'!$E$3:$E$100,MATCH(C841,'Catalogue'!$B$3:$B$100,0)),F841),F841)</f>
        <v>69.9</v>
      </c>
      <c r="F841" s="8">
        <v>69.9</v>
      </c>
      <c r="G841" s="3">
        <v>1</v>
      </c>
      <c r="H841" s="6">
        <f>IF('Settings'!$B$11="Scenario",ROUND(E841*G841*IFERROR(SUMIF('Pricing &amp; promotions'!$A$6:$A$8,L841,'Pricing &amp; promotions'!$B$6:$B$8)/100,0),2),J841)</f>
        <v>6.99</v>
      </c>
      <c r="I841" s="6">
        <f>ROUND((E841*G841-H841)/IF(OR(K841=TRUE,K841="TRUE",K841="YES",K841=1),1+'Settings'!$B$6/100,1),2)</f>
        <v>51.99</v>
      </c>
      <c r="J841" s="8">
        <v>6.99</v>
      </c>
      <c r="K841" s="3" t="inlineStr">
        <is>
          <t xml:space="preserve">TRUE</t>
        </is>
      </c>
      <c r="L841" s="3" t="inlineStr">
        <is>
          <t xml:space="preserve">WELCOME10</t>
        </is>
      </c>
      <c r="M841" s="6">
        <f>ROUND(E841*G841-H841,2)</f>
        <v>62.91</v>
      </c>
      <c r="N841" s="5">
        <f>IF(COUNTIF($A$3:A841,A841)=1,1,0)</f>
        <v>1</v>
      </c>
      <c r="O841" s="6">
        <f>IF(N841=1,ROUND((SUMIFS($M$3:$M$1200,$A$3:$A$1200,A841)+'Settings'!$B$13)*'Settings'!$B$14/100+'Settings'!$B$15,2),0)</f>
        <v>1.49</v>
      </c>
    </row>
    <row r="842">
      <c r="A842" s="3" t="inlineStr">
        <is>
          <t xml:space="preserve">#1621</t>
        </is>
      </c>
      <c r="B842" s="3" t="inlineStr">
        <is>
          <t xml:space="preserve">2026-07-13</t>
        </is>
      </c>
      <c r="C842" s="3" t="inlineStr">
        <is>
          <t xml:space="preserve">SKU-B</t>
        </is>
      </c>
      <c r="D842" s="3" t="inlineStr">
        <is>
          <t xml:space="preserve">Barrier Balm</t>
        </is>
      </c>
      <c r="E842" s="6">
        <f>IF('Settings'!$B$11="Scenario",IFERROR(INDEX('Catalogue'!$E$3:$E$100,MATCH(C842,'Catalogue'!$B$3:$B$100,0)),F842),F842)</f>
        <v>19</v>
      </c>
      <c r="F842" s="8">
        <v>19</v>
      </c>
      <c r="G842" s="3">
        <v>1</v>
      </c>
      <c r="H842" s="6">
        <f>IF('Settings'!$B$11="Scenario",ROUND(E842*G842*IFERROR(SUMIF('Pricing &amp; promotions'!$A$6:$A$8,L842,'Pricing &amp; promotions'!$B$6:$B$8)/100,0),2),J842)</f>
        <v>1.9</v>
      </c>
      <c r="I842" s="6">
        <f>ROUND((E842*G842-H842)/IF(OR(K842=TRUE,K842="TRUE",K842="YES",K842=1),1+'Settings'!$B$6/100,1),2)</f>
        <v>14.13</v>
      </c>
      <c r="J842" s="8">
        <v>1.9</v>
      </c>
      <c r="K842" s="3" t="inlineStr">
        <is>
          <t xml:space="preserve">TRUE</t>
        </is>
      </c>
      <c r="L842" s="3" t="inlineStr">
        <is>
          <t xml:space="preserve">WELCOME10</t>
        </is>
      </c>
      <c r="M842" s="6">
        <f>ROUND(E842*G842-H842,2)</f>
        <v>17.1</v>
      </c>
      <c r="N842" s="5">
        <f>IF(COUNTIF($A$3:A842,A842)=1,1,0)</f>
        <v>0</v>
      </c>
      <c r="O842" s="6">
        <f>IF(N842=1,ROUND((SUMIFS($M$3:$M$1200,$A$3:$A$1200,A842)+'Settings'!$B$13)*'Settings'!$B$14/100+'Settings'!$B$15,2),0)</f>
        <v>0</v>
      </c>
    </row>
    <row r="843">
      <c r="A843" s="3" t="inlineStr">
        <is>
          <t xml:space="preserve">#1622</t>
        </is>
      </c>
      <c r="B843" s="3" t="inlineStr">
        <is>
          <t xml:space="preserve">2026-07-13</t>
        </is>
      </c>
      <c r="C843" s="3" t="inlineStr">
        <is>
          <t xml:space="preserve">SKU-E</t>
        </is>
      </c>
      <c r="D843" s="3" t="inlineStr">
        <is>
          <t xml:space="preserve">Complete Ritual</t>
        </is>
      </c>
      <c r="E843" s="6">
        <f>IF('Settings'!$B$11="Scenario",IFERROR(INDEX('Catalogue'!$E$3:$E$100,MATCH(C843,'Catalogue'!$B$3:$B$100,0)),F843),F843)</f>
        <v>89</v>
      </c>
      <c r="F843" s="8">
        <v>89</v>
      </c>
      <c r="G843" s="3">
        <v>1</v>
      </c>
      <c r="H843" s="6">
        <f>IF('Settings'!$B$11="Scenario",ROUND(E843*G843*IFERROR(SUMIF('Pricing &amp; promotions'!$A$6:$A$8,L843,'Pricing &amp; promotions'!$B$6:$B$8)/100,0),2),J843)</f>
        <v>0.0</v>
      </c>
      <c r="I843" s="6">
        <f>ROUND((E843*G843-H843)/IF(OR(K843=TRUE,K843="TRUE",K843="YES",K843=1),1+'Settings'!$B$6/100,1),2)</f>
        <v>73.55</v>
      </c>
      <c r="J843" s="8">
        <v>0.0</v>
      </c>
      <c r="K843" s="3" t="inlineStr">
        <is>
          <t xml:space="preserve">TRUE</t>
        </is>
      </c>
      <c r="L843" s="3"/>
      <c r="M843" s="6">
        <f>ROUND(E843*G843-H843,2)</f>
        <v>89.0</v>
      </c>
      <c r="N843" s="5">
        <f>IF(COUNTIF($A$3:A843,A843)=1,1,0)</f>
        <v>1</v>
      </c>
      <c r="O843" s="6">
        <f>IF(N843=1,ROUND((SUMIFS($M$3:$M$1200,$A$3:$A$1200,A843)+'Settings'!$B$13)*'Settings'!$B$14/100+'Settings'!$B$15,2),0)</f>
        <v>1.63</v>
      </c>
    </row>
    <row r="844">
      <c r="A844" s="3" t="inlineStr">
        <is>
          <t xml:space="preserve">#1623</t>
        </is>
      </c>
      <c r="B844" s="3" t="inlineStr">
        <is>
          <t xml:space="preserve">2026-07-13</t>
        </is>
      </c>
      <c r="C844" s="3" t="inlineStr">
        <is>
          <t xml:space="preserve">SKU-A</t>
        </is>
      </c>
      <c r="D844" s="3" t="inlineStr">
        <is>
          <t xml:space="preserve">Renewal Serum</t>
        </is>
      </c>
      <c r="E844" s="6">
        <f>IF('Settings'!$B$11="Scenario",IFERROR(INDEX('Catalogue'!$E$3:$E$100,MATCH(C844,'Catalogue'!$B$3:$B$100,0)),F844),F844)</f>
        <v>69.9</v>
      </c>
      <c r="F844" s="8">
        <v>69.9</v>
      </c>
      <c r="G844" s="3">
        <v>1</v>
      </c>
      <c r="H844" s="6">
        <f>IF('Settings'!$B$11="Scenario",ROUND(E844*G844*IFERROR(SUMIF('Pricing &amp; promotions'!$A$6:$A$8,L844,'Pricing &amp; promotions'!$B$6:$B$8)/100,0),2),J844)</f>
        <v>0.0</v>
      </c>
      <c r="I844" s="6">
        <f>ROUND((E844*G844-H844)/IF(OR(K844=TRUE,K844="TRUE",K844="YES",K844=1),1+'Settings'!$B$6/100,1),2)</f>
        <v>57.77</v>
      </c>
      <c r="J844" s="8">
        <v>0.0</v>
      </c>
      <c r="K844" s="3" t="inlineStr">
        <is>
          <t xml:space="preserve">TRUE</t>
        </is>
      </c>
      <c r="L844" s="3"/>
      <c r="M844" s="6">
        <f>ROUND(E844*G844-H844,2)</f>
        <v>69.9</v>
      </c>
      <c r="N844" s="5">
        <f>IF(COUNTIF($A$3:A844,A844)=1,1,0)</f>
        <v>1</v>
      </c>
      <c r="O844" s="6">
        <f>IF(N844=1,ROUND((SUMIFS($M$3:$M$1200,$A$3:$A$1200,A844)+'Settings'!$B$13)*'Settings'!$B$14/100+'Settings'!$B$15,2),0)</f>
        <v>1.34</v>
      </c>
    </row>
    <row r="845">
      <c r="A845" s="3" t="inlineStr">
        <is>
          <t xml:space="preserve">#1624</t>
        </is>
      </c>
      <c r="B845" s="3" t="inlineStr">
        <is>
          <t xml:space="preserve">2026-07-14</t>
        </is>
      </c>
      <c r="C845" s="3" t="inlineStr">
        <is>
          <t xml:space="preserve">SKU-B</t>
        </is>
      </c>
      <c r="D845" s="3" t="inlineStr">
        <is>
          <t xml:space="preserve">Barrier Balm</t>
        </is>
      </c>
      <c r="E845" s="6">
        <f>IF('Settings'!$B$11="Scenario",IFERROR(INDEX('Catalogue'!$E$3:$E$100,MATCH(C845,'Catalogue'!$B$3:$B$100,0)),F845),F845)</f>
        <v>19</v>
      </c>
      <c r="F845" s="8">
        <v>19</v>
      </c>
      <c r="G845" s="3">
        <v>1</v>
      </c>
      <c r="H845" s="6">
        <f>IF('Settings'!$B$11="Scenario",ROUND(E845*G845*IFERROR(SUMIF('Pricing &amp; promotions'!$A$6:$A$8,L845,'Pricing &amp; promotions'!$B$6:$B$8)/100,0),2),J845)</f>
        <v>1.9</v>
      </c>
      <c r="I845" s="6">
        <f>ROUND((E845*G845-H845)/IF(OR(K845=TRUE,K845="TRUE",K845="YES",K845=1),1+'Settings'!$B$6/100,1),2)</f>
        <v>14.13</v>
      </c>
      <c r="J845" s="8">
        <v>1.9</v>
      </c>
      <c r="K845" s="3" t="inlineStr">
        <is>
          <t xml:space="preserve">TRUE</t>
        </is>
      </c>
      <c r="L845" s="3" t="inlineStr">
        <is>
          <t xml:space="preserve">WELCOME10</t>
        </is>
      </c>
      <c r="M845" s="6">
        <f>ROUND(E845*G845-H845,2)</f>
        <v>17.1</v>
      </c>
      <c r="N845" s="5">
        <f>IF(COUNTIF($A$3:A845,A845)=1,1,0)</f>
        <v>1</v>
      </c>
      <c r="O845" s="6">
        <f>IF(N845=1,ROUND((SUMIFS($M$3:$M$1200,$A$3:$A$1200,A845)+'Settings'!$B$13)*'Settings'!$B$14/100+'Settings'!$B$15,2),0)</f>
        <v>0.55</v>
      </c>
    </row>
    <row r="846">
      <c r="A846" s="3" t="inlineStr">
        <is>
          <t xml:space="preserve">#1625</t>
        </is>
      </c>
      <c r="B846" s="3" t="inlineStr">
        <is>
          <t xml:space="preserve">2026-07-14</t>
        </is>
      </c>
      <c r="C846" s="3" t="inlineStr">
        <is>
          <t xml:space="preserve">SKU-E</t>
        </is>
      </c>
      <c r="D846" s="3" t="inlineStr">
        <is>
          <t xml:space="preserve">Complete Ritual</t>
        </is>
      </c>
      <c r="E846" s="6">
        <f>IF('Settings'!$B$11="Scenario",IFERROR(INDEX('Catalogue'!$E$3:$E$100,MATCH(C846,'Catalogue'!$B$3:$B$100,0)),F846),F846)</f>
        <v>89</v>
      </c>
      <c r="F846" s="8">
        <v>89</v>
      </c>
      <c r="G846" s="3">
        <v>1</v>
      </c>
      <c r="H846" s="6">
        <f>IF('Settings'!$B$11="Scenario",ROUND(E846*G846*IFERROR(SUMIF('Pricing &amp; promotions'!$A$6:$A$8,L846,'Pricing &amp; promotions'!$B$6:$B$8)/100,0),2),J846)</f>
        <v>0.0</v>
      </c>
      <c r="I846" s="6">
        <f>ROUND((E846*G846-H846)/IF(OR(K846=TRUE,K846="TRUE",K846="YES",K846=1),1+'Settings'!$B$6/100,1),2)</f>
        <v>73.55</v>
      </c>
      <c r="J846" s="8">
        <v>0.0</v>
      </c>
      <c r="K846" s="3" t="inlineStr">
        <is>
          <t xml:space="preserve">TRUE</t>
        </is>
      </c>
      <c r="L846" s="3"/>
      <c r="M846" s="6">
        <f>ROUND(E846*G846-H846,2)</f>
        <v>89.0</v>
      </c>
      <c r="N846" s="5">
        <f>IF(COUNTIF($A$3:A846,A846)=1,1,0)</f>
        <v>1</v>
      </c>
      <c r="O846" s="6">
        <f>IF(N846=1,ROUND((SUMIFS($M$3:$M$1200,$A$3:$A$1200,A846)+'Settings'!$B$13)*'Settings'!$B$14/100+'Settings'!$B$15,2),0)</f>
        <v>1.63</v>
      </c>
    </row>
    <row r="847">
      <c r="A847" s="3" t="inlineStr">
        <is>
          <t xml:space="preserve">#1626</t>
        </is>
      </c>
      <c r="B847" s="3" t="inlineStr">
        <is>
          <t xml:space="preserve">2026-07-14</t>
        </is>
      </c>
      <c r="C847" s="3" t="inlineStr">
        <is>
          <t xml:space="preserve">SKU-A</t>
        </is>
      </c>
      <c r="D847" s="3" t="inlineStr">
        <is>
          <t xml:space="preserve">Renewal Serum</t>
        </is>
      </c>
      <c r="E847" s="6">
        <f>IF('Settings'!$B$11="Scenario",IFERROR(INDEX('Catalogue'!$E$3:$E$100,MATCH(C847,'Catalogue'!$B$3:$B$100,0)),F847),F847)</f>
        <v>69.9</v>
      </c>
      <c r="F847" s="8">
        <v>69.9</v>
      </c>
      <c r="G847" s="3">
        <v>1</v>
      </c>
      <c r="H847" s="6">
        <f>IF('Settings'!$B$11="Scenario",ROUND(E847*G847*IFERROR(SUMIF('Pricing &amp; promotions'!$A$6:$A$8,L847,'Pricing &amp; promotions'!$B$6:$B$8)/100,0),2),J847)</f>
        <v>10.49</v>
      </c>
      <c r="I847" s="6">
        <f>ROUND((E847*G847-H847)/IF(OR(K847=TRUE,K847="TRUE",K847="YES",K847=1),1+'Settings'!$B$6/100,1),2)</f>
        <v>49.1</v>
      </c>
      <c r="J847" s="8">
        <v>10.49</v>
      </c>
      <c r="K847" s="3" t="inlineStr">
        <is>
          <t xml:space="preserve">TRUE</t>
        </is>
      </c>
      <c r="L847" s="3" t="inlineStr">
        <is>
          <t xml:space="preserve">SUMMER15</t>
        </is>
      </c>
      <c r="M847" s="6">
        <f>ROUND(E847*G847-H847,2)</f>
        <v>59.41</v>
      </c>
      <c r="N847" s="5">
        <f>IF(COUNTIF($A$3:A847,A847)=1,1,0)</f>
        <v>1</v>
      </c>
      <c r="O847" s="6">
        <f>IF(N847=1,ROUND((SUMIFS($M$3:$M$1200,$A$3:$A$1200,A847)+'Settings'!$B$13)*'Settings'!$B$14/100+'Settings'!$B$15,2),0)</f>
        <v>2.19</v>
      </c>
    </row>
    <row r="848">
      <c r="A848" s="3" t="inlineStr">
        <is>
          <t xml:space="preserve">#1626</t>
        </is>
      </c>
      <c r="B848" s="3" t="inlineStr">
        <is>
          <t xml:space="preserve">2026-07-14</t>
        </is>
      </c>
      <c r="C848" s="3" t="inlineStr">
        <is>
          <t xml:space="preserve">SKU-D</t>
        </is>
      </c>
      <c r="D848" s="3" t="inlineStr">
        <is>
          <t xml:space="preserve">Daily Duo</t>
        </is>
      </c>
      <c r="E848" s="6">
        <f>IF('Settings'!$B$11="Scenario",IFERROR(INDEX('Catalogue'!$E$3:$E$100,MATCH(C848,'Catalogue'!$B$3:$B$100,0)),F848),F848)</f>
        <v>79</v>
      </c>
      <c r="F848" s="8">
        <v>79</v>
      </c>
      <c r="G848" s="3">
        <v>1</v>
      </c>
      <c r="H848" s="6">
        <f>IF('Settings'!$B$11="Scenario",ROUND(E848*G848*IFERROR(SUMIF('Pricing &amp; promotions'!$A$6:$A$8,L848,'Pricing &amp; promotions'!$B$6:$B$8)/100,0),2),J848)</f>
        <v>11.85</v>
      </c>
      <c r="I848" s="6">
        <f>ROUND((E848*G848-H848)/IF(OR(K848=TRUE,K848="TRUE",K848="YES",K848=1),1+'Settings'!$B$6/100,1),2)</f>
        <v>55.5</v>
      </c>
      <c r="J848" s="8">
        <v>11.85</v>
      </c>
      <c r="K848" s="3" t="inlineStr">
        <is>
          <t xml:space="preserve">TRUE</t>
        </is>
      </c>
      <c r="L848" s="3" t="inlineStr">
        <is>
          <t xml:space="preserve">SUMMER15</t>
        </is>
      </c>
      <c r="M848" s="6">
        <f>ROUND(E848*G848-H848,2)</f>
        <v>67.15</v>
      </c>
      <c r="N848" s="5">
        <f>IF(COUNTIF($A$3:A848,A848)=1,1,0)</f>
        <v>0</v>
      </c>
      <c r="O848" s="6">
        <f>IF(N848=1,ROUND((SUMIFS($M$3:$M$1200,$A$3:$A$1200,A848)+'Settings'!$B$13)*'Settings'!$B$14/100+'Settings'!$B$15,2),0)</f>
        <v>0</v>
      </c>
    </row>
    <row r="849">
      <c r="A849" s="3" t="inlineStr">
        <is>
          <t xml:space="preserve">#1627</t>
        </is>
      </c>
      <c r="B849" s="3" t="inlineStr">
        <is>
          <t xml:space="preserve">2026-07-15</t>
        </is>
      </c>
      <c r="C849" s="3" t="inlineStr">
        <is>
          <t xml:space="preserve">SKU-C</t>
        </is>
      </c>
      <c r="D849" s="3" t="inlineStr">
        <is>
          <t xml:space="preserve">Contour Stone</t>
        </is>
      </c>
      <c r="E849" s="6">
        <f>IF('Settings'!$B$11="Scenario",IFERROR(INDEX('Catalogue'!$E$3:$E$100,MATCH(C849,'Catalogue'!$B$3:$B$100,0)),F849),F849)</f>
        <v>29</v>
      </c>
      <c r="F849" s="8">
        <v>29</v>
      </c>
      <c r="G849" s="3">
        <v>2</v>
      </c>
      <c r="H849" s="6">
        <f>IF('Settings'!$B$11="Scenario",ROUND(E849*G849*IFERROR(SUMIF('Pricing &amp; promotions'!$A$6:$A$8,L849,'Pricing &amp; promotions'!$B$6:$B$8)/100,0),2),J849)</f>
        <v>0.0</v>
      </c>
      <c r="I849" s="6">
        <f>ROUND((E849*G849-H849)/IF(OR(K849=TRUE,K849="TRUE",K849="YES",K849=1),1+'Settings'!$B$6/100,1),2)</f>
        <v>47.93</v>
      </c>
      <c r="J849" s="8">
        <v>0.0</v>
      </c>
      <c r="K849" s="3" t="inlineStr">
        <is>
          <t xml:space="preserve">TRUE</t>
        </is>
      </c>
      <c r="L849" s="3"/>
      <c r="M849" s="6">
        <f>ROUND(E849*G849-H849,2)</f>
        <v>58.0</v>
      </c>
      <c r="N849" s="5">
        <f>IF(COUNTIF($A$3:A849,A849)=1,1,0)</f>
        <v>1</v>
      </c>
      <c r="O849" s="6">
        <f>IF(N849=1,ROUND((SUMIFS($M$3:$M$1200,$A$3:$A$1200,A849)+'Settings'!$B$13)*'Settings'!$B$14/100+'Settings'!$B$15,2),0)</f>
        <v>1.16</v>
      </c>
    </row>
    <row r="850">
      <c r="A850" s="3" t="inlineStr">
        <is>
          <t xml:space="preserve">#1628</t>
        </is>
      </c>
      <c r="B850" s="3" t="inlineStr">
        <is>
          <t xml:space="preserve">2026-07-15</t>
        </is>
      </c>
      <c r="C850" s="3" t="inlineStr">
        <is>
          <t xml:space="preserve">SKU-F</t>
        </is>
      </c>
      <c r="D850" s="3" t="inlineStr">
        <is>
          <t xml:space="preserve">Cloud Cleanser</t>
        </is>
      </c>
      <c r="E850" s="6">
        <f>IF('Settings'!$B$11="Scenario",IFERROR(INDEX('Catalogue'!$E$3:$E$100,MATCH(C850,'Catalogue'!$B$3:$B$100,0)),F850),F850)</f>
        <v>34</v>
      </c>
      <c r="F850" s="8">
        <v>34</v>
      </c>
      <c r="G850" s="3">
        <v>2</v>
      </c>
      <c r="H850" s="6">
        <f>IF('Settings'!$B$11="Scenario",ROUND(E850*G850*IFERROR(SUMIF('Pricing &amp; promotions'!$A$6:$A$8,L850,'Pricing &amp; promotions'!$B$6:$B$8)/100,0),2),J850)</f>
        <v>10.2</v>
      </c>
      <c r="I850" s="6">
        <f>ROUND((E850*G850-H850)/IF(OR(K850=TRUE,K850="TRUE",K850="YES",K850=1),1+'Settings'!$B$6/100,1),2)</f>
        <v>47.77</v>
      </c>
      <c r="J850" s="8">
        <v>10.2</v>
      </c>
      <c r="K850" s="3" t="inlineStr">
        <is>
          <t xml:space="preserve">TRUE</t>
        </is>
      </c>
      <c r="L850" s="3" t="inlineStr">
        <is>
          <t xml:space="preserve">SUMMER15</t>
        </is>
      </c>
      <c r="M850" s="6">
        <f>ROUND(E850*G850-H850,2)</f>
        <v>57.8</v>
      </c>
      <c r="N850" s="5">
        <f>IF(COUNTIF($A$3:A850,A850)=1,1,0)</f>
        <v>1</v>
      </c>
      <c r="O850" s="6">
        <f>IF(N850=1,ROUND((SUMIFS($M$3:$M$1200,$A$3:$A$1200,A850)+'Settings'!$B$13)*'Settings'!$B$14/100+'Settings'!$B$15,2),0)</f>
        <v>1.16</v>
      </c>
    </row>
    <row r="851">
      <c r="A851" s="3" t="inlineStr">
        <is>
          <t xml:space="preserve">#1629</t>
        </is>
      </c>
      <c r="B851" s="3" t="inlineStr">
        <is>
          <t xml:space="preserve">2026-07-16</t>
        </is>
      </c>
      <c r="C851" s="3" t="inlineStr">
        <is>
          <t xml:space="preserve">SKU-A</t>
        </is>
      </c>
      <c r="D851" s="3" t="inlineStr">
        <is>
          <t xml:space="preserve">Renewal Serum</t>
        </is>
      </c>
      <c r="E851" s="6">
        <f>IF('Settings'!$B$11="Scenario",IFERROR(INDEX('Catalogue'!$E$3:$E$100,MATCH(C851,'Catalogue'!$B$3:$B$100,0)),F851),F851)</f>
        <v>69.9</v>
      </c>
      <c r="F851" s="8">
        <v>69.9</v>
      </c>
      <c r="G851" s="3">
        <v>1</v>
      </c>
      <c r="H851" s="6">
        <f>IF('Settings'!$B$11="Scenario",ROUND(E851*G851*IFERROR(SUMIF('Pricing &amp; promotions'!$A$6:$A$8,L851,'Pricing &amp; promotions'!$B$6:$B$8)/100,0),2),J851)</f>
        <v>6.99</v>
      </c>
      <c r="I851" s="6">
        <f>ROUND((E851*G851-H851)/IF(OR(K851=TRUE,K851="TRUE",K851="YES",K851=1),1+'Settings'!$B$6/100,1),2)</f>
        <v>51.99</v>
      </c>
      <c r="J851" s="8">
        <v>6.99</v>
      </c>
      <c r="K851" s="3" t="inlineStr">
        <is>
          <t xml:space="preserve">TRUE</t>
        </is>
      </c>
      <c r="L851" s="3" t="inlineStr">
        <is>
          <t xml:space="preserve">WELCOME10</t>
        </is>
      </c>
      <c r="M851" s="6">
        <f>ROUND(E851*G851-H851,2)</f>
        <v>62.91</v>
      </c>
      <c r="N851" s="5">
        <f>IF(COUNTIF($A$3:A851,A851)=1,1,0)</f>
        <v>1</v>
      </c>
      <c r="O851" s="6">
        <f>IF(N851=1,ROUND((SUMIFS($M$3:$M$1200,$A$3:$A$1200,A851)+'Settings'!$B$13)*'Settings'!$B$14/100+'Settings'!$B$15,2),0)</f>
        <v>1.24</v>
      </c>
    </row>
    <row r="852">
      <c r="A852" s="3" t="inlineStr">
        <is>
          <t xml:space="preserve">#1630</t>
        </is>
      </c>
      <c r="B852" s="3" t="inlineStr">
        <is>
          <t xml:space="preserve">2026-07-16</t>
        </is>
      </c>
      <c r="C852" s="3" t="inlineStr">
        <is>
          <t xml:space="preserve">SKU-D</t>
        </is>
      </c>
      <c r="D852" s="3" t="inlineStr">
        <is>
          <t xml:space="preserve">Daily Duo</t>
        </is>
      </c>
      <c r="E852" s="6">
        <f>IF('Settings'!$B$11="Scenario",IFERROR(INDEX('Catalogue'!$E$3:$E$100,MATCH(C852,'Catalogue'!$B$3:$B$100,0)),F852),F852)</f>
        <v>79</v>
      </c>
      <c r="F852" s="8">
        <v>79</v>
      </c>
      <c r="G852" s="3">
        <v>1</v>
      </c>
      <c r="H852" s="6">
        <f>IF('Settings'!$B$11="Scenario",ROUND(E852*G852*IFERROR(SUMIF('Pricing &amp; promotions'!$A$6:$A$8,L852,'Pricing &amp; promotions'!$B$6:$B$8)/100,0),2),J852)</f>
        <v>11.85</v>
      </c>
      <c r="I852" s="6">
        <f>ROUND((E852*G852-H852)/IF(OR(K852=TRUE,K852="TRUE",K852="YES",K852=1),1+'Settings'!$B$6/100,1),2)</f>
        <v>55.5</v>
      </c>
      <c r="J852" s="8">
        <v>11.85</v>
      </c>
      <c r="K852" s="3" t="inlineStr">
        <is>
          <t xml:space="preserve">TRUE</t>
        </is>
      </c>
      <c r="L852" s="3" t="inlineStr">
        <is>
          <t xml:space="preserve">SUMMER15</t>
        </is>
      </c>
      <c r="M852" s="6">
        <f>ROUND(E852*G852-H852,2)</f>
        <v>67.15</v>
      </c>
      <c r="N852" s="5">
        <f>IF(COUNTIF($A$3:A852,A852)=1,1,0)</f>
        <v>1</v>
      </c>
      <c r="O852" s="6">
        <f>IF(N852=1,ROUND((SUMIFS($M$3:$M$1200,$A$3:$A$1200,A852)+'Settings'!$B$13)*'Settings'!$B$14/100+'Settings'!$B$15,2),0)</f>
        <v>1.3</v>
      </c>
    </row>
    <row r="853">
      <c r="A853" s="3" t="inlineStr">
        <is>
          <t xml:space="preserve">#1631</t>
        </is>
      </c>
      <c r="B853" s="3" t="inlineStr">
        <is>
          <t xml:space="preserve">2026-07-17</t>
        </is>
      </c>
      <c r="C853" s="3" t="inlineStr">
        <is>
          <t xml:space="preserve">SKU-B</t>
        </is>
      </c>
      <c r="D853" s="3" t="inlineStr">
        <is>
          <t xml:space="preserve">Barrier Balm</t>
        </is>
      </c>
      <c r="E853" s="6">
        <f>IF('Settings'!$B$11="Scenario",IFERROR(INDEX('Catalogue'!$E$3:$E$100,MATCH(C853,'Catalogue'!$B$3:$B$100,0)),F853),F853)</f>
        <v>19</v>
      </c>
      <c r="F853" s="8">
        <v>19</v>
      </c>
      <c r="G853" s="3">
        <v>1</v>
      </c>
      <c r="H853" s="6">
        <f>IF('Settings'!$B$11="Scenario",ROUND(E853*G853*IFERROR(SUMIF('Pricing &amp; promotions'!$A$6:$A$8,L853,'Pricing &amp; promotions'!$B$6:$B$8)/100,0),2),J853)</f>
        <v>0.0</v>
      </c>
      <c r="I853" s="6">
        <f>ROUND((E853*G853-H853)/IF(OR(K853=TRUE,K853="TRUE",K853="YES",K853=1),1+'Settings'!$B$6/100,1),2)</f>
        <v>15.7</v>
      </c>
      <c r="J853" s="8">
        <v>0.0</v>
      </c>
      <c r="K853" s="3" t="inlineStr">
        <is>
          <t xml:space="preserve">TRUE</t>
        </is>
      </c>
      <c r="L853" s="3"/>
      <c r="M853" s="6">
        <f>ROUND(E853*G853-H853,2)</f>
        <v>19.0</v>
      </c>
      <c r="N853" s="5">
        <f>IF(COUNTIF($A$3:A853,A853)=1,1,0)</f>
        <v>1</v>
      </c>
      <c r="O853" s="6">
        <f>IF(N853=1,ROUND((SUMIFS($M$3:$M$1200,$A$3:$A$1200,A853)+'Settings'!$B$13)*'Settings'!$B$14/100+'Settings'!$B$15,2),0)</f>
        <v>0.58</v>
      </c>
    </row>
    <row r="854">
      <c r="A854" s="3" t="inlineStr">
        <is>
          <t xml:space="preserve">#1632</t>
        </is>
      </c>
      <c r="B854" s="3" t="inlineStr">
        <is>
          <t xml:space="preserve">2026-07-17</t>
        </is>
      </c>
      <c r="C854" s="3" t="inlineStr">
        <is>
          <t xml:space="preserve">SKU-A</t>
        </is>
      </c>
      <c r="D854" s="3" t="inlineStr">
        <is>
          <t xml:space="preserve">Renewal Serum</t>
        </is>
      </c>
      <c r="E854" s="6">
        <f>IF('Settings'!$B$11="Scenario",IFERROR(INDEX('Catalogue'!$E$3:$E$100,MATCH(C854,'Catalogue'!$B$3:$B$100,0)),F854),F854)</f>
        <v>69.9</v>
      </c>
      <c r="F854" s="8">
        <v>69.9</v>
      </c>
      <c r="G854" s="3">
        <v>1</v>
      </c>
      <c r="H854" s="6">
        <f>IF('Settings'!$B$11="Scenario",ROUND(E854*G854*IFERROR(SUMIF('Pricing &amp; promotions'!$A$6:$A$8,L854,'Pricing &amp; promotions'!$B$6:$B$8)/100,0),2),J854)</f>
        <v>0.0</v>
      </c>
      <c r="I854" s="6">
        <f>ROUND((E854*G854-H854)/IF(OR(K854=TRUE,K854="TRUE",K854="YES",K854=1),1+'Settings'!$B$6/100,1),2)</f>
        <v>57.77</v>
      </c>
      <c r="J854" s="8">
        <v>0.0</v>
      </c>
      <c r="K854" s="3" t="inlineStr">
        <is>
          <t xml:space="preserve">TRUE</t>
        </is>
      </c>
      <c r="L854" s="3"/>
      <c r="M854" s="6">
        <f>ROUND(E854*G854-H854,2)</f>
        <v>69.9</v>
      </c>
      <c r="N854" s="5">
        <f>IF(COUNTIF($A$3:A854,A854)=1,1,0)</f>
        <v>1</v>
      </c>
      <c r="O854" s="6">
        <f>IF(N854=1,ROUND((SUMIFS($M$3:$M$1200,$A$3:$A$1200,A854)+'Settings'!$B$13)*'Settings'!$B$14/100+'Settings'!$B$15,2),0)</f>
        <v>1.34</v>
      </c>
    </row>
    <row r="855">
      <c r="A855" s="3" t="inlineStr">
        <is>
          <t xml:space="preserve">#1633</t>
        </is>
      </c>
      <c r="B855" s="3" t="inlineStr">
        <is>
          <t xml:space="preserve">2026-07-17</t>
        </is>
      </c>
      <c r="C855" s="3" t="inlineStr">
        <is>
          <t xml:space="preserve">SKU-B</t>
        </is>
      </c>
      <c r="D855" s="3" t="inlineStr">
        <is>
          <t xml:space="preserve">Barrier Balm</t>
        </is>
      </c>
      <c r="E855" s="6">
        <f>IF('Settings'!$B$11="Scenario",IFERROR(INDEX('Catalogue'!$E$3:$E$100,MATCH(C855,'Catalogue'!$B$3:$B$100,0)),F855),F855)</f>
        <v>19</v>
      </c>
      <c r="F855" s="8">
        <v>19</v>
      </c>
      <c r="G855" s="3">
        <v>1</v>
      </c>
      <c r="H855" s="6">
        <f>IF('Settings'!$B$11="Scenario",ROUND(E855*G855*IFERROR(SUMIF('Pricing &amp; promotions'!$A$6:$A$8,L855,'Pricing &amp; promotions'!$B$6:$B$8)/100,0),2),J855)</f>
        <v>0.0</v>
      </c>
      <c r="I855" s="6">
        <f>ROUND((E855*G855-H855)/IF(OR(K855=TRUE,K855="TRUE",K855="YES",K855=1),1+'Settings'!$B$6/100,1),2)</f>
        <v>15.7</v>
      </c>
      <c r="J855" s="8">
        <v>0.0</v>
      </c>
      <c r="K855" s="3" t="inlineStr">
        <is>
          <t xml:space="preserve">TRUE</t>
        </is>
      </c>
      <c r="L855" s="3"/>
      <c r="M855" s="6">
        <f>ROUND(E855*G855-H855,2)</f>
        <v>19.0</v>
      </c>
      <c r="N855" s="5">
        <f>IF(COUNTIF($A$3:A855,A855)=1,1,0)</f>
        <v>1</v>
      </c>
      <c r="O855" s="6">
        <f>IF(N855=1,ROUND((SUMIFS($M$3:$M$1200,$A$3:$A$1200,A855)+'Settings'!$B$13)*'Settings'!$B$14/100+'Settings'!$B$15,2),0)</f>
        <v>1.76</v>
      </c>
    </row>
    <row r="856">
      <c r="A856" s="3" t="inlineStr">
        <is>
          <t xml:space="preserve">#1633</t>
        </is>
      </c>
      <c r="B856" s="3" t="inlineStr">
        <is>
          <t xml:space="preserve">2026-07-17</t>
        </is>
      </c>
      <c r="C856" s="3" t="inlineStr">
        <is>
          <t xml:space="preserve">SKU-D</t>
        </is>
      </c>
      <c r="D856" s="3" t="inlineStr">
        <is>
          <t xml:space="preserve">Daily Duo</t>
        </is>
      </c>
      <c r="E856" s="6">
        <f>IF('Settings'!$B$11="Scenario",IFERROR(INDEX('Catalogue'!$E$3:$E$100,MATCH(C856,'Catalogue'!$B$3:$B$100,0)),F856),F856)</f>
        <v>79</v>
      </c>
      <c r="F856" s="8">
        <v>79</v>
      </c>
      <c r="G856" s="3">
        <v>1</v>
      </c>
      <c r="H856" s="6">
        <f>IF('Settings'!$B$11="Scenario",ROUND(E856*G856*IFERROR(SUMIF('Pricing &amp; promotions'!$A$6:$A$8,L856,'Pricing &amp; promotions'!$B$6:$B$8)/100,0),2),J856)</f>
        <v>0.0</v>
      </c>
      <c r="I856" s="6">
        <f>ROUND((E856*G856-H856)/IF(OR(K856=TRUE,K856="TRUE",K856="YES",K856=1),1+'Settings'!$B$6/100,1),2)</f>
        <v>65.29</v>
      </c>
      <c r="J856" s="8">
        <v>0.0</v>
      </c>
      <c r="K856" s="3" t="inlineStr">
        <is>
          <t xml:space="preserve">TRUE</t>
        </is>
      </c>
      <c r="L856" s="3"/>
      <c r="M856" s="6">
        <f>ROUND(E856*G856-H856,2)</f>
        <v>79.0</v>
      </c>
      <c r="N856" s="5">
        <f>IF(COUNTIF($A$3:A856,A856)=1,1,0)</f>
        <v>0</v>
      </c>
      <c r="O856" s="6">
        <f>IF(N856=1,ROUND((SUMIFS($M$3:$M$1200,$A$3:$A$1200,A856)+'Settings'!$B$13)*'Settings'!$B$14/100+'Settings'!$B$15,2),0)</f>
        <v>0</v>
      </c>
    </row>
    <row r="857">
      <c r="A857" s="3" t="inlineStr">
        <is>
          <t xml:space="preserve">#1634</t>
        </is>
      </c>
      <c r="B857" s="3" t="inlineStr">
        <is>
          <t xml:space="preserve">2026-07-18</t>
        </is>
      </c>
      <c r="C857" s="3" t="inlineStr">
        <is>
          <t xml:space="preserve">SKU-D</t>
        </is>
      </c>
      <c r="D857" s="3" t="inlineStr">
        <is>
          <t xml:space="preserve">Daily Duo</t>
        </is>
      </c>
      <c r="E857" s="6">
        <f>IF('Settings'!$B$11="Scenario",IFERROR(INDEX('Catalogue'!$E$3:$E$100,MATCH(C857,'Catalogue'!$B$3:$B$100,0)),F857),F857)</f>
        <v>79</v>
      </c>
      <c r="F857" s="8">
        <v>79</v>
      </c>
      <c r="G857" s="3">
        <v>1</v>
      </c>
      <c r="H857" s="6">
        <f>IF('Settings'!$B$11="Scenario",ROUND(E857*G857*IFERROR(SUMIF('Pricing &amp; promotions'!$A$6:$A$8,L857,'Pricing &amp; promotions'!$B$6:$B$8)/100,0),2),J857)</f>
        <v>0.0</v>
      </c>
      <c r="I857" s="6">
        <f>ROUND((E857*G857-H857)/IF(OR(K857=TRUE,K857="TRUE",K857="YES",K857=1),1+'Settings'!$B$6/100,1),2)</f>
        <v>65.29</v>
      </c>
      <c r="J857" s="8">
        <v>0.0</v>
      </c>
      <c r="K857" s="3" t="inlineStr">
        <is>
          <t xml:space="preserve">TRUE</t>
        </is>
      </c>
      <c r="L857" s="3"/>
      <c r="M857" s="6">
        <f>ROUND(E857*G857-H857,2)</f>
        <v>79.0</v>
      </c>
      <c r="N857" s="5">
        <f>IF(COUNTIF($A$3:A857,A857)=1,1,0)</f>
        <v>1</v>
      </c>
      <c r="O857" s="6">
        <f>IF(N857=1,ROUND((SUMIFS($M$3:$M$1200,$A$3:$A$1200,A857)+'Settings'!$B$13)*'Settings'!$B$14/100+'Settings'!$B$15,2),0)</f>
        <v>3.58</v>
      </c>
    </row>
    <row r="858">
      <c r="A858" s="3" t="inlineStr">
        <is>
          <t xml:space="preserve">#1634</t>
        </is>
      </c>
      <c r="B858" s="3" t="inlineStr">
        <is>
          <t xml:space="preserve">2026-07-18</t>
        </is>
      </c>
      <c r="C858" s="3" t="inlineStr">
        <is>
          <t xml:space="preserve">SKU-A</t>
        </is>
      </c>
      <c r="D858" s="3" t="inlineStr">
        <is>
          <t xml:space="preserve">Renewal Serum</t>
        </is>
      </c>
      <c r="E858" s="6">
        <f>IF('Settings'!$B$11="Scenario",IFERROR(INDEX('Catalogue'!$E$3:$E$100,MATCH(C858,'Catalogue'!$B$3:$B$100,0)),F858),F858)</f>
        <v>69.9</v>
      </c>
      <c r="F858" s="8">
        <v>69.9</v>
      </c>
      <c r="G858" s="3">
        <v>2</v>
      </c>
      <c r="H858" s="6">
        <f>IF('Settings'!$B$11="Scenario",ROUND(E858*G858*IFERROR(SUMIF('Pricing &amp; promotions'!$A$6:$A$8,L858,'Pricing &amp; promotions'!$B$6:$B$8)/100,0),2),J858)</f>
        <v>0.0</v>
      </c>
      <c r="I858" s="6">
        <f>ROUND((E858*G858-H858)/IF(OR(K858=TRUE,K858="TRUE",K858="YES",K858=1),1+'Settings'!$B$6/100,1),2)</f>
        <v>115.54</v>
      </c>
      <c r="J858" s="8">
        <v>0.0</v>
      </c>
      <c r="K858" s="3" t="inlineStr">
        <is>
          <t xml:space="preserve">TRUE</t>
        </is>
      </c>
      <c r="L858" s="3"/>
      <c r="M858" s="6">
        <f>ROUND(E858*G858-H858,2)</f>
        <v>139.8</v>
      </c>
      <c r="N858" s="5">
        <f>IF(COUNTIF($A$3:A858,A858)=1,1,0)</f>
        <v>0</v>
      </c>
      <c r="O858" s="6">
        <f>IF(N858=1,ROUND((SUMIFS($M$3:$M$1200,$A$3:$A$1200,A858)+'Settings'!$B$13)*'Settings'!$B$14/100+'Settings'!$B$15,2),0)</f>
        <v>0</v>
      </c>
    </row>
    <row r="859">
      <c r="A859" s="3" t="inlineStr">
        <is>
          <t xml:space="preserve">#1635</t>
        </is>
      </c>
      <c r="B859" s="3" t="inlineStr">
        <is>
          <t xml:space="preserve">2026-07-18</t>
        </is>
      </c>
      <c r="C859" s="3" t="inlineStr">
        <is>
          <t xml:space="preserve">SKU-D</t>
        </is>
      </c>
      <c r="D859" s="3" t="inlineStr">
        <is>
          <t xml:space="preserve">Daily Duo</t>
        </is>
      </c>
      <c r="E859" s="6">
        <f>IF('Settings'!$B$11="Scenario",IFERROR(INDEX('Catalogue'!$E$3:$E$100,MATCH(C859,'Catalogue'!$B$3:$B$100,0)),F859),F859)</f>
        <v>79</v>
      </c>
      <c r="F859" s="8">
        <v>79</v>
      </c>
      <c r="G859" s="3">
        <v>2</v>
      </c>
      <c r="H859" s="6">
        <f>IF('Settings'!$B$11="Scenario",ROUND(E859*G859*IFERROR(SUMIF('Pricing &amp; promotions'!$A$6:$A$8,L859,'Pricing &amp; promotions'!$B$6:$B$8)/100,0),2),J859)</f>
        <v>0.0</v>
      </c>
      <c r="I859" s="6">
        <f>ROUND((E859*G859-H859)/IF(OR(K859=TRUE,K859="TRUE",K859="YES",K859=1),1+'Settings'!$B$6/100,1),2)</f>
        <v>130.58</v>
      </c>
      <c r="J859" s="8">
        <v>0.0</v>
      </c>
      <c r="K859" s="3" t="inlineStr">
        <is>
          <t xml:space="preserve">TRUE</t>
        </is>
      </c>
      <c r="L859" s="3"/>
      <c r="M859" s="6">
        <f>ROUND(E859*G859-H859,2)</f>
        <v>158.0</v>
      </c>
      <c r="N859" s="5">
        <f>IF(COUNTIF($A$3:A859,A859)=1,1,0)</f>
        <v>1</v>
      </c>
      <c r="O859" s="6">
        <f>IF(N859=1,ROUND((SUMIFS($M$3:$M$1200,$A$3:$A$1200,A859)+'Settings'!$B$13)*'Settings'!$B$14/100+'Settings'!$B$15,2),0)</f>
        <v>2.66</v>
      </c>
    </row>
    <row r="860">
      <c r="A860" s="3" t="inlineStr">
        <is>
          <t xml:space="preserve">#1636</t>
        </is>
      </c>
      <c r="B860" s="3" t="inlineStr">
        <is>
          <t xml:space="preserve">2026-07-18</t>
        </is>
      </c>
      <c r="C860" s="3" t="inlineStr">
        <is>
          <t xml:space="preserve">SKU-C</t>
        </is>
      </c>
      <c r="D860" s="3" t="inlineStr">
        <is>
          <t xml:space="preserve">Contour Stone</t>
        </is>
      </c>
      <c r="E860" s="6">
        <f>IF('Settings'!$B$11="Scenario",IFERROR(INDEX('Catalogue'!$E$3:$E$100,MATCH(C860,'Catalogue'!$B$3:$B$100,0)),F860),F860)</f>
        <v>29</v>
      </c>
      <c r="F860" s="8">
        <v>29</v>
      </c>
      <c r="G860" s="3">
        <v>2</v>
      </c>
      <c r="H860" s="6">
        <f>IF('Settings'!$B$11="Scenario",ROUND(E860*G860*IFERROR(SUMIF('Pricing &amp; promotions'!$A$6:$A$8,L860,'Pricing &amp; promotions'!$B$6:$B$8)/100,0),2),J860)</f>
        <v>8.7</v>
      </c>
      <c r="I860" s="6">
        <f>ROUND((E860*G860-H860)/IF(OR(K860=TRUE,K860="TRUE",K860="YES",K860=1),1+'Settings'!$B$6/100,1),2)</f>
        <v>40.74</v>
      </c>
      <c r="J860" s="8">
        <v>8.7</v>
      </c>
      <c r="K860" s="3" t="inlineStr">
        <is>
          <t xml:space="preserve">TRUE</t>
        </is>
      </c>
      <c r="L860" s="3" t="inlineStr">
        <is>
          <t xml:space="preserve">SUMMER15</t>
        </is>
      </c>
      <c r="M860" s="6">
        <f>ROUND(E860*G860-H860,2)</f>
        <v>49.3</v>
      </c>
      <c r="N860" s="5">
        <f>IF(COUNTIF($A$3:A860,A860)=1,1,0)</f>
        <v>1</v>
      </c>
      <c r="O860" s="6">
        <f>IF(N860=1,ROUND((SUMIFS($M$3:$M$1200,$A$3:$A$1200,A860)+'Settings'!$B$13)*'Settings'!$B$14/100+'Settings'!$B$15,2),0)</f>
        <v>3.06</v>
      </c>
    </row>
    <row r="861">
      <c r="A861" s="3" t="inlineStr">
        <is>
          <t xml:space="preserve">#1636</t>
        </is>
      </c>
      <c r="B861" s="3" t="inlineStr">
        <is>
          <t xml:space="preserve">2026-07-18</t>
        </is>
      </c>
      <c r="C861" s="3" t="inlineStr">
        <is>
          <t xml:space="preserve">SKU-A</t>
        </is>
      </c>
      <c r="D861" s="3" t="inlineStr">
        <is>
          <t xml:space="preserve">Renewal Serum</t>
        </is>
      </c>
      <c r="E861" s="6">
        <f>IF('Settings'!$B$11="Scenario",IFERROR(INDEX('Catalogue'!$E$3:$E$100,MATCH(C861,'Catalogue'!$B$3:$B$100,0)),F861),F861)</f>
        <v>69.9</v>
      </c>
      <c r="F861" s="8">
        <v>69.9</v>
      </c>
      <c r="G861" s="3">
        <v>1</v>
      </c>
      <c r="H861" s="6">
        <f>IF('Settings'!$B$11="Scenario",ROUND(E861*G861*IFERROR(SUMIF('Pricing &amp; promotions'!$A$6:$A$8,L861,'Pricing &amp; promotions'!$B$6:$B$8)/100,0),2),J861)</f>
        <v>10.49</v>
      </c>
      <c r="I861" s="6">
        <f>ROUND((E861*G861-H861)/IF(OR(K861=TRUE,K861="TRUE",K861="YES",K861=1),1+'Settings'!$B$6/100,1),2)</f>
        <v>49.1</v>
      </c>
      <c r="J861" s="8">
        <v>10.49</v>
      </c>
      <c r="K861" s="3" t="inlineStr">
        <is>
          <t xml:space="preserve">TRUE</t>
        </is>
      </c>
      <c r="L861" s="3" t="inlineStr">
        <is>
          <t xml:space="preserve">SUMMER15</t>
        </is>
      </c>
      <c r="M861" s="6">
        <f>ROUND(E861*G861-H861,2)</f>
        <v>59.41</v>
      </c>
      <c r="N861" s="5">
        <f>IF(COUNTIF($A$3:A861,A861)=1,1,0)</f>
        <v>0</v>
      </c>
      <c r="O861" s="6">
        <f>IF(N861=1,ROUND((SUMIFS($M$3:$M$1200,$A$3:$A$1200,A861)+'Settings'!$B$13)*'Settings'!$B$14/100+'Settings'!$B$15,2),0)</f>
        <v>0</v>
      </c>
    </row>
    <row r="862">
      <c r="A862" s="3" t="inlineStr">
        <is>
          <t xml:space="preserve">#1636</t>
        </is>
      </c>
      <c r="B862" s="3" t="inlineStr">
        <is>
          <t xml:space="preserve">2026-07-18</t>
        </is>
      </c>
      <c r="C862" s="3" t="inlineStr">
        <is>
          <t xml:space="preserve">SKU-E</t>
        </is>
      </c>
      <c r="D862" s="3" t="inlineStr">
        <is>
          <t xml:space="preserve">Complete Ritual</t>
        </is>
      </c>
      <c r="E862" s="6">
        <f>IF('Settings'!$B$11="Scenario",IFERROR(INDEX('Catalogue'!$E$3:$E$100,MATCH(C862,'Catalogue'!$B$3:$B$100,0)),F862),F862)</f>
        <v>89</v>
      </c>
      <c r="F862" s="8">
        <v>89</v>
      </c>
      <c r="G862" s="3">
        <v>1</v>
      </c>
      <c r="H862" s="6">
        <f>IF('Settings'!$B$11="Scenario",ROUND(E862*G862*IFERROR(SUMIF('Pricing &amp; promotions'!$A$6:$A$8,L862,'Pricing &amp; promotions'!$B$6:$B$8)/100,0),2),J862)</f>
        <v>13.35</v>
      </c>
      <c r="I862" s="6">
        <f>ROUND((E862*G862-H862)/IF(OR(K862=TRUE,K862="TRUE",K862="YES",K862=1),1+'Settings'!$B$6/100,1),2)</f>
        <v>62.52</v>
      </c>
      <c r="J862" s="8">
        <v>13.35</v>
      </c>
      <c r="K862" s="3" t="inlineStr">
        <is>
          <t xml:space="preserve">TRUE</t>
        </is>
      </c>
      <c r="L862" s="3" t="inlineStr">
        <is>
          <t xml:space="preserve">SUMMER15</t>
        </is>
      </c>
      <c r="M862" s="6">
        <f>ROUND(E862*G862-H862,2)</f>
        <v>75.65</v>
      </c>
      <c r="N862" s="5">
        <f>IF(COUNTIF($A$3:A862,A862)=1,1,0)</f>
        <v>0</v>
      </c>
      <c r="O862" s="6">
        <f>IF(N862=1,ROUND((SUMIFS($M$3:$M$1200,$A$3:$A$1200,A862)+'Settings'!$B$13)*'Settings'!$B$14/100+'Settings'!$B$15,2),0)</f>
        <v>0</v>
      </c>
    </row>
    <row r="863">
      <c r="A863" s="3" t="inlineStr">
        <is>
          <t xml:space="preserve">#1637</t>
        </is>
      </c>
      <c r="B863" s="3" t="inlineStr">
        <is>
          <t xml:space="preserve">2026-07-19</t>
        </is>
      </c>
      <c r="C863" s="3" t="inlineStr">
        <is>
          <t xml:space="preserve">SKU-A</t>
        </is>
      </c>
      <c r="D863" s="3" t="inlineStr">
        <is>
          <t xml:space="preserve">Renewal Serum</t>
        </is>
      </c>
      <c r="E863" s="6">
        <f>IF('Settings'!$B$11="Scenario",IFERROR(INDEX('Catalogue'!$E$3:$E$100,MATCH(C863,'Catalogue'!$B$3:$B$100,0)),F863),F863)</f>
        <v>69.9</v>
      </c>
      <c r="F863" s="8">
        <v>69.9</v>
      </c>
      <c r="G863" s="3">
        <v>1</v>
      </c>
      <c r="H863" s="6">
        <f>IF('Settings'!$B$11="Scenario",ROUND(E863*G863*IFERROR(SUMIF('Pricing &amp; promotions'!$A$6:$A$8,L863,'Pricing &amp; promotions'!$B$6:$B$8)/100,0),2),J863)</f>
        <v>10.49</v>
      </c>
      <c r="I863" s="6">
        <f>ROUND((E863*G863-H863)/IF(OR(K863=TRUE,K863="TRUE",K863="YES",K863=1),1+'Settings'!$B$6/100,1),2)</f>
        <v>49.1</v>
      </c>
      <c r="J863" s="8">
        <v>10.49</v>
      </c>
      <c r="K863" s="3" t="inlineStr">
        <is>
          <t xml:space="preserve">TRUE</t>
        </is>
      </c>
      <c r="L863" s="3" t="inlineStr">
        <is>
          <t xml:space="preserve">SUMMER15</t>
        </is>
      </c>
      <c r="M863" s="6">
        <f>ROUND(E863*G863-H863,2)</f>
        <v>59.41</v>
      </c>
      <c r="N863" s="5">
        <f>IF(COUNTIF($A$3:A863,A863)=1,1,0)</f>
        <v>1</v>
      </c>
      <c r="O863" s="6">
        <f>IF(N863=1,ROUND((SUMIFS($M$3:$M$1200,$A$3:$A$1200,A863)+'Settings'!$B$13)*'Settings'!$B$14/100+'Settings'!$B$15,2),0)</f>
        <v>1.19</v>
      </c>
    </row>
    <row r="864">
      <c r="A864" s="3" t="inlineStr">
        <is>
          <t xml:space="preserve">#1638</t>
        </is>
      </c>
      <c r="B864" s="3" t="inlineStr">
        <is>
          <t xml:space="preserve">2026-07-19</t>
        </is>
      </c>
      <c r="C864" s="3" t="inlineStr">
        <is>
          <t xml:space="preserve">SKU-D</t>
        </is>
      </c>
      <c r="D864" s="3" t="inlineStr">
        <is>
          <t xml:space="preserve">Daily Duo</t>
        </is>
      </c>
      <c r="E864" s="6">
        <f>IF('Settings'!$B$11="Scenario",IFERROR(INDEX('Catalogue'!$E$3:$E$100,MATCH(C864,'Catalogue'!$B$3:$B$100,0)),F864),F864)</f>
        <v>79</v>
      </c>
      <c r="F864" s="8">
        <v>79</v>
      </c>
      <c r="G864" s="3">
        <v>1</v>
      </c>
      <c r="H864" s="6">
        <f>IF('Settings'!$B$11="Scenario",ROUND(E864*G864*IFERROR(SUMIF('Pricing &amp; promotions'!$A$6:$A$8,L864,'Pricing &amp; promotions'!$B$6:$B$8)/100,0),2),J864)</f>
        <v>0.0</v>
      </c>
      <c r="I864" s="6">
        <f>ROUND((E864*G864-H864)/IF(OR(K864=TRUE,K864="TRUE",K864="YES",K864=1),1+'Settings'!$B$6/100,1),2)</f>
        <v>65.29</v>
      </c>
      <c r="J864" s="8">
        <v>0.0</v>
      </c>
      <c r="K864" s="3" t="inlineStr">
        <is>
          <t xml:space="preserve">TRUE</t>
        </is>
      </c>
      <c r="L864" s="3"/>
      <c r="M864" s="6">
        <f>ROUND(E864*G864-H864,2)</f>
        <v>79.0</v>
      </c>
      <c r="N864" s="5">
        <f>IF(COUNTIF($A$3:A864,A864)=1,1,0)</f>
        <v>1</v>
      </c>
      <c r="O864" s="6">
        <f>IF(N864=1,ROUND((SUMIFS($M$3:$M$1200,$A$3:$A$1200,A864)+'Settings'!$B$13)*'Settings'!$B$14/100+'Settings'!$B$15,2),0)</f>
        <v>2.53</v>
      </c>
    </row>
    <row r="865">
      <c r="A865" s="3" t="inlineStr">
        <is>
          <t xml:space="preserve">#1638</t>
        </is>
      </c>
      <c r="B865" s="3" t="inlineStr">
        <is>
          <t xml:space="preserve">2026-07-19</t>
        </is>
      </c>
      <c r="C865" s="3" t="inlineStr">
        <is>
          <t xml:space="preserve">SKU-A</t>
        </is>
      </c>
      <c r="D865" s="3" t="inlineStr">
        <is>
          <t xml:space="preserve">Renewal Serum</t>
        </is>
      </c>
      <c r="E865" s="6">
        <f>IF('Settings'!$B$11="Scenario",IFERROR(INDEX('Catalogue'!$E$3:$E$100,MATCH(C865,'Catalogue'!$B$3:$B$100,0)),F865),F865)</f>
        <v>69.9</v>
      </c>
      <c r="F865" s="8">
        <v>69.9</v>
      </c>
      <c r="G865" s="3">
        <v>1</v>
      </c>
      <c r="H865" s="6">
        <f>IF('Settings'!$B$11="Scenario",ROUND(E865*G865*IFERROR(SUMIF('Pricing &amp; promotions'!$A$6:$A$8,L865,'Pricing &amp; promotions'!$B$6:$B$8)/100,0),2),J865)</f>
        <v>0.0</v>
      </c>
      <c r="I865" s="6">
        <f>ROUND((E865*G865-H865)/IF(OR(K865=TRUE,K865="TRUE",K865="YES",K865=1),1+'Settings'!$B$6/100,1),2)</f>
        <v>57.77</v>
      </c>
      <c r="J865" s="8">
        <v>0.0</v>
      </c>
      <c r="K865" s="3" t="inlineStr">
        <is>
          <t xml:space="preserve">TRUE</t>
        </is>
      </c>
      <c r="L865" s="3"/>
      <c r="M865" s="6">
        <f>ROUND(E865*G865-H865,2)</f>
        <v>69.9</v>
      </c>
      <c r="N865" s="5">
        <f>IF(COUNTIF($A$3:A865,A865)=1,1,0)</f>
        <v>0</v>
      </c>
      <c r="O865" s="6">
        <f>IF(N865=1,ROUND((SUMIFS($M$3:$M$1200,$A$3:$A$1200,A865)+'Settings'!$B$13)*'Settings'!$B$14/100+'Settings'!$B$15,2),0)</f>
        <v>0</v>
      </c>
    </row>
    <row r="866">
      <c r="A866" s="3" t="inlineStr">
        <is>
          <t xml:space="preserve">#1639</t>
        </is>
      </c>
      <c r="B866" s="3" t="inlineStr">
        <is>
          <t xml:space="preserve">2026-07-20</t>
        </is>
      </c>
      <c r="C866" s="3" t="inlineStr">
        <is>
          <t xml:space="preserve">SKU-D</t>
        </is>
      </c>
      <c r="D866" s="3" t="inlineStr">
        <is>
          <t xml:space="preserve">Daily Duo</t>
        </is>
      </c>
      <c r="E866" s="6">
        <f>IF('Settings'!$B$11="Scenario",IFERROR(INDEX('Catalogue'!$E$3:$E$100,MATCH(C866,'Catalogue'!$B$3:$B$100,0)),F866),F866)</f>
        <v>79</v>
      </c>
      <c r="F866" s="8">
        <v>79</v>
      </c>
      <c r="G866" s="3">
        <v>1</v>
      </c>
      <c r="H866" s="6">
        <f>IF('Settings'!$B$11="Scenario",ROUND(E866*G866*IFERROR(SUMIF('Pricing &amp; promotions'!$A$6:$A$8,L866,'Pricing &amp; promotions'!$B$6:$B$8)/100,0),2),J866)</f>
        <v>7.9</v>
      </c>
      <c r="I866" s="6">
        <f>ROUND((E866*G866-H866)/IF(OR(K866=TRUE,K866="TRUE",K866="YES",K866=1),1+'Settings'!$B$6/100,1),2)</f>
        <v>58.76</v>
      </c>
      <c r="J866" s="8">
        <v>7.9</v>
      </c>
      <c r="K866" s="3" t="inlineStr">
        <is>
          <t xml:space="preserve">TRUE</t>
        </is>
      </c>
      <c r="L866" s="3" t="inlineStr">
        <is>
          <t xml:space="preserve">WELCOME10</t>
        </is>
      </c>
      <c r="M866" s="6">
        <f>ROUND(E866*G866-H866,2)</f>
        <v>71.1</v>
      </c>
      <c r="N866" s="5">
        <f>IF(COUNTIF($A$3:A866,A866)=1,1,0)</f>
        <v>1</v>
      </c>
      <c r="O866" s="6">
        <f>IF(N866=1,ROUND((SUMIFS($M$3:$M$1200,$A$3:$A$1200,A866)+'Settings'!$B$13)*'Settings'!$B$14/100+'Settings'!$B$15,2),0)</f>
        <v>1.36</v>
      </c>
    </row>
    <row r="867">
      <c r="A867" s="3" t="inlineStr">
        <is>
          <t xml:space="preserve">#1640</t>
        </is>
      </c>
      <c r="B867" s="3" t="inlineStr">
        <is>
          <t xml:space="preserve">2026-07-20</t>
        </is>
      </c>
      <c r="C867" s="3" t="inlineStr">
        <is>
          <t xml:space="preserve">SKU-A</t>
        </is>
      </c>
      <c r="D867" s="3" t="inlineStr">
        <is>
          <t xml:space="preserve">Renewal Serum</t>
        </is>
      </c>
      <c r="E867" s="6">
        <f>IF('Settings'!$B$11="Scenario",IFERROR(INDEX('Catalogue'!$E$3:$E$100,MATCH(C867,'Catalogue'!$B$3:$B$100,0)),F867),F867)</f>
        <v>69.9</v>
      </c>
      <c r="F867" s="8">
        <v>69.9</v>
      </c>
      <c r="G867" s="3">
        <v>1</v>
      </c>
      <c r="H867" s="6">
        <f>IF('Settings'!$B$11="Scenario",ROUND(E867*G867*IFERROR(SUMIF('Pricing &amp; promotions'!$A$6:$A$8,L867,'Pricing &amp; promotions'!$B$6:$B$8)/100,0),2),J867)</f>
        <v>0.0</v>
      </c>
      <c r="I867" s="6">
        <f>ROUND((E867*G867-H867)/IF(OR(K867=TRUE,K867="TRUE",K867="YES",K867=1),1+'Settings'!$B$6/100,1),2)</f>
        <v>57.77</v>
      </c>
      <c r="J867" s="8">
        <v>0.0</v>
      </c>
      <c r="K867" s="3" t="inlineStr">
        <is>
          <t xml:space="preserve">TRUE</t>
        </is>
      </c>
      <c r="L867" s="3"/>
      <c r="M867" s="6">
        <f>ROUND(E867*G867-H867,2)</f>
        <v>69.9</v>
      </c>
      <c r="N867" s="5">
        <f>IF(COUNTIF($A$3:A867,A867)=1,1,0)</f>
        <v>1</v>
      </c>
      <c r="O867" s="6">
        <f>IF(N867=1,ROUND((SUMIFS($M$3:$M$1200,$A$3:$A$1200,A867)+'Settings'!$B$13)*'Settings'!$B$14/100+'Settings'!$B$15,2),0)</f>
        <v>1.34</v>
      </c>
    </row>
    <row r="868">
      <c r="A868" s="3" t="inlineStr">
        <is>
          <t xml:space="preserve">#1641</t>
        </is>
      </c>
      <c r="B868" s="3" t="inlineStr">
        <is>
          <t xml:space="preserve">2026-07-21</t>
        </is>
      </c>
      <c r="C868" s="3" t="inlineStr">
        <is>
          <t xml:space="preserve">SKU-A</t>
        </is>
      </c>
      <c r="D868" s="3" t="inlineStr">
        <is>
          <t xml:space="preserve">Renewal Serum</t>
        </is>
      </c>
      <c r="E868" s="6">
        <f>IF('Settings'!$B$11="Scenario",IFERROR(INDEX('Catalogue'!$E$3:$E$100,MATCH(C868,'Catalogue'!$B$3:$B$100,0)),F868),F868)</f>
        <v>69.9</v>
      </c>
      <c r="F868" s="8">
        <v>69.9</v>
      </c>
      <c r="G868" s="3">
        <v>1</v>
      </c>
      <c r="H868" s="6">
        <f>IF('Settings'!$B$11="Scenario",ROUND(E868*G868*IFERROR(SUMIF('Pricing &amp; promotions'!$A$6:$A$8,L868,'Pricing &amp; promotions'!$B$6:$B$8)/100,0),2),J868)</f>
        <v>0.0</v>
      </c>
      <c r="I868" s="6">
        <f>ROUND((E868*G868-H868)/IF(OR(K868=TRUE,K868="TRUE",K868="YES",K868=1),1+'Settings'!$B$6/100,1),2)</f>
        <v>57.77</v>
      </c>
      <c r="J868" s="8">
        <v>0.0</v>
      </c>
      <c r="K868" s="3" t="inlineStr">
        <is>
          <t xml:space="preserve">TRUE</t>
        </is>
      </c>
      <c r="L868" s="3"/>
      <c r="M868" s="6">
        <f>ROUND(E868*G868-H868,2)</f>
        <v>69.9</v>
      </c>
      <c r="N868" s="5">
        <f>IF(COUNTIF($A$3:A868,A868)=1,1,0)</f>
        <v>1</v>
      </c>
      <c r="O868" s="6">
        <f>IF(N868=1,ROUND((SUMIFS($M$3:$M$1200,$A$3:$A$1200,A868)+'Settings'!$B$13)*'Settings'!$B$14/100+'Settings'!$B$15,2),0)</f>
        <v>1.34</v>
      </c>
    </row>
    <row r="869">
      <c r="A869" s="3" t="inlineStr">
        <is>
          <t xml:space="preserve">#1642</t>
        </is>
      </c>
      <c r="B869" s="3" t="inlineStr">
        <is>
          <t xml:space="preserve">2026-07-21</t>
        </is>
      </c>
      <c r="C869" s="3" t="inlineStr">
        <is>
          <t xml:space="preserve">SKU-E</t>
        </is>
      </c>
      <c r="D869" s="3" t="inlineStr">
        <is>
          <t xml:space="preserve">Complete Ritual</t>
        </is>
      </c>
      <c r="E869" s="6">
        <f>IF('Settings'!$B$11="Scenario",IFERROR(INDEX('Catalogue'!$E$3:$E$100,MATCH(C869,'Catalogue'!$B$3:$B$100,0)),F869),F869)</f>
        <v>89</v>
      </c>
      <c r="F869" s="8">
        <v>89</v>
      </c>
      <c r="G869" s="3">
        <v>1</v>
      </c>
      <c r="H869" s="6">
        <f>IF('Settings'!$B$11="Scenario",ROUND(E869*G869*IFERROR(SUMIF('Pricing &amp; promotions'!$A$6:$A$8,L869,'Pricing &amp; promotions'!$B$6:$B$8)/100,0),2),J869)</f>
        <v>8.9</v>
      </c>
      <c r="I869" s="6">
        <f>ROUND((E869*G869-H869)/IF(OR(K869=TRUE,K869="TRUE",K869="YES",K869=1),1+'Settings'!$B$6/100,1),2)</f>
        <v>66.2</v>
      </c>
      <c r="J869" s="8">
        <v>8.9</v>
      </c>
      <c r="K869" s="3" t="inlineStr">
        <is>
          <t xml:space="preserve">TRUE</t>
        </is>
      </c>
      <c r="L869" s="3" t="inlineStr">
        <is>
          <t xml:space="preserve">WELCOME10</t>
        </is>
      </c>
      <c r="M869" s="6">
        <f>ROUND(E869*G869-H869,2)</f>
        <v>80.1</v>
      </c>
      <c r="N869" s="5">
        <f>IF(COUNTIF($A$3:A869,A869)=1,1,0)</f>
        <v>1</v>
      </c>
      <c r="O869" s="6">
        <f>IF(N869=1,ROUND((SUMIFS($M$3:$M$1200,$A$3:$A$1200,A869)+'Settings'!$B$13)*'Settings'!$B$14/100+'Settings'!$B$15,2),0)</f>
        <v>1.5</v>
      </c>
    </row>
    <row r="870">
      <c r="A870" s="3" t="inlineStr">
        <is>
          <t xml:space="preserve">#1643</t>
        </is>
      </c>
      <c r="B870" s="3" t="inlineStr">
        <is>
          <t xml:space="preserve">2026-07-21</t>
        </is>
      </c>
      <c r="C870" s="3" t="inlineStr">
        <is>
          <t xml:space="preserve">SKU-E</t>
        </is>
      </c>
      <c r="D870" s="3" t="inlineStr">
        <is>
          <t xml:space="preserve">Complete Ritual</t>
        </is>
      </c>
      <c r="E870" s="6">
        <f>IF('Settings'!$B$11="Scenario",IFERROR(INDEX('Catalogue'!$E$3:$E$100,MATCH(C870,'Catalogue'!$B$3:$B$100,0)),F870),F870)</f>
        <v>89</v>
      </c>
      <c r="F870" s="8">
        <v>89</v>
      </c>
      <c r="G870" s="3">
        <v>1</v>
      </c>
      <c r="H870" s="6">
        <f>IF('Settings'!$B$11="Scenario",ROUND(E870*G870*IFERROR(SUMIF('Pricing &amp; promotions'!$A$6:$A$8,L870,'Pricing &amp; promotions'!$B$6:$B$8)/100,0),2),J870)</f>
        <v>0.0</v>
      </c>
      <c r="I870" s="6">
        <f>ROUND((E870*G870-H870)/IF(OR(K870=TRUE,K870="TRUE",K870="YES",K870=1),1+'Settings'!$B$6/100,1),2)</f>
        <v>73.55</v>
      </c>
      <c r="J870" s="8">
        <v>0.0</v>
      </c>
      <c r="K870" s="3" t="inlineStr">
        <is>
          <t xml:space="preserve">TRUE</t>
        </is>
      </c>
      <c r="L870" s="3"/>
      <c r="M870" s="6">
        <f>ROUND(E870*G870-H870,2)</f>
        <v>89.0</v>
      </c>
      <c r="N870" s="5">
        <f>IF(COUNTIF($A$3:A870,A870)=1,1,0)</f>
        <v>1</v>
      </c>
      <c r="O870" s="6">
        <f>IF(N870=1,ROUND((SUMIFS($M$3:$M$1200,$A$3:$A$1200,A870)+'Settings'!$B$13)*'Settings'!$B$14/100+'Settings'!$B$15,2),0)</f>
        <v>3.86</v>
      </c>
    </row>
    <row r="871">
      <c r="A871" s="3" t="inlineStr">
        <is>
          <t xml:space="preserve">#1643</t>
        </is>
      </c>
      <c r="B871" s="3" t="inlineStr">
        <is>
          <t xml:space="preserve">2026-07-21</t>
        </is>
      </c>
      <c r="C871" s="3" t="inlineStr">
        <is>
          <t xml:space="preserve">SKU-A</t>
        </is>
      </c>
      <c r="D871" s="3" t="inlineStr">
        <is>
          <t xml:space="preserve">Renewal Serum</t>
        </is>
      </c>
      <c r="E871" s="6">
        <f>IF('Settings'!$B$11="Scenario",IFERROR(INDEX('Catalogue'!$E$3:$E$100,MATCH(C871,'Catalogue'!$B$3:$B$100,0)),F871),F871)</f>
        <v>69.9</v>
      </c>
      <c r="F871" s="8">
        <v>69.9</v>
      </c>
      <c r="G871" s="3">
        <v>1</v>
      </c>
      <c r="H871" s="6">
        <f>IF('Settings'!$B$11="Scenario",ROUND(E871*G871*IFERROR(SUMIF('Pricing &amp; promotions'!$A$6:$A$8,L871,'Pricing &amp; promotions'!$B$6:$B$8)/100,0),2),J871)</f>
        <v>0.0</v>
      </c>
      <c r="I871" s="6">
        <f>ROUND((E871*G871-H871)/IF(OR(K871=TRUE,K871="TRUE",K871="YES",K871=1),1+'Settings'!$B$6/100,1),2)</f>
        <v>57.77</v>
      </c>
      <c r="J871" s="8">
        <v>0.0</v>
      </c>
      <c r="K871" s="3" t="inlineStr">
        <is>
          <t xml:space="preserve">TRUE</t>
        </is>
      </c>
      <c r="L871" s="3"/>
      <c r="M871" s="6">
        <f>ROUND(E871*G871-H871,2)</f>
        <v>69.9</v>
      </c>
      <c r="N871" s="5">
        <f>IF(COUNTIF($A$3:A871,A871)=1,1,0)</f>
        <v>0</v>
      </c>
      <c r="O871" s="6">
        <f>IF(N871=1,ROUND((SUMIFS($M$3:$M$1200,$A$3:$A$1200,A871)+'Settings'!$B$13)*'Settings'!$B$14/100+'Settings'!$B$15,2),0)</f>
        <v>0</v>
      </c>
    </row>
    <row r="872">
      <c r="A872" s="3" t="inlineStr">
        <is>
          <t xml:space="preserve">#1643</t>
        </is>
      </c>
      <c r="B872" s="3" t="inlineStr">
        <is>
          <t xml:space="preserve">2026-07-21</t>
        </is>
      </c>
      <c r="C872" s="3" t="inlineStr">
        <is>
          <t xml:space="preserve">SKU-D</t>
        </is>
      </c>
      <c r="D872" s="3" t="inlineStr">
        <is>
          <t xml:space="preserve">Daily Duo</t>
        </is>
      </c>
      <c r="E872" s="6">
        <f>IF('Settings'!$B$11="Scenario",IFERROR(INDEX('Catalogue'!$E$3:$E$100,MATCH(C872,'Catalogue'!$B$3:$B$100,0)),F872),F872)</f>
        <v>79</v>
      </c>
      <c r="F872" s="8">
        <v>79</v>
      </c>
      <c r="G872" s="3">
        <v>1</v>
      </c>
      <c r="H872" s="6">
        <f>IF('Settings'!$B$11="Scenario",ROUND(E872*G872*IFERROR(SUMIF('Pricing &amp; promotions'!$A$6:$A$8,L872,'Pricing &amp; promotions'!$B$6:$B$8)/100,0),2),J872)</f>
        <v>0.0</v>
      </c>
      <c r="I872" s="6">
        <f>ROUND((E872*G872-H872)/IF(OR(K872=TRUE,K872="TRUE",K872="YES",K872=1),1+'Settings'!$B$6/100,1),2)</f>
        <v>65.29</v>
      </c>
      <c r="J872" s="8">
        <v>0.0</v>
      </c>
      <c r="K872" s="3" t="inlineStr">
        <is>
          <t xml:space="preserve">TRUE</t>
        </is>
      </c>
      <c r="L872" s="3"/>
      <c r="M872" s="6">
        <f>ROUND(E872*G872-H872,2)</f>
        <v>79.0</v>
      </c>
      <c r="N872" s="5">
        <f>IF(COUNTIF($A$3:A872,A872)=1,1,0)</f>
        <v>0</v>
      </c>
      <c r="O872" s="6">
        <f>IF(N872=1,ROUND((SUMIFS($M$3:$M$1200,$A$3:$A$1200,A872)+'Settings'!$B$13)*'Settings'!$B$14/100+'Settings'!$B$15,2),0)</f>
        <v>0</v>
      </c>
    </row>
    <row r="873">
      <c r="A873" s="3" t="inlineStr">
        <is>
          <t xml:space="preserve">#1644</t>
        </is>
      </c>
      <c r="B873" s="3" t="inlineStr">
        <is>
          <t xml:space="preserve">2026-07-21</t>
        </is>
      </c>
      <c r="C873" s="3" t="inlineStr">
        <is>
          <t xml:space="preserve">SKU-B</t>
        </is>
      </c>
      <c r="D873" s="3" t="inlineStr">
        <is>
          <t xml:space="preserve">Barrier Balm</t>
        </is>
      </c>
      <c r="E873" s="6">
        <f>IF('Settings'!$B$11="Scenario",IFERROR(INDEX('Catalogue'!$E$3:$E$100,MATCH(C873,'Catalogue'!$B$3:$B$100,0)),F873),F873)</f>
        <v>19</v>
      </c>
      <c r="F873" s="8">
        <v>19</v>
      </c>
      <c r="G873" s="3">
        <v>1</v>
      </c>
      <c r="H873" s="6">
        <f>IF('Settings'!$B$11="Scenario",ROUND(E873*G873*IFERROR(SUMIF('Pricing &amp; promotions'!$A$6:$A$8,L873,'Pricing &amp; promotions'!$B$6:$B$8)/100,0),2),J873)</f>
        <v>0.0</v>
      </c>
      <c r="I873" s="6">
        <f>ROUND((E873*G873-H873)/IF(OR(K873=TRUE,K873="TRUE",K873="YES",K873=1),1+'Settings'!$B$6/100,1),2)</f>
        <v>15.7</v>
      </c>
      <c r="J873" s="8">
        <v>0.0</v>
      </c>
      <c r="K873" s="3" t="inlineStr">
        <is>
          <t xml:space="preserve">TRUE</t>
        </is>
      </c>
      <c r="L873" s="3"/>
      <c r="M873" s="6">
        <f>ROUND(E873*G873-H873,2)</f>
        <v>19.0</v>
      </c>
      <c r="N873" s="5">
        <f>IF(COUNTIF($A$3:A873,A873)=1,1,0)</f>
        <v>1</v>
      </c>
      <c r="O873" s="6">
        <f>IF(N873=1,ROUND((SUMIFS($M$3:$M$1200,$A$3:$A$1200,A873)+'Settings'!$B$13)*'Settings'!$B$14/100+'Settings'!$B$15,2),0)</f>
        <v>0.58</v>
      </c>
    </row>
    <row r="874">
      <c r="A874" s="3" t="inlineStr">
        <is>
          <t xml:space="preserve">#1645</t>
        </is>
      </c>
      <c r="B874" s="3" t="inlineStr">
        <is>
          <t xml:space="preserve">2026-07-22</t>
        </is>
      </c>
      <c r="C874" s="3" t="inlineStr">
        <is>
          <t xml:space="preserve">SKU-E</t>
        </is>
      </c>
      <c r="D874" s="3" t="inlineStr">
        <is>
          <t xml:space="preserve">Complete Ritual</t>
        </is>
      </c>
      <c r="E874" s="6">
        <f>IF('Settings'!$B$11="Scenario",IFERROR(INDEX('Catalogue'!$E$3:$E$100,MATCH(C874,'Catalogue'!$B$3:$B$100,0)),F874),F874)</f>
        <v>89</v>
      </c>
      <c r="F874" s="8">
        <v>89</v>
      </c>
      <c r="G874" s="3">
        <v>2</v>
      </c>
      <c r="H874" s="6">
        <f>IF('Settings'!$B$11="Scenario",ROUND(E874*G874*IFERROR(SUMIF('Pricing &amp; promotions'!$A$6:$A$8,L874,'Pricing &amp; promotions'!$B$6:$B$8)/100,0),2),J874)</f>
        <v>26.7</v>
      </c>
      <c r="I874" s="6">
        <f>ROUND((E874*G874-H874)/IF(OR(K874=TRUE,K874="TRUE",K874="YES",K874=1),1+'Settings'!$B$6/100,1),2)</f>
        <v>125.04</v>
      </c>
      <c r="J874" s="8">
        <v>26.7</v>
      </c>
      <c r="K874" s="3" t="inlineStr">
        <is>
          <t xml:space="preserve">TRUE</t>
        </is>
      </c>
      <c r="L874" s="3" t="inlineStr">
        <is>
          <t xml:space="preserve">SUMMER15</t>
        </is>
      </c>
      <c r="M874" s="6">
        <f>ROUND(E874*G874-H874,2)</f>
        <v>151.3</v>
      </c>
      <c r="N874" s="5">
        <f>IF(COUNTIF($A$3:A874,A874)=1,1,0)</f>
        <v>1</v>
      </c>
      <c r="O874" s="6">
        <f>IF(N874=1,ROUND((SUMIFS($M$3:$M$1200,$A$3:$A$1200,A874)+'Settings'!$B$13)*'Settings'!$B$14/100+'Settings'!$B$15,2),0)</f>
        <v>2.56</v>
      </c>
    </row>
    <row r="875">
      <c r="A875" s="3" t="inlineStr">
        <is>
          <t xml:space="preserve">#1646</t>
        </is>
      </c>
      <c r="B875" s="3" t="inlineStr">
        <is>
          <t xml:space="preserve">2026-07-23</t>
        </is>
      </c>
      <c r="C875" s="3" t="inlineStr">
        <is>
          <t xml:space="preserve">SKU-A</t>
        </is>
      </c>
      <c r="D875" s="3" t="inlineStr">
        <is>
          <t xml:space="preserve">Renewal Serum</t>
        </is>
      </c>
      <c r="E875" s="6">
        <f>IF('Settings'!$B$11="Scenario",IFERROR(INDEX('Catalogue'!$E$3:$E$100,MATCH(C875,'Catalogue'!$B$3:$B$100,0)),F875),F875)</f>
        <v>69.9</v>
      </c>
      <c r="F875" s="8">
        <v>69.9</v>
      </c>
      <c r="G875" s="3">
        <v>1</v>
      </c>
      <c r="H875" s="6">
        <f>IF('Settings'!$B$11="Scenario",ROUND(E875*G875*IFERROR(SUMIF('Pricing &amp; promotions'!$A$6:$A$8,L875,'Pricing &amp; promotions'!$B$6:$B$8)/100,0),2),J875)</f>
        <v>0.0</v>
      </c>
      <c r="I875" s="6">
        <f>ROUND((E875*G875-H875)/IF(OR(K875=TRUE,K875="TRUE",K875="YES",K875=1),1+'Settings'!$B$6/100,1),2)</f>
        <v>57.77</v>
      </c>
      <c r="J875" s="8">
        <v>0.0</v>
      </c>
      <c r="K875" s="3" t="inlineStr">
        <is>
          <t xml:space="preserve">TRUE</t>
        </is>
      </c>
      <c r="L875" s="3"/>
      <c r="M875" s="6">
        <f>ROUND(E875*G875-H875,2)</f>
        <v>69.9</v>
      </c>
      <c r="N875" s="5">
        <f>IF(COUNTIF($A$3:A875,A875)=1,1,0)</f>
        <v>1</v>
      </c>
      <c r="O875" s="6">
        <f>IF(N875=1,ROUND((SUMIFS($M$3:$M$1200,$A$3:$A$1200,A875)+'Settings'!$B$13)*'Settings'!$B$14/100+'Settings'!$B$15,2),0)</f>
        <v>1.34</v>
      </c>
    </row>
    <row r="876">
      <c r="A876" s="3" t="inlineStr">
        <is>
          <t xml:space="preserve">#1647</t>
        </is>
      </c>
      <c r="B876" s="3" t="inlineStr">
        <is>
          <t xml:space="preserve">2026-07-23</t>
        </is>
      </c>
      <c r="C876" s="3" t="inlineStr">
        <is>
          <t xml:space="preserve">SKU-B</t>
        </is>
      </c>
      <c r="D876" s="3" t="inlineStr">
        <is>
          <t xml:space="preserve">Barrier Balm</t>
        </is>
      </c>
      <c r="E876" s="6">
        <f>IF('Settings'!$B$11="Scenario",IFERROR(INDEX('Catalogue'!$E$3:$E$100,MATCH(C876,'Catalogue'!$B$3:$B$100,0)),F876),F876)</f>
        <v>19</v>
      </c>
      <c r="F876" s="8">
        <v>19</v>
      </c>
      <c r="G876" s="3">
        <v>1</v>
      </c>
      <c r="H876" s="6">
        <f>IF('Settings'!$B$11="Scenario",ROUND(E876*G876*IFERROR(SUMIF('Pricing &amp; promotions'!$A$6:$A$8,L876,'Pricing &amp; promotions'!$B$6:$B$8)/100,0),2),J876)</f>
        <v>0.0</v>
      </c>
      <c r="I876" s="6">
        <f>ROUND((E876*G876-H876)/IF(OR(K876=TRUE,K876="TRUE",K876="YES",K876=1),1+'Settings'!$B$6/100,1),2)</f>
        <v>15.7</v>
      </c>
      <c r="J876" s="8">
        <v>0.0</v>
      </c>
      <c r="K876" s="3" t="inlineStr">
        <is>
          <t xml:space="preserve">TRUE</t>
        </is>
      </c>
      <c r="L876" s="3"/>
      <c r="M876" s="6">
        <f>ROUND(E876*G876-H876,2)</f>
        <v>19.0</v>
      </c>
      <c r="N876" s="5">
        <f>IF(COUNTIF($A$3:A876,A876)=1,1,0)</f>
        <v>1</v>
      </c>
      <c r="O876" s="6">
        <f>IF(N876=1,ROUND((SUMIFS($M$3:$M$1200,$A$3:$A$1200,A876)+'Settings'!$B$13)*'Settings'!$B$14/100+'Settings'!$B$15,2),0)</f>
        <v>1.76</v>
      </c>
    </row>
    <row r="877">
      <c r="A877" s="3" t="inlineStr">
        <is>
          <t xml:space="preserve">#1647</t>
        </is>
      </c>
      <c r="B877" s="3" t="inlineStr">
        <is>
          <t xml:space="preserve">2026-07-23</t>
        </is>
      </c>
      <c r="C877" s="3" t="inlineStr">
        <is>
          <t xml:space="preserve">SKU-D</t>
        </is>
      </c>
      <c r="D877" s="3" t="inlineStr">
        <is>
          <t xml:space="preserve">Daily Duo</t>
        </is>
      </c>
      <c r="E877" s="6">
        <f>IF('Settings'!$B$11="Scenario",IFERROR(INDEX('Catalogue'!$E$3:$E$100,MATCH(C877,'Catalogue'!$B$3:$B$100,0)),F877),F877)</f>
        <v>79</v>
      </c>
      <c r="F877" s="8">
        <v>79</v>
      </c>
      <c r="G877" s="3">
        <v>1</v>
      </c>
      <c r="H877" s="6">
        <f>IF('Settings'!$B$11="Scenario",ROUND(E877*G877*IFERROR(SUMIF('Pricing &amp; promotions'!$A$6:$A$8,L877,'Pricing &amp; promotions'!$B$6:$B$8)/100,0),2),J877)</f>
        <v>0.0</v>
      </c>
      <c r="I877" s="6">
        <f>ROUND((E877*G877-H877)/IF(OR(K877=TRUE,K877="TRUE",K877="YES",K877=1),1+'Settings'!$B$6/100,1),2)</f>
        <v>65.29</v>
      </c>
      <c r="J877" s="8">
        <v>0.0</v>
      </c>
      <c r="K877" s="3" t="inlineStr">
        <is>
          <t xml:space="preserve">TRUE</t>
        </is>
      </c>
      <c r="L877" s="3"/>
      <c r="M877" s="6">
        <f>ROUND(E877*G877-H877,2)</f>
        <v>79.0</v>
      </c>
      <c r="N877" s="5">
        <f>IF(COUNTIF($A$3:A877,A877)=1,1,0)</f>
        <v>0</v>
      </c>
      <c r="O877" s="6">
        <f>IF(N877=1,ROUND((SUMIFS($M$3:$M$1200,$A$3:$A$1200,A877)+'Settings'!$B$13)*'Settings'!$B$14/100+'Settings'!$B$15,2),0)</f>
        <v>0</v>
      </c>
    </row>
    <row r="878">
      <c r="A878" s="3" t="inlineStr">
        <is>
          <t xml:space="preserve">#1648</t>
        </is>
      </c>
      <c r="B878" s="3" t="inlineStr">
        <is>
          <t xml:space="preserve">2026-07-24</t>
        </is>
      </c>
      <c r="C878" s="3" t="inlineStr">
        <is>
          <t xml:space="preserve">SKU-D</t>
        </is>
      </c>
      <c r="D878" s="3" t="inlineStr">
        <is>
          <t xml:space="preserve">Daily Duo</t>
        </is>
      </c>
      <c r="E878" s="6">
        <f>IF('Settings'!$B$11="Scenario",IFERROR(INDEX('Catalogue'!$E$3:$E$100,MATCH(C878,'Catalogue'!$B$3:$B$100,0)),F878),F878)</f>
        <v>79</v>
      </c>
      <c r="F878" s="8">
        <v>79</v>
      </c>
      <c r="G878" s="3">
        <v>1</v>
      </c>
      <c r="H878" s="6">
        <f>IF('Settings'!$B$11="Scenario",ROUND(E878*G878*IFERROR(SUMIF('Pricing &amp; promotions'!$A$6:$A$8,L878,'Pricing &amp; promotions'!$B$6:$B$8)/100,0),2),J878)</f>
        <v>7.9</v>
      </c>
      <c r="I878" s="6">
        <f>ROUND((E878*G878-H878)/IF(OR(K878=TRUE,K878="TRUE",K878="YES",K878=1),1+'Settings'!$B$6/100,1),2)</f>
        <v>58.76</v>
      </c>
      <c r="J878" s="8">
        <v>7.9</v>
      </c>
      <c r="K878" s="3" t="inlineStr">
        <is>
          <t xml:space="preserve">TRUE</t>
        </is>
      </c>
      <c r="L878" s="3" t="inlineStr">
        <is>
          <t xml:space="preserve">WELCOME10</t>
        </is>
      </c>
      <c r="M878" s="6">
        <f>ROUND(E878*G878-H878,2)</f>
        <v>71.1</v>
      </c>
      <c r="N878" s="5">
        <f>IF(COUNTIF($A$3:A878,A878)=1,1,0)</f>
        <v>1</v>
      </c>
      <c r="O878" s="6">
        <f>IF(N878=1,ROUND((SUMIFS($M$3:$M$1200,$A$3:$A$1200,A878)+'Settings'!$B$13)*'Settings'!$B$14/100+'Settings'!$B$15,2),0)</f>
        <v>1.36</v>
      </c>
    </row>
    <row r="879">
      <c r="A879" s="3" t="inlineStr">
        <is>
          <t xml:space="preserve">#1649</t>
        </is>
      </c>
      <c r="B879" s="3" t="inlineStr">
        <is>
          <t xml:space="preserve">2026-07-25</t>
        </is>
      </c>
      <c r="C879" s="3" t="inlineStr">
        <is>
          <t xml:space="preserve">SKU-G</t>
        </is>
      </c>
      <c r="D879" s="3" t="inlineStr">
        <is>
          <t xml:space="preserve">Daily Reset Set</t>
        </is>
      </c>
      <c r="E879" s="6">
        <f>IF('Settings'!$B$11="Scenario",IFERROR(INDEX('Catalogue'!$E$3:$E$100,MATCH(C879,'Catalogue'!$B$3:$B$100,0)),F879),F879)</f>
        <v>69</v>
      </c>
      <c r="F879" s="8">
        <v>69</v>
      </c>
      <c r="G879" s="3">
        <v>1</v>
      </c>
      <c r="H879" s="6">
        <f>IF('Settings'!$B$11="Scenario",ROUND(E879*G879*IFERROR(SUMIF('Pricing &amp; promotions'!$A$6:$A$8,L879,'Pricing &amp; promotions'!$B$6:$B$8)/100,0),2),J879)</f>
        <v>13.8</v>
      </c>
      <c r="I879" s="6">
        <f>ROUND((E879*G879-H879)/IF(OR(K879=TRUE,K879="TRUE",K879="YES",K879=1),1+'Settings'!$B$6/100,1),2)</f>
        <v>45.62</v>
      </c>
      <c r="J879" s="8">
        <v>13.8</v>
      </c>
      <c r="K879" s="3" t="inlineStr">
        <is>
          <t xml:space="preserve">TRUE</t>
        </is>
      </c>
      <c r="L879" s="3" t="inlineStr">
        <is>
          <t xml:space="preserve">VIP20</t>
        </is>
      </c>
      <c r="M879" s="6">
        <f>ROUND(E879*G879-H879,2)</f>
        <v>55.2</v>
      </c>
      <c r="N879" s="5">
        <f>IF(COUNTIF($A$3:A879,A879)=1,1,0)</f>
        <v>1</v>
      </c>
      <c r="O879" s="6">
        <f>IF(N879=1,ROUND((SUMIFS($M$3:$M$1200,$A$3:$A$1200,A879)+'Settings'!$B$13)*'Settings'!$B$14/100+'Settings'!$B$15,2),0)</f>
        <v>1.96</v>
      </c>
    </row>
    <row r="880">
      <c r="A880" s="3" t="inlineStr">
        <is>
          <t xml:space="preserve">#1649</t>
        </is>
      </c>
      <c r="B880" s="3" t="inlineStr">
        <is>
          <t xml:space="preserve">2026-07-25</t>
        </is>
      </c>
      <c r="C880" s="3" t="inlineStr">
        <is>
          <t xml:space="preserve">SKU-A</t>
        </is>
      </c>
      <c r="D880" s="3" t="inlineStr">
        <is>
          <t xml:space="preserve">Renewal Serum</t>
        </is>
      </c>
      <c r="E880" s="6">
        <f>IF('Settings'!$B$11="Scenario",IFERROR(INDEX('Catalogue'!$E$3:$E$100,MATCH(C880,'Catalogue'!$B$3:$B$100,0)),F880),F880)</f>
        <v>69.9</v>
      </c>
      <c r="F880" s="8">
        <v>69.9</v>
      </c>
      <c r="G880" s="3">
        <v>1</v>
      </c>
      <c r="H880" s="6">
        <f>IF('Settings'!$B$11="Scenario",ROUND(E880*G880*IFERROR(SUMIF('Pricing &amp; promotions'!$A$6:$A$8,L880,'Pricing &amp; promotions'!$B$6:$B$8)/100,0),2),J880)</f>
        <v>13.98</v>
      </c>
      <c r="I880" s="6">
        <f>ROUND((E880*G880-H880)/IF(OR(K880=TRUE,K880="TRUE",K880="YES",K880=1),1+'Settings'!$B$6/100,1),2)</f>
        <v>46.21</v>
      </c>
      <c r="J880" s="8">
        <v>13.98</v>
      </c>
      <c r="K880" s="3" t="inlineStr">
        <is>
          <t xml:space="preserve">TRUE</t>
        </is>
      </c>
      <c r="L880" s="3" t="inlineStr">
        <is>
          <t xml:space="preserve">VIP20</t>
        </is>
      </c>
      <c r="M880" s="6">
        <f>ROUND(E880*G880-H880,2)</f>
        <v>55.92</v>
      </c>
      <c r="N880" s="5">
        <f>IF(COUNTIF($A$3:A880,A880)=1,1,0)</f>
        <v>0</v>
      </c>
      <c r="O880" s="6">
        <f>IF(N880=1,ROUND((SUMIFS($M$3:$M$1200,$A$3:$A$1200,A880)+'Settings'!$B$13)*'Settings'!$B$14/100+'Settings'!$B$15,2),0)</f>
        <v>0</v>
      </c>
    </row>
    <row r="881">
      <c r="A881" s="3" t="inlineStr">
        <is>
          <t xml:space="preserve">#1650</t>
        </is>
      </c>
      <c r="B881" s="3" t="inlineStr">
        <is>
          <t xml:space="preserve">2026-07-25</t>
        </is>
      </c>
      <c r="C881" s="3" t="inlineStr">
        <is>
          <t xml:space="preserve">SKU-C</t>
        </is>
      </c>
      <c r="D881" s="3" t="inlineStr">
        <is>
          <t xml:space="preserve">Contour Stone</t>
        </is>
      </c>
      <c r="E881" s="6">
        <f>IF('Settings'!$B$11="Scenario",IFERROR(INDEX('Catalogue'!$E$3:$E$100,MATCH(C881,'Catalogue'!$B$3:$B$100,0)),F881),F881)</f>
        <v>29</v>
      </c>
      <c r="F881" s="8">
        <v>29</v>
      </c>
      <c r="G881" s="3">
        <v>1</v>
      </c>
      <c r="H881" s="6">
        <f>IF('Settings'!$B$11="Scenario",ROUND(E881*G881*IFERROR(SUMIF('Pricing &amp; promotions'!$A$6:$A$8,L881,'Pricing &amp; promotions'!$B$6:$B$8)/100,0),2),J881)</f>
        <v>0.0</v>
      </c>
      <c r="I881" s="6">
        <f>ROUND((E881*G881-H881)/IF(OR(K881=TRUE,K881="TRUE",K881="YES",K881=1),1+'Settings'!$B$6/100,1),2)</f>
        <v>23.97</v>
      </c>
      <c r="J881" s="8">
        <v>0.0</v>
      </c>
      <c r="K881" s="3" t="inlineStr">
        <is>
          <t xml:space="preserve">TRUE</t>
        </is>
      </c>
      <c r="L881" s="3"/>
      <c r="M881" s="6">
        <f>ROUND(E881*G881-H881,2)</f>
        <v>29.0</v>
      </c>
      <c r="N881" s="5">
        <f>IF(COUNTIF($A$3:A881,A881)=1,1,0)</f>
        <v>1</v>
      </c>
      <c r="O881" s="6">
        <f>IF(N881=1,ROUND((SUMIFS($M$3:$M$1200,$A$3:$A$1200,A881)+'Settings'!$B$13)*'Settings'!$B$14/100+'Settings'!$B$15,2),0)</f>
        <v>2.06</v>
      </c>
    </row>
    <row r="882">
      <c r="A882" s="3" t="inlineStr">
        <is>
          <t xml:space="preserve">#1650</t>
        </is>
      </c>
      <c r="B882" s="3" t="inlineStr">
        <is>
          <t xml:space="preserve">2026-07-25</t>
        </is>
      </c>
      <c r="C882" s="3" t="inlineStr">
        <is>
          <t xml:space="preserve">SKU-E</t>
        </is>
      </c>
      <c r="D882" s="3" t="inlineStr">
        <is>
          <t xml:space="preserve">Complete Ritual</t>
        </is>
      </c>
      <c r="E882" s="6">
        <f>IF('Settings'!$B$11="Scenario",IFERROR(INDEX('Catalogue'!$E$3:$E$100,MATCH(C882,'Catalogue'!$B$3:$B$100,0)),F882),F882)</f>
        <v>89</v>
      </c>
      <c r="F882" s="8">
        <v>89</v>
      </c>
      <c r="G882" s="3">
        <v>1</v>
      </c>
      <c r="H882" s="6">
        <f>IF('Settings'!$B$11="Scenario",ROUND(E882*G882*IFERROR(SUMIF('Pricing &amp; promotions'!$A$6:$A$8,L882,'Pricing &amp; promotions'!$B$6:$B$8)/100,0),2),J882)</f>
        <v>0.0</v>
      </c>
      <c r="I882" s="6">
        <f>ROUND((E882*G882-H882)/IF(OR(K882=TRUE,K882="TRUE",K882="YES",K882=1),1+'Settings'!$B$6/100,1),2)</f>
        <v>73.55</v>
      </c>
      <c r="J882" s="8">
        <v>0.0</v>
      </c>
      <c r="K882" s="3" t="inlineStr">
        <is>
          <t xml:space="preserve">TRUE</t>
        </is>
      </c>
      <c r="L882" s="3"/>
      <c r="M882" s="6">
        <f>ROUND(E882*G882-H882,2)</f>
        <v>89.0</v>
      </c>
      <c r="N882" s="5">
        <f>IF(COUNTIF($A$3:A882,A882)=1,1,0)</f>
        <v>0</v>
      </c>
      <c r="O882" s="6">
        <f>IF(N882=1,ROUND((SUMIFS($M$3:$M$1200,$A$3:$A$1200,A882)+'Settings'!$B$13)*'Settings'!$B$14/100+'Settings'!$B$15,2),0)</f>
        <v>0</v>
      </c>
    </row>
    <row r="883">
      <c r="A883" s="3" t="inlineStr">
        <is>
          <t xml:space="preserve">#1651</t>
        </is>
      </c>
      <c r="B883" s="3" t="inlineStr">
        <is>
          <t xml:space="preserve">2026-07-26</t>
        </is>
      </c>
      <c r="C883" s="3" t="inlineStr">
        <is>
          <t xml:space="preserve">SKU-A</t>
        </is>
      </c>
      <c r="D883" s="3" t="inlineStr">
        <is>
          <t xml:space="preserve">Renewal Serum</t>
        </is>
      </c>
      <c r="E883" s="6">
        <f>IF('Settings'!$B$11="Scenario",IFERROR(INDEX('Catalogue'!$E$3:$E$100,MATCH(C883,'Catalogue'!$B$3:$B$100,0)),F883),F883)</f>
        <v>69.9</v>
      </c>
      <c r="F883" s="8">
        <v>69.9</v>
      </c>
      <c r="G883" s="3">
        <v>2</v>
      </c>
      <c r="H883" s="6">
        <f>IF('Settings'!$B$11="Scenario",ROUND(E883*G883*IFERROR(SUMIF('Pricing &amp; promotions'!$A$6:$A$8,L883,'Pricing &amp; promotions'!$B$6:$B$8)/100,0),2),J883)</f>
        <v>0.0</v>
      </c>
      <c r="I883" s="6">
        <f>ROUND((E883*G883-H883)/IF(OR(K883=TRUE,K883="TRUE",K883="YES",K883=1),1+'Settings'!$B$6/100,1),2)</f>
        <v>115.54</v>
      </c>
      <c r="J883" s="8">
        <v>0.0</v>
      </c>
      <c r="K883" s="3" t="inlineStr">
        <is>
          <t xml:space="preserve">TRUE</t>
        </is>
      </c>
      <c r="L883" s="3"/>
      <c r="M883" s="6">
        <f>ROUND(E883*G883-H883,2)</f>
        <v>139.8</v>
      </c>
      <c r="N883" s="5">
        <f>IF(COUNTIF($A$3:A883,A883)=1,1,0)</f>
        <v>1</v>
      </c>
      <c r="O883" s="6">
        <f>IF(N883=1,ROUND((SUMIFS($M$3:$M$1200,$A$3:$A$1200,A883)+'Settings'!$B$13)*'Settings'!$B$14/100+'Settings'!$B$15,2),0)</f>
        <v>2.39</v>
      </c>
    </row>
    <row r="884">
      <c r="A884" s="3" t="inlineStr">
        <is>
          <t xml:space="preserve">#1652</t>
        </is>
      </c>
      <c r="B884" s="3" t="inlineStr">
        <is>
          <t xml:space="preserve">2026-07-26</t>
        </is>
      </c>
      <c r="C884" s="3" t="inlineStr">
        <is>
          <t xml:space="preserve">SKU-A</t>
        </is>
      </c>
      <c r="D884" s="3" t="inlineStr">
        <is>
          <t xml:space="preserve">Renewal Serum</t>
        </is>
      </c>
      <c r="E884" s="6">
        <f>IF('Settings'!$B$11="Scenario",IFERROR(INDEX('Catalogue'!$E$3:$E$100,MATCH(C884,'Catalogue'!$B$3:$B$100,0)),F884),F884)</f>
        <v>69.9</v>
      </c>
      <c r="F884" s="8">
        <v>69.9</v>
      </c>
      <c r="G884" s="3">
        <v>1</v>
      </c>
      <c r="H884" s="6">
        <f>IF('Settings'!$B$11="Scenario",ROUND(E884*G884*IFERROR(SUMIF('Pricing &amp; promotions'!$A$6:$A$8,L884,'Pricing &amp; promotions'!$B$6:$B$8)/100,0),2),J884)</f>
        <v>0.0</v>
      </c>
      <c r="I884" s="6">
        <f>ROUND((E884*G884-H884)/IF(OR(K884=TRUE,K884="TRUE",K884="YES",K884=1),1+'Settings'!$B$6/100,1),2)</f>
        <v>57.77</v>
      </c>
      <c r="J884" s="8">
        <v>0.0</v>
      </c>
      <c r="K884" s="3" t="inlineStr">
        <is>
          <t xml:space="preserve">TRUE</t>
        </is>
      </c>
      <c r="L884" s="3"/>
      <c r="M884" s="6">
        <f>ROUND(E884*G884-H884,2)</f>
        <v>69.9</v>
      </c>
      <c r="N884" s="5">
        <f>IF(COUNTIF($A$3:A884,A884)=1,1,0)</f>
        <v>1</v>
      </c>
      <c r="O884" s="6">
        <f>IF(N884=1,ROUND((SUMIFS($M$3:$M$1200,$A$3:$A$1200,A884)+'Settings'!$B$13)*'Settings'!$B$14/100+'Settings'!$B$15,2),0)</f>
        <v>2.53</v>
      </c>
    </row>
    <row r="885">
      <c r="A885" s="3" t="inlineStr">
        <is>
          <t xml:space="preserve">#1652</t>
        </is>
      </c>
      <c r="B885" s="3" t="inlineStr">
        <is>
          <t xml:space="preserve">2026-07-26</t>
        </is>
      </c>
      <c r="C885" s="3" t="inlineStr">
        <is>
          <t xml:space="preserve">SKU-D</t>
        </is>
      </c>
      <c r="D885" s="3" t="inlineStr">
        <is>
          <t xml:space="preserve">Daily Duo</t>
        </is>
      </c>
      <c r="E885" s="6">
        <f>IF('Settings'!$B$11="Scenario",IFERROR(INDEX('Catalogue'!$E$3:$E$100,MATCH(C885,'Catalogue'!$B$3:$B$100,0)),F885),F885)</f>
        <v>79</v>
      </c>
      <c r="F885" s="8">
        <v>79</v>
      </c>
      <c r="G885" s="3">
        <v>1</v>
      </c>
      <c r="H885" s="6">
        <f>IF('Settings'!$B$11="Scenario",ROUND(E885*G885*IFERROR(SUMIF('Pricing &amp; promotions'!$A$6:$A$8,L885,'Pricing &amp; promotions'!$B$6:$B$8)/100,0),2),J885)</f>
        <v>0.0</v>
      </c>
      <c r="I885" s="6">
        <f>ROUND((E885*G885-H885)/IF(OR(K885=TRUE,K885="TRUE",K885="YES",K885=1),1+'Settings'!$B$6/100,1),2)</f>
        <v>65.29</v>
      </c>
      <c r="J885" s="8">
        <v>0.0</v>
      </c>
      <c r="K885" s="3" t="inlineStr">
        <is>
          <t xml:space="preserve">TRUE</t>
        </is>
      </c>
      <c r="L885" s="3"/>
      <c r="M885" s="6">
        <f>ROUND(E885*G885-H885,2)</f>
        <v>79.0</v>
      </c>
      <c r="N885" s="5">
        <f>IF(COUNTIF($A$3:A885,A885)=1,1,0)</f>
        <v>0</v>
      </c>
      <c r="O885" s="6">
        <f>IF(N885=1,ROUND((SUMIFS($M$3:$M$1200,$A$3:$A$1200,A885)+'Settings'!$B$13)*'Settings'!$B$14/100+'Settings'!$B$15,2),0)</f>
        <v>0</v>
      </c>
    </row>
    <row r="886">
      <c r="A886" s="3" t="inlineStr">
        <is>
          <t xml:space="preserve">#1653</t>
        </is>
      </c>
      <c r="B886" s="3" t="inlineStr">
        <is>
          <t xml:space="preserve">2026-07-28</t>
        </is>
      </c>
      <c r="C886" s="3" t="inlineStr">
        <is>
          <t xml:space="preserve">SKU-E</t>
        </is>
      </c>
      <c r="D886" s="3" t="inlineStr">
        <is>
          <t xml:space="preserve">Complete Ritual</t>
        </is>
      </c>
      <c r="E886" s="6">
        <f>IF('Settings'!$B$11="Scenario",IFERROR(INDEX('Catalogue'!$E$3:$E$100,MATCH(C886,'Catalogue'!$B$3:$B$100,0)),F886),F886)</f>
        <v>89</v>
      </c>
      <c r="F886" s="8">
        <v>89</v>
      </c>
      <c r="G886" s="3">
        <v>1</v>
      </c>
      <c r="H886" s="6">
        <f>IF('Settings'!$B$11="Scenario",ROUND(E886*G886*IFERROR(SUMIF('Pricing &amp; promotions'!$A$6:$A$8,L886,'Pricing &amp; promotions'!$B$6:$B$8)/100,0),2),J886)</f>
        <v>0.0</v>
      </c>
      <c r="I886" s="6">
        <f>ROUND((E886*G886-H886)/IF(OR(K886=TRUE,K886="TRUE",K886="YES",K886=1),1+'Settings'!$B$6/100,1),2)</f>
        <v>73.55</v>
      </c>
      <c r="J886" s="8">
        <v>0.0</v>
      </c>
      <c r="K886" s="3" t="inlineStr">
        <is>
          <t xml:space="preserve">TRUE</t>
        </is>
      </c>
      <c r="L886" s="3"/>
      <c r="M886" s="6">
        <f>ROUND(E886*G886-H886,2)</f>
        <v>89.0</v>
      </c>
      <c r="N886" s="5">
        <f>IF(COUNTIF($A$3:A886,A886)=1,1,0)</f>
        <v>1</v>
      </c>
      <c r="O886" s="6">
        <f>IF(N886=1,ROUND((SUMIFS($M$3:$M$1200,$A$3:$A$1200,A886)+'Settings'!$B$13)*'Settings'!$B$14/100+'Settings'!$B$15,2),0)</f>
        <v>1.63</v>
      </c>
    </row>
    <row r="887">
      <c r="A887" s="3" t="inlineStr">
        <is>
          <t xml:space="preserve">#1654</t>
        </is>
      </c>
      <c r="B887" s="3" t="inlineStr">
        <is>
          <t xml:space="preserve">2026-07-28</t>
        </is>
      </c>
      <c r="C887" s="3" t="inlineStr">
        <is>
          <t xml:space="preserve">SKU-A</t>
        </is>
      </c>
      <c r="D887" s="3" t="inlineStr">
        <is>
          <t xml:space="preserve">Renewal Serum</t>
        </is>
      </c>
      <c r="E887" s="6">
        <f>IF('Settings'!$B$11="Scenario",IFERROR(INDEX('Catalogue'!$E$3:$E$100,MATCH(C887,'Catalogue'!$B$3:$B$100,0)),F887),F887)</f>
        <v>69.9</v>
      </c>
      <c r="F887" s="8">
        <v>69.9</v>
      </c>
      <c r="G887" s="3">
        <v>2</v>
      </c>
      <c r="H887" s="6">
        <f>IF('Settings'!$B$11="Scenario",ROUND(E887*G887*IFERROR(SUMIF('Pricing &amp; promotions'!$A$6:$A$8,L887,'Pricing &amp; promotions'!$B$6:$B$8)/100,0),2),J887)</f>
        <v>0.0</v>
      </c>
      <c r="I887" s="6">
        <f>ROUND((E887*G887-H887)/IF(OR(K887=TRUE,K887="TRUE",K887="YES",K887=1),1+'Settings'!$B$6/100,1),2)</f>
        <v>115.54</v>
      </c>
      <c r="J887" s="8">
        <v>0.0</v>
      </c>
      <c r="K887" s="3" t="inlineStr">
        <is>
          <t xml:space="preserve">TRUE</t>
        </is>
      </c>
      <c r="L887" s="3"/>
      <c r="M887" s="6">
        <f>ROUND(E887*G887-H887,2)</f>
        <v>139.8</v>
      </c>
      <c r="N887" s="5">
        <f>IF(COUNTIF($A$3:A887,A887)=1,1,0)</f>
        <v>1</v>
      </c>
      <c r="O887" s="6">
        <f>IF(N887=1,ROUND((SUMIFS($M$3:$M$1200,$A$3:$A$1200,A887)+'Settings'!$B$13)*'Settings'!$B$14/100+'Settings'!$B$15,2),0)</f>
        <v>2.39</v>
      </c>
    </row>
    <row r="888">
      <c r="A888" s="3" t="inlineStr">
        <is>
          <t xml:space="preserve">#1655</t>
        </is>
      </c>
      <c r="B888" s="3" t="inlineStr">
        <is>
          <t xml:space="preserve">2026-07-29</t>
        </is>
      </c>
      <c r="C888" s="3" t="inlineStr">
        <is>
          <t xml:space="preserve">SKU-D</t>
        </is>
      </c>
      <c r="D888" s="3" t="inlineStr">
        <is>
          <t xml:space="preserve">Daily Duo</t>
        </is>
      </c>
      <c r="E888" s="6">
        <f>IF('Settings'!$B$11="Scenario",IFERROR(INDEX('Catalogue'!$E$3:$E$100,MATCH(C888,'Catalogue'!$B$3:$B$100,0)),F888),F888)</f>
        <v>79</v>
      </c>
      <c r="F888" s="8">
        <v>79</v>
      </c>
      <c r="G888" s="3">
        <v>1</v>
      </c>
      <c r="H888" s="6">
        <f>IF('Settings'!$B$11="Scenario",ROUND(E888*G888*IFERROR(SUMIF('Pricing &amp; promotions'!$A$6:$A$8,L888,'Pricing &amp; promotions'!$B$6:$B$8)/100,0),2),J888)</f>
        <v>0.0</v>
      </c>
      <c r="I888" s="6">
        <f>ROUND((E888*G888-H888)/IF(OR(K888=TRUE,K888="TRUE",K888="YES",K888=1),1+'Settings'!$B$6/100,1),2)</f>
        <v>65.29</v>
      </c>
      <c r="J888" s="8">
        <v>0.0</v>
      </c>
      <c r="K888" s="3" t="inlineStr">
        <is>
          <t xml:space="preserve">TRUE</t>
        </is>
      </c>
      <c r="L888" s="3"/>
      <c r="M888" s="6">
        <f>ROUND(E888*G888-H888,2)</f>
        <v>79.0</v>
      </c>
      <c r="N888" s="5">
        <f>IF(COUNTIF($A$3:A888,A888)=1,1,0)</f>
        <v>1</v>
      </c>
      <c r="O888" s="6">
        <f>IF(N888=1,ROUND((SUMIFS($M$3:$M$1200,$A$3:$A$1200,A888)+'Settings'!$B$13)*'Settings'!$B$14/100+'Settings'!$B$15,2),0)</f>
        <v>1.48</v>
      </c>
    </row>
    <row r="889">
      <c r="A889" s="3" t="inlineStr">
        <is>
          <t xml:space="preserve">#1656</t>
        </is>
      </c>
      <c r="B889" s="3" t="inlineStr">
        <is>
          <t xml:space="preserve">2026-07-29</t>
        </is>
      </c>
      <c r="C889" s="3" t="inlineStr">
        <is>
          <t xml:space="preserve">SKU-A</t>
        </is>
      </c>
      <c r="D889" s="3" t="inlineStr">
        <is>
          <t xml:space="preserve">Renewal Serum</t>
        </is>
      </c>
      <c r="E889" s="6">
        <f>IF('Settings'!$B$11="Scenario",IFERROR(INDEX('Catalogue'!$E$3:$E$100,MATCH(C889,'Catalogue'!$B$3:$B$100,0)),F889),F889)</f>
        <v>69.9</v>
      </c>
      <c r="F889" s="8">
        <v>69.9</v>
      </c>
      <c r="G889" s="3">
        <v>1</v>
      </c>
      <c r="H889" s="6">
        <f>IF('Settings'!$B$11="Scenario",ROUND(E889*G889*IFERROR(SUMIF('Pricing &amp; promotions'!$A$6:$A$8,L889,'Pricing &amp; promotions'!$B$6:$B$8)/100,0),2),J889)</f>
        <v>10.49</v>
      </c>
      <c r="I889" s="6">
        <f>ROUND((E889*G889-H889)/IF(OR(K889=TRUE,K889="TRUE",K889="YES",K889=1),1+'Settings'!$B$6/100,1),2)</f>
        <v>49.1</v>
      </c>
      <c r="J889" s="8">
        <v>10.49</v>
      </c>
      <c r="K889" s="3" t="inlineStr">
        <is>
          <t xml:space="preserve">TRUE</t>
        </is>
      </c>
      <c r="L889" s="3" t="inlineStr">
        <is>
          <t xml:space="preserve">SUMMER15</t>
        </is>
      </c>
      <c r="M889" s="6">
        <f>ROUND(E889*G889-H889,2)</f>
        <v>59.41</v>
      </c>
      <c r="N889" s="5">
        <f>IF(COUNTIF($A$3:A889,A889)=1,1,0)</f>
        <v>1</v>
      </c>
      <c r="O889" s="6">
        <f>IF(N889=1,ROUND((SUMIFS($M$3:$M$1200,$A$3:$A$1200,A889)+'Settings'!$B$13)*'Settings'!$B$14/100+'Settings'!$B$15,2),0)</f>
        <v>2.32</v>
      </c>
    </row>
    <row r="890">
      <c r="A890" s="3" t="inlineStr">
        <is>
          <t xml:space="preserve">#1656</t>
        </is>
      </c>
      <c r="B890" s="3" t="inlineStr">
        <is>
          <t xml:space="preserve">2026-07-29</t>
        </is>
      </c>
      <c r="C890" s="3" t="inlineStr">
        <is>
          <t xml:space="preserve">SKU-E</t>
        </is>
      </c>
      <c r="D890" s="3" t="inlineStr">
        <is>
          <t xml:space="preserve">Complete Ritual</t>
        </is>
      </c>
      <c r="E890" s="6">
        <f>IF('Settings'!$B$11="Scenario",IFERROR(INDEX('Catalogue'!$E$3:$E$100,MATCH(C890,'Catalogue'!$B$3:$B$100,0)),F890),F890)</f>
        <v>89</v>
      </c>
      <c r="F890" s="8">
        <v>89</v>
      </c>
      <c r="G890" s="3">
        <v>1</v>
      </c>
      <c r="H890" s="6">
        <f>IF('Settings'!$B$11="Scenario",ROUND(E890*G890*IFERROR(SUMIF('Pricing &amp; promotions'!$A$6:$A$8,L890,'Pricing &amp; promotions'!$B$6:$B$8)/100,0),2),J890)</f>
        <v>13.35</v>
      </c>
      <c r="I890" s="6">
        <f>ROUND((E890*G890-H890)/IF(OR(K890=TRUE,K890="TRUE",K890="YES",K890=1),1+'Settings'!$B$6/100,1),2)</f>
        <v>62.52</v>
      </c>
      <c r="J890" s="8">
        <v>13.35</v>
      </c>
      <c r="K890" s="3" t="inlineStr">
        <is>
          <t xml:space="preserve">TRUE</t>
        </is>
      </c>
      <c r="L890" s="3" t="inlineStr">
        <is>
          <t xml:space="preserve">SUMMER15</t>
        </is>
      </c>
      <c r="M890" s="6">
        <f>ROUND(E890*G890-H890,2)</f>
        <v>75.65</v>
      </c>
      <c r="N890" s="5">
        <f>IF(COUNTIF($A$3:A890,A890)=1,1,0)</f>
        <v>0</v>
      </c>
      <c r="O890" s="6">
        <f>IF(N890=1,ROUND((SUMIFS($M$3:$M$1200,$A$3:$A$1200,A890)+'Settings'!$B$13)*'Settings'!$B$14/100+'Settings'!$B$15,2),0)</f>
        <v>0</v>
      </c>
    </row>
    <row r="891">
      <c r="A891" s="3" t="inlineStr">
        <is>
          <t xml:space="preserve">#1657</t>
        </is>
      </c>
      <c r="B891" s="3" t="inlineStr">
        <is>
          <t xml:space="preserve">2026-07-29</t>
        </is>
      </c>
      <c r="C891" s="3" t="inlineStr">
        <is>
          <t xml:space="preserve">SKU-E</t>
        </is>
      </c>
      <c r="D891" s="3" t="inlineStr">
        <is>
          <t xml:space="preserve">Complete Ritual</t>
        </is>
      </c>
      <c r="E891" s="6">
        <f>IF('Settings'!$B$11="Scenario",IFERROR(INDEX('Catalogue'!$E$3:$E$100,MATCH(C891,'Catalogue'!$B$3:$B$100,0)),F891),F891)</f>
        <v>89</v>
      </c>
      <c r="F891" s="8">
        <v>89</v>
      </c>
      <c r="G891" s="3">
        <v>1</v>
      </c>
      <c r="H891" s="6">
        <f>IF('Settings'!$B$11="Scenario",ROUND(E891*G891*IFERROR(SUMIF('Pricing &amp; promotions'!$A$6:$A$8,L891,'Pricing &amp; promotions'!$B$6:$B$8)/100,0),2),J891)</f>
        <v>8.9</v>
      </c>
      <c r="I891" s="6">
        <f>ROUND((E891*G891-H891)/IF(OR(K891=TRUE,K891="TRUE",K891="YES",K891=1),1+'Settings'!$B$6/100,1),2)</f>
        <v>66.2</v>
      </c>
      <c r="J891" s="8">
        <v>8.9</v>
      </c>
      <c r="K891" s="3" t="inlineStr">
        <is>
          <t xml:space="preserve">TRUE</t>
        </is>
      </c>
      <c r="L891" s="3" t="inlineStr">
        <is>
          <t xml:space="preserve">WELCOME10</t>
        </is>
      </c>
      <c r="M891" s="6">
        <f>ROUND(E891*G891-H891,2)</f>
        <v>80.1</v>
      </c>
      <c r="N891" s="5">
        <f>IF(COUNTIF($A$3:A891,A891)=1,1,0)</f>
        <v>1</v>
      </c>
      <c r="O891" s="6">
        <f>IF(N891=1,ROUND((SUMIFS($M$3:$M$1200,$A$3:$A$1200,A891)+'Settings'!$B$13)*'Settings'!$B$14/100+'Settings'!$B$15,2),0)</f>
        <v>1.5</v>
      </c>
    </row>
    <row r="892">
      <c r="A892" s="3" t="inlineStr">
        <is>
          <t xml:space="preserve">#1658</t>
        </is>
      </c>
      <c r="B892" s="3" t="inlineStr">
        <is>
          <t xml:space="preserve">2026-07-30</t>
        </is>
      </c>
      <c r="C892" s="3" t="inlineStr">
        <is>
          <t xml:space="preserve">SKU-G</t>
        </is>
      </c>
      <c r="D892" s="3" t="inlineStr">
        <is>
          <t xml:space="preserve">Daily Reset Set</t>
        </is>
      </c>
      <c r="E892" s="6">
        <f>IF('Settings'!$B$11="Scenario",IFERROR(INDEX('Catalogue'!$E$3:$E$100,MATCH(C892,'Catalogue'!$B$3:$B$100,0)),F892),F892)</f>
        <v>69</v>
      </c>
      <c r="F892" s="8">
        <v>69</v>
      </c>
      <c r="G892" s="3">
        <v>2</v>
      </c>
      <c r="H892" s="6">
        <f>IF('Settings'!$B$11="Scenario",ROUND(E892*G892*IFERROR(SUMIF('Pricing &amp; promotions'!$A$6:$A$8,L892,'Pricing &amp; promotions'!$B$6:$B$8)/100,0),2),J892)</f>
        <v>0.0</v>
      </c>
      <c r="I892" s="6">
        <f>ROUND((E892*G892-H892)/IF(OR(K892=TRUE,K892="TRUE",K892="YES",K892=1),1+'Settings'!$B$6/100,1),2)</f>
        <v>114.05</v>
      </c>
      <c r="J892" s="8">
        <v>0.0</v>
      </c>
      <c r="K892" s="3" t="inlineStr">
        <is>
          <t xml:space="preserve">TRUE</t>
        </is>
      </c>
      <c r="L892" s="3"/>
      <c r="M892" s="6">
        <f>ROUND(E892*G892-H892,2)</f>
        <v>138.0</v>
      </c>
      <c r="N892" s="5">
        <f>IF(COUNTIF($A$3:A892,A892)=1,1,0)</f>
        <v>1</v>
      </c>
      <c r="O892" s="6">
        <f>IF(N892=1,ROUND((SUMIFS($M$3:$M$1200,$A$3:$A$1200,A892)+'Settings'!$B$13)*'Settings'!$B$14/100+'Settings'!$B$15,2),0)</f>
        <v>2.36</v>
      </c>
    </row>
    <row r="893">
      <c r="A893" s="3" t="inlineStr">
        <is>
          <t xml:space="preserve">#1659</t>
        </is>
      </c>
      <c r="B893" s="3" t="inlineStr">
        <is>
          <t xml:space="preserve">2026-07-30</t>
        </is>
      </c>
      <c r="C893" s="3" t="inlineStr">
        <is>
          <t xml:space="preserve">SKU-E</t>
        </is>
      </c>
      <c r="D893" s="3" t="inlineStr">
        <is>
          <t xml:space="preserve">Complete Ritual</t>
        </is>
      </c>
      <c r="E893" s="6">
        <f>IF('Settings'!$B$11="Scenario",IFERROR(INDEX('Catalogue'!$E$3:$E$100,MATCH(C893,'Catalogue'!$B$3:$B$100,0)),F893),F893)</f>
        <v>89</v>
      </c>
      <c r="F893" s="8">
        <v>89</v>
      </c>
      <c r="G893" s="3">
        <v>1</v>
      </c>
      <c r="H893" s="6">
        <f>IF('Settings'!$B$11="Scenario",ROUND(E893*G893*IFERROR(SUMIF('Pricing &amp; promotions'!$A$6:$A$8,L893,'Pricing &amp; promotions'!$B$6:$B$8)/100,0),2),J893)</f>
        <v>0.0</v>
      </c>
      <c r="I893" s="6">
        <f>ROUND((E893*G893-H893)/IF(OR(K893=TRUE,K893="TRUE",K893="YES",K893=1),1+'Settings'!$B$6/100,1),2)</f>
        <v>73.55</v>
      </c>
      <c r="J893" s="8">
        <v>0.0</v>
      </c>
      <c r="K893" s="3" t="inlineStr">
        <is>
          <t xml:space="preserve">TRUE</t>
        </is>
      </c>
      <c r="L893" s="3"/>
      <c r="M893" s="6">
        <f>ROUND(E893*G893-H893,2)</f>
        <v>89.0</v>
      </c>
      <c r="N893" s="5">
        <f>IF(COUNTIF($A$3:A893,A893)=1,1,0)</f>
        <v>1</v>
      </c>
      <c r="O893" s="6">
        <f>IF(N893=1,ROUND((SUMIFS($M$3:$M$1200,$A$3:$A$1200,A893)+'Settings'!$B$13)*'Settings'!$B$14/100+'Settings'!$B$15,2),0)</f>
        <v>1.63</v>
      </c>
    </row>
    <row r="894">
      <c r="A894" s="3" t="inlineStr">
        <is>
          <t xml:space="preserve">#1660</t>
        </is>
      </c>
      <c r="B894" s="3" t="inlineStr">
        <is>
          <t xml:space="preserve">2026-07-31</t>
        </is>
      </c>
      <c r="C894" s="3" t="inlineStr">
        <is>
          <t xml:space="preserve">SKU-A</t>
        </is>
      </c>
      <c r="D894" s="3" t="inlineStr">
        <is>
          <t xml:space="preserve">Renewal Serum</t>
        </is>
      </c>
      <c r="E894" s="6">
        <f>IF('Settings'!$B$11="Scenario",IFERROR(INDEX('Catalogue'!$E$3:$E$100,MATCH(C894,'Catalogue'!$B$3:$B$100,0)),F894),F894)</f>
        <v>69.9</v>
      </c>
      <c r="F894" s="8">
        <v>69.9</v>
      </c>
      <c r="G894" s="3">
        <v>1</v>
      </c>
      <c r="H894" s="6">
        <f>IF('Settings'!$B$11="Scenario",ROUND(E894*G894*IFERROR(SUMIF('Pricing &amp; promotions'!$A$6:$A$8,L894,'Pricing &amp; promotions'!$B$6:$B$8)/100,0),2),J894)</f>
        <v>0.0</v>
      </c>
      <c r="I894" s="6">
        <f>ROUND((E894*G894-H894)/IF(OR(K894=TRUE,K894="TRUE",K894="YES",K894=1),1+'Settings'!$B$6/100,1),2)</f>
        <v>57.77</v>
      </c>
      <c r="J894" s="8">
        <v>0.0</v>
      </c>
      <c r="K894" s="3" t="inlineStr">
        <is>
          <t xml:space="preserve">TRUE</t>
        </is>
      </c>
      <c r="L894" s="3"/>
      <c r="M894" s="6">
        <f>ROUND(E894*G894-H894,2)</f>
        <v>69.9</v>
      </c>
      <c r="N894" s="5">
        <f>IF(COUNTIF($A$3:A894,A894)=1,1,0)</f>
        <v>1</v>
      </c>
      <c r="O894" s="6">
        <f>IF(N894=1,ROUND((SUMIFS($M$3:$M$1200,$A$3:$A$1200,A894)+'Settings'!$B$13)*'Settings'!$B$14/100+'Settings'!$B$15,2),0)</f>
        <v>2.36</v>
      </c>
    </row>
    <row r="895">
      <c r="A895" s="3" t="inlineStr">
        <is>
          <t xml:space="preserve">#1660</t>
        </is>
      </c>
      <c r="B895" s="3" t="inlineStr">
        <is>
          <t xml:space="preserve">2026-07-31</t>
        </is>
      </c>
      <c r="C895" s="3" t="inlineStr">
        <is>
          <t xml:space="preserve">SKU-F</t>
        </is>
      </c>
      <c r="D895" s="3" t="inlineStr">
        <is>
          <t xml:space="preserve">Cloud Cleanser</t>
        </is>
      </c>
      <c r="E895" s="6">
        <f>IF('Settings'!$B$11="Scenario",IFERROR(INDEX('Catalogue'!$E$3:$E$100,MATCH(C895,'Catalogue'!$B$3:$B$100,0)),F895),F895)</f>
        <v>34</v>
      </c>
      <c r="F895" s="8">
        <v>34</v>
      </c>
      <c r="G895" s="3">
        <v>2</v>
      </c>
      <c r="H895" s="6">
        <f>IF('Settings'!$B$11="Scenario",ROUND(E895*G895*IFERROR(SUMIF('Pricing &amp; promotions'!$A$6:$A$8,L895,'Pricing &amp; promotions'!$B$6:$B$8)/100,0),2),J895)</f>
        <v>0.0</v>
      </c>
      <c r="I895" s="6">
        <f>ROUND((E895*G895-H895)/IF(OR(K895=TRUE,K895="TRUE",K895="YES",K895=1),1+'Settings'!$B$6/100,1),2)</f>
        <v>56.2</v>
      </c>
      <c r="J895" s="8">
        <v>0.0</v>
      </c>
      <c r="K895" s="3" t="inlineStr">
        <is>
          <t xml:space="preserve">TRUE</t>
        </is>
      </c>
      <c r="L895" s="3"/>
      <c r="M895" s="6">
        <f>ROUND(E895*G895-H895,2)</f>
        <v>68.0</v>
      </c>
      <c r="N895" s="5">
        <f>IF(COUNTIF($A$3:A895,A895)=1,1,0)</f>
        <v>0</v>
      </c>
      <c r="O895" s="6">
        <f>IF(N895=1,ROUND((SUMIFS($M$3:$M$1200,$A$3:$A$1200,A895)+'Settings'!$B$13)*'Settings'!$B$14/100+'Settings'!$B$15,2),0)</f>
        <v>0</v>
      </c>
    </row>
    <row r="896">
      <c r="A896" s="3" t="inlineStr">
        <is>
          <t xml:space="preserve">#1661</t>
        </is>
      </c>
      <c r="B896" s="3" t="inlineStr">
        <is>
          <t xml:space="preserve">2026-08-01</t>
        </is>
      </c>
      <c r="C896" s="3" t="inlineStr">
        <is>
          <t xml:space="preserve">SKU-D</t>
        </is>
      </c>
      <c r="D896" s="3" t="inlineStr">
        <is>
          <t xml:space="preserve">Daily Duo</t>
        </is>
      </c>
      <c r="E896" s="6">
        <f>IF('Settings'!$B$11="Scenario",IFERROR(INDEX('Catalogue'!$E$3:$E$100,MATCH(C896,'Catalogue'!$B$3:$B$100,0)),F896),F896)</f>
        <v>79</v>
      </c>
      <c r="F896" s="8">
        <v>79</v>
      </c>
      <c r="G896" s="3">
        <v>1</v>
      </c>
      <c r="H896" s="6">
        <f>IF('Settings'!$B$11="Scenario",ROUND(E896*G896*IFERROR(SUMIF('Pricing &amp; promotions'!$A$6:$A$8,L896,'Pricing &amp; promotions'!$B$6:$B$8)/100,0),2),J896)</f>
        <v>7.9</v>
      </c>
      <c r="I896" s="6">
        <f>ROUND((E896*G896-H896)/IF(OR(K896=TRUE,K896="TRUE",K896="YES",K896=1),1+'Settings'!$B$6/100,1),2)</f>
        <v>58.76</v>
      </c>
      <c r="J896" s="8">
        <v>7.9</v>
      </c>
      <c r="K896" s="3" t="inlineStr">
        <is>
          <t xml:space="preserve">TRUE</t>
        </is>
      </c>
      <c r="L896" s="3" t="inlineStr">
        <is>
          <t xml:space="preserve">WELCOME10</t>
        </is>
      </c>
      <c r="M896" s="6">
        <f>ROUND(E896*G896-H896,2)</f>
        <v>71.1</v>
      </c>
      <c r="N896" s="5">
        <f>IF(COUNTIF($A$3:A896,A896)=1,1,0)</f>
        <v>1</v>
      </c>
      <c r="O896" s="6">
        <f>IF(N896=1,ROUND((SUMIFS($M$3:$M$1200,$A$3:$A$1200,A896)+'Settings'!$B$13)*'Settings'!$B$14/100+'Settings'!$B$15,2),0)</f>
        <v>1.36</v>
      </c>
    </row>
    <row r="897">
      <c r="A897" s="3" t="inlineStr">
        <is>
          <t xml:space="preserve">#1662</t>
        </is>
      </c>
      <c r="B897" s="3" t="inlineStr">
        <is>
          <t xml:space="preserve">2026-08-01</t>
        </is>
      </c>
      <c r="C897" s="3" t="inlineStr">
        <is>
          <t xml:space="preserve">SKU-G</t>
        </is>
      </c>
      <c r="D897" s="3" t="inlineStr">
        <is>
          <t xml:space="preserve">Daily Reset Set</t>
        </is>
      </c>
      <c r="E897" s="6">
        <f>IF('Settings'!$B$11="Scenario",IFERROR(INDEX('Catalogue'!$E$3:$E$100,MATCH(C897,'Catalogue'!$B$3:$B$100,0)),F897),F897)</f>
        <v>69</v>
      </c>
      <c r="F897" s="8">
        <v>69</v>
      </c>
      <c r="G897" s="3">
        <v>1</v>
      </c>
      <c r="H897" s="6">
        <f>IF('Settings'!$B$11="Scenario",ROUND(E897*G897*IFERROR(SUMIF('Pricing &amp; promotions'!$A$6:$A$8,L897,'Pricing &amp; promotions'!$B$6:$B$8)/100,0),2),J897)</f>
        <v>0.0</v>
      </c>
      <c r="I897" s="6">
        <f>ROUND((E897*G897-H897)/IF(OR(K897=TRUE,K897="TRUE",K897="YES",K897=1),1+'Settings'!$B$6/100,1),2)</f>
        <v>57.02</v>
      </c>
      <c r="J897" s="8">
        <v>0.0</v>
      </c>
      <c r="K897" s="3" t="inlineStr">
        <is>
          <t xml:space="preserve">TRUE</t>
        </is>
      </c>
      <c r="L897" s="3"/>
      <c r="M897" s="6">
        <f>ROUND(E897*G897-H897,2)</f>
        <v>69.0</v>
      </c>
      <c r="N897" s="5">
        <f>IF(COUNTIF($A$3:A897,A897)=1,1,0)</f>
        <v>1</v>
      </c>
      <c r="O897" s="6">
        <f>IF(N897=1,ROUND((SUMIFS($M$3:$M$1200,$A$3:$A$1200,A897)+'Settings'!$B$13)*'Settings'!$B$14/100+'Settings'!$B$15,2),0)</f>
        <v>2.51</v>
      </c>
    </row>
    <row r="898">
      <c r="A898" s="3" t="inlineStr">
        <is>
          <t xml:space="preserve">#1662</t>
        </is>
      </c>
      <c r="B898" s="3" t="inlineStr">
        <is>
          <t xml:space="preserve">2026-08-01</t>
        </is>
      </c>
      <c r="C898" s="3" t="inlineStr">
        <is>
          <t xml:space="preserve">SKU-D</t>
        </is>
      </c>
      <c r="D898" s="3" t="inlineStr">
        <is>
          <t xml:space="preserve">Daily Duo</t>
        </is>
      </c>
      <c r="E898" s="6">
        <f>IF('Settings'!$B$11="Scenario",IFERROR(INDEX('Catalogue'!$E$3:$E$100,MATCH(C898,'Catalogue'!$B$3:$B$100,0)),F898),F898)</f>
        <v>79</v>
      </c>
      <c r="F898" s="8">
        <v>79</v>
      </c>
      <c r="G898" s="3">
        <v>1</v>
      </c>
      <c r="H898" s="6">
        <f>IF('Settings'!$B$11="Scenario",ROUND(E898*G898*IFERROR(SUMIF('Pricing &amp; promotions'!$A$6:$A$8,L898,'Pricing &amp; promotions'!$B$6:$B$8)/100,0),2),J898)</f>
        <v>0.0</v>
      </c>
      <c r="I898" s="6">
        <f>ROUND((E898*G898-H898)/IF(OR(K898=TRUE,K898="TRUE",K898="YES",K898=1),1+'Settings'!$B$6/100,1),2)</f>
        <v>65.29</v>
      </c>
      <c r="J898" s="8">
        <v>0.0</v>
      </c>
      <c r="K898" s="3" t="inlineStr">
        <is>
          <t xml:space="preserve">TRUE</t>
        </is>
      </c>
      <c r="L898" s="3"/>
      <c r="M898" s="6">
        <f>ROUND(E898*G898-H898,2)</f>
        <v>79.0</v>
      </c>
      <c r="N898" s="5">
        <f>IF(COUNTIF($A$3:A898,A898)=1,1,0)</f>
        <v>0</v>
      </c>
      <c r="O898" s="6">
        <f>IF(N898=1,ROUND((SUMIFS($M$3:$M$1200,$A$3:$A$1200,A898)+'Settings'!$B$13)*'Settings'!$B$14/100+'Settings'!$B$15,2),0)</f>
        <v>0</v>
      </c>
    </row>
    <row r="899">
      <c r="A899" s="3" t="inlineStr">
        <is>
          <t xml:space="preserve">#1663</t>
        </is>
      </c>
      <c r="B899" s="3" t="inlineStr">
        <is>
          <t xml:space="preserve">2026-08-01</t>
        </is>
      </c>
      <c r="C899" s="3" t="inlineStr">
        <is>
          <t xml:space="preserve">SKU-E</t>
        </is>
      </c>
      <c r="D899" s="3" t="inlineStr">
        <is>
          <t xml:space="preserve">Complete Ritual</t>
        </is>
      </c>
      <c r="E899" s="6">
        <f>IF('Settings'!$B$11="Scenario",IFERROR(INDEX('Catalogue'!$E$3:$E$100,MATCH(C899,'Catalogue'!$B$3:$B$100,0)),F899),F899)</f>
        <v>89</v>
      </c>
      <c r="F899" s="8">
        <v>89</v>
      </c>
      <c r="G899" s="3">
        <v>1</v>
      </c>
      <c r="H899" s="6">
        <f>IF('Settings'!$B$11="Scenario",ROUND(E899*G899*IFERROR(SUMIF('Pricing &amp; promotions'!$A$6:$A$8,L899,'Pricing &amp; promotions'!$B$6:$B$8)/100,0),2),J899)</f>
        <v>0.0</v>
      </c>
      <c r="I899" s="6">
        <f>ROUND((E899*G899-H899)/IF(OR(K899=TRUE,K899="TRUE",K899="YES",K899=1),1+'Settings'!$B$6/100,1),2)</f>
        <v>73.55</v>
      </c>
      <c r="J899" s="8">
        <v>0.0</v>
      </c>
      <c r="K899" s="3" t="inlineStr">
        <is>
          <t xml:space="preserve">TRUE</t>
        </is>
      </c>
      <c r="L899" s="3"/>
      <c r="M899" s="6">
        <f>ROUND(E899*G899-H899,2)</f>
        <v>89.0</v>
      </c>
      <c r="N899" s="5">
        <f>IF(COUNTIF($A$3:A899,A899)=1,1,0)</f>
        <v>1</v>
      </c>
      <c r="O899" s="6">
        <f>IF(N899=1,ROUND((SUMIFS($M$3:$M$1200,$A$3:$A$1200,A899)+'Settings'!$B$13)*'Settings'!$B$14/100+'Settings'!$B$15,2),0)</f>
        <v>1.63</v>
      </c>
    </row>
    <row r="900">
      <c r="A900" s="3" t="inlineStr">
        <is>
          <t xml:space="preserve">#1664</t>
        </is>
      </c>
      <c r="B900" s="3" t="inlineStr">
        <is>
          <t xml:space="preserve">2026-08-02</t>
        </is>
      </c>
      <c r="C900" s="3" t="inlineStr">
        <is>
          <t xml:space="preserve">SKU-F</t>
        </is>
      </c>
      <c r="D900" s="3" t="inlineStr">
        <is>
          <t xml:space="preserve">Cloud Cleanser</t>
        </is>
      </c>
      <c r="E900" s="6">
        <f>IF('Settings'!$B$11="Scenario",IFERROR(INDEX('Catalogue'!$E$3:$E$100,MATCH(C900,'Catalogue'!$B$3:$B$100,0)),F900),F900)</f>
        <v>34</v>
      </c>
      <c r="F900" s="8">
        <v>34</v>
      </c>
      <c r="G900" s="3">
        <v>1</v>
      </c>
      <c r="H900" s="6">
        <f>IF('Settings'!$B$11="Scenario",ROUND(E900*G900*IFERROR(SUMIF('Pricing &amp; promotions'!$A$6:$A$8,L900,'Pricing &amp; promotions'!$B$6:$B$8)/100,0),2),J900)</f>
        <v>0.0</v>
      </c>
      <c r="I900" s="6">
        <f>ROUND((E900*G900-H900)/IF(OR(K900=TRUE,K900="TRUE",K900="YES",K900=1),1+'Settings'!$B$6/100,1),2)</f>
        <v>28.1</v>
      </c>
      <c r="J900" s="8">
        <v>0.0</v>
      </c>
      <c r="K900" s="3" t="inlineStr">
        <is>
          <t xml:space="preserve">TRUE</t>
        </is>
      </c>
      <c r="L900" s="3"/>
      <c r="M900" s="6">
        <f>ROUND(E900*G900-H900,2)</f>
        <v>34.0</v>
      </c>
      <c r="N900" s="5">
        <f>IF(COUNTIF($A$3:A900,A900)=1,1,0)</f>
        <v>1</v>
      </c>
      <c r="O900" s="6">
        <f>IF(N900=1,ROUND((SUMIFS($M$3:$M$1200,$A$3:$A$1200,A900)+'Settings'!$B$13)*'Settings'!$B$14/100+'Settings'!$B$15,2),0)</f>
        <v>0.8</v>
      </c>
    </row>
    <row r="901">
      <c r="A901" s="3" t="inlineStr">
        <is>
          <t xml:space="preserve">#1665</t>
        </is>
      </c>
      <c r="B901" s="3" t="inlineStr">
        <is>
          <t xml:space="preserve">2026-08-04</t>
        </is>
      </c>
      <c r="C901" s="3" t="inlineStr">
        <is>
          <t xml:space="preserve">SKU-B</t>
        </is>
      </c>
      <c r="D901" s="3" t="inlineStr">
        <is>
          <t xml:space="preserve">Barrier Balm</t>
        </is>
      </c>
      <c r="E901" s="6">
        <f>IF('Settings'!$B$11="Scenario",IFERROR(INDEX('Catalogue'!$E$3:$E$100,MATCH(C901,'Catalogue'!$B$3:$B$100,0)),F901),F901)</f>
        <v>19</v>
      </c>
      <c r="F901" s="8">
        <v>19</v>
      </c>
      <c r="G901" s="3">
        <v>1</v>
      </c>
      <c r="H901" s="6">
        <f>IF('Settings'!$B$11="Scenario",ROUND(E901*G901*IFERROR(SUMIF('Pricing &amp; promotions'!$A$6:$A$8,L901,'Pricing &amp; promotions'!$B$6:$B$8)/100,0),2),J901)</f>
        <v>2.85</v>
      </c>
      <c r="I901" s="6">
        <f>ROUND((E901*G901-H901)/IF(OR(K901=TRUE,K901="TRUE",K901="YES",K901=1),1+'Settings'!$B$6/100,1),2)</f>
        <v>13.35</v>
      </c>
      <c r="J901" s="8">
        <v>2.85</v>
      </c>
      <c r="K901" s="3" t="inlineStr">
        <is>
          <t xml:space="preserve">TRUE</t>
        </is>
      </c>
      <c r="L901" s="3" t="inlineStr">
        <is>
          <t xml:space="preserve">SUMMER15</t>
        </is>
      </c>
      <c r="M901" s="6">
        <f>ROUND(E901*G901-H901,2)</f>
        <v>16.15</v>
      </c>
      <c r="N901" s="5">
        <f>IF(COUNTIF($A$3:A901,A901)=1,1,0)</f>
        <v>1</v>
      </c>
      <c r="O901" s="6">
        <f>IF(N901=1,ROUND((SUMIFS($M$3:$M$1200,$A$3:$A$1200,A901)+'Settings'!$B$13)*'Settings'!$B$14/100+'Settings'!$B$15,2),0)</f>
        <v>0.54</v>
      </c>
    </row>
    <row r="902">
      <c r="A902" s="3" t="inlineStr">
        <is>
          <t xml:space="preserve">#1666</t>
        </is>
      </c>
      <c r="B902" s="3" t="inlineStr">
        <is>
          <t xml:space="preserve">2026-08-05</t>
        </is>
      </c>
      <c r="C902" s="3" t="inlineStr">
        <is>
          <t xml:space="preserve">SKU-F</t>
        </is>
      </c>
      <c r="D902" s="3" t="inlineStr">
        <is>
          <t xml:space="preserve">Cloud Cleanser</t>
        </is>
      </c>
      <c r="E902" s="6">
        <f>IF('Settings'!$B$11="Scenario",IFERROR(INDEX('Catalogue'!$E$3:$E$100,MATCH(C902,'Catalogue'!$B$3:$B$100,0)),F902),F902)</f>
        <v>34</v>
      </c>
      <c r="F902" s="8">
        <v>34</v>
      </c>
      <c r="G902" s="3">
        <v>1</v>
      </c>
      <c r="H902" s="6">
        <f>IF('Settings'!$B$11="Scenario",ROUND(E902*G902*IFERROR(SUMIF('Pricing &amp; promotions'!$A$6:$A$8,L902,'Pricing &amp; promotions'!$B$6:$B$8)/100,0),2),J902)</f>
        <v>6.8</v>
      </c>
      <c r="I902" s="6">
        <f>ROUND((E902*G902-H902)/IF(OR(K902=TRUE,K902="TRUE",K902="YES",K902=1),1+'Settings'!$B$6/100,1),2)</f>
        <v>22.48</v>
      </c>
      <c r="J902" s="8">
        <v>6.8</v>
      </c>
      <c r="K902" s="3" t="inlineStr">
        <is>
          <t xml:space="preserve">TRUE</t>
        </is>
      </c>
      <c r="L902" s="3" t="inlineStr">
        <is>
          <t xml:space="preserve">VIP20</t>
        </is>
      </c>
      <c r="M902" s="6">
        <f>ROUND(E902*G902-H902,2)</f>
        <v>27.2</v>
      </c>
      <c r="N902" s="5">
        <f>IF(COUNTIF($A$3:A902,A902)=1,1,0)</f>
        <v>1</v>
      </c>
      <c r="O902" s="6">
        <f>IF(N902=1,ROUND((SUMIFS($M$3:$M$1200,$A$3:$A$1200,A902)+'Settings'!$B$13)*'Settings'!$B$14/100+'Settings'!$B$15,2),0)</f>
        <v>0.7</v>
      </c>
    </row>
    <row r="903">
      <c r="A903" s="3" t="inlineStr">
        <is>
          <t xml:space="preserve">#1667</t>
        </is>
      </c>
      <c r="B903" s="3" t="inlineStr">
        <is>
          <t xml:space="preserve">2026-08-05</t>
        </is>
      </c>
      <c r="C903" s="3" t="inlineStr">
        <is>
          <t xml:space="preserve">SKU-D</t>
        </is>
      </c>
      <c r="D903" s="3" t="inlineStr">
        <is>
          <t xml:space="preserve">Daily Duo</t>
        </is>
      </c>
      <c r="E903" s="6">
        <f>IF('Settings'!$B$11="Scenario",IFERROR(INDEX('Catalogue'!$E$3:$E$100,MATCH(C903,'Catalogue'!$B$3:$B$100,0)),F903),F903)</f>
        <v>79</v>
      </c>
      <c r="F903" s="8">
        <v>79</v>
      </c>
      <c r="G903" s="3">
        <v>2</v>
      </c>
      <c r="H903" s="6">
        <f>IF('Settings'!$B$11="Scenario",ROUND(E903*G903*IFERROR(SUMIF('Pricing &amp; promotions'!$A$6:$A$8,L903,'Pricing &amp; promotions'!$B$6:$B$8)/100,0),2),J903)</f>
        <v>15.8</v>
      </c>
      <c r="I903" s="6">
        <f>ROUND((E903*G903-H903)/IF(OR(K903=TRUE,K903="TRUE",K903="YES",K903=1),1+'Settings'!$B$6/100,1),2)</f>
        <v>117.52</v>
      </c>
      <c r="J903" s="8">
        <v>15.8</v>
      </c>
      <c r="K903" s="3" t="inlineStr">
        <is>
          <t xml:space="preserve">TRUE</t>
        </is>
      </c>
      <c r="L903" s="3" t="inlineStr">
        <is>
          <t xml:space="preserve">WELCOME10</t>
        </is>
      </c>
      <c r="M903" s="6">
        <f>ROUND(E903*G903-H903,2)</f>
        <v>142.2</v>
      </c>
      <c r="N903" s="5">
        <f>IF(COUNTIF($A$3:A903,A903)=1,1,0)</f>
        <v>1</v>
      </c>
      <c r="O903" s="6">
        <f>IF(N903=1,ROUND((SUMIFS($M$3:$M$1200,$A$3:$A$1200,A903)+'Settings'!$B$13)*'Settings'!$B$14/100+'Settings'!$B$15,2),0)</f>
        <v>4.57</v>
      </c>
    </row>
    <row r="904">
      <c r="A904" s="3" t="inlineStr">
        <is>
          <t xml:space="preserve">#1667</t>
        </is>
      </c>
      <c r="B904" s="3" t="inlineStr">
        <is>
          <t xml:space="preserve">2026-08-05</t>
        </is>
      </c>
      <c r="C904" s="3" t="inlineStr">
        <is>
          <t xml:space="preserve">SKU-E</t>
        </is>
      </c>
      <c r="D904" s="3" t="inlineStr">
        <is>
          <t xml:space="preserve">Complete Ritual</t>
        </is>
      </c>
      <c r="E904" s="6">
        <f>IF('Settings'!$B$11="Scenario",IFERROR(INDEX('Catalogue'!$E$3:$E$100,MATCH(C904,'Catalogue'!$B$3:$B$100,0)),F904),F904)</f>
        <v>89</v>
      </c>
      <c r="F904" s="8">
        <v>89</v>
      </c>
      <c r="G904" s="3">
        <v>1</v>
      </c>
      <c r="H904" s="6">
        <f>IF('Settings'!$B$11="Scenario",ROUND(E904*G904*IFERROR(SUMIF('Pricing &amp; promotions'!$A$6:$A$8,L904,'Pricing &amp; promotions'!$B$6:$B$8)/100,0),2),J904)</f>
        <v>8.9</v>
      </c>
      <c r="I904" s="6">
        <f>ROUND((E904*G904-H904)/IF(OR(K904=TRUE,K904="TRUE",K904="YES",K904=1),1+'Settings'!$B$6/100,1),2)</f>
        <v>66.2</v>
      </c>
      <c r="J904" s="8">
        <v>8.9</v>
      </c>
      <c r="K904" s="3" t="inlineStr">
        <is>
          <t xml:space="preserve">TRUE</t>
        </is>
      </c>
      <c r="L904" s="3" t="inlineStr">
        <is>
          <t xml:space="preserve">WELCOME10</t>
        </is>
      </c>
      <c r="M904" s="6">
        <f>ROUND(E904*G904-H904,2)</f>
        <v>80.1</v>
      </c>
      <c r="N904" s="5">
        <f>IF(COUNTIF($A$3:A904,A904)=1,1,0)</f>
        <v>0</v>
      </c>
      <c r="O904" s="6">
        <f>IF(N904=1,ROUND((SUMIFS($M$3:$M$1200,$A$3:$A$1200,A904)+'Settings'!$B$13)*'Settings'!$B$14/100+'Settings'!$B$15,2),0)</f>
        <v>0</v>
      </c>
    </row>
    <row r="905">
      <c r="A905" s="3" t="inlineStr">
        <is>
          <t xml:space="preserve">#1667</t>
        </is>
      </c>
      <c r="B905" s="3" t="inlineStr">
        <is>
          <t xml:space="preserve">2026-08-05</t>
        </is>
      </c>
      <c r="C905" s="3" t="inlineStr">
        <is>
          <t xml:space="preserve">SKU-A</t>
        </is>
      </c>
      <c r="D905" s="3" t="inlineStr">
        <is>
          <t xml:space="preserve">Renewal Serum</t>
        </is>
      </c>
      <c r="E905" s="6">
        <f>IF('Settings'!$B$11="Scenario",IFERROR(INDEX('Catalogue'!$E$3:$E$100,MATCH(C905,'Catalogue'!$B$3:$B$100,0)),F905),F905)</f>
        <v>69.9</v>
      </c>
      <c r="F905" s="8">
        <v>69.9</v>
      </c>
      <c r="G905" s="3">
        <v>1</v>
      </c>
      <c r="H905" s="6">
        <f>IF('Settings'!$B$11="Scenario",ROUND(E905*G905*IFERROR(SUMIF('Pricing &amp; promotions'!$A$6:$A$8,L905,'Pricing &amp; promotions'!$B$6:$B$8)/100,0),2),J905)</f>
        <v>6.99</v>
      </c>
      <c r="I905" s="6">
        <f>ROUND((E905*G905-H905)/IF(OR(K905=TRUE,K905="TRUE",K905="YES",K905=1),1+'Settings'!$B$6/100,1),2)</f>
        <v>51.99</v>
      </c>
      <c r="J905" s="8">
        <v>6.99</v>
      </c>
      <c r="K905" s="3" t="inlineStr">
        <is>
          <t xml:space="preserve">TRUE</t>
        </is>
      </c>
      <c r="L905" s="3" t="inlineStr">
        <is>
          <t xml:space="preserve">WELCOME10</t>
        </is>
      </c>
      <c r="M905" s="6">
        <f>ROUND(E905*G905-H905,2)</f>
        <v>62.91</v>
      </c>
      <c r="N905" s="5">
        <f>IF(COUNTIF($A$3:A905,A905)=1,1,0)</f>
        <v>0</v>
      </c>
      <c r="O905" s="6">
        <f>IF(N905=1,ROUND((SUMIFS($M$3:$M$1200,$A$3:$A$1200,A905)+'Settings'!$B$13)*'Settings'!$B$14/100+'Settings'!$B$15,2),0)</f>
        <v>0</v>
      </c>
    </row>
    <row r="906">
      <c r="A906" s="3" t="inlineStr">
        <is>
          <t xml:space="preserve">#1668</t>
        </is>
      </c>
      <c r="B906" s="3" t="inlineStr">
        <is>
          <t xml:space="preserve">2026-08-07</t>
        </is>
      </c>
      <c r="C906" s="3" t="inlineStr">
        <is>
          <t xml:space="preserve">SKU-D</t>
        </is>
      </c>
      <c r="D906" s="3" t="inlineStr">
        <is>
          <t xml:space="preserve">Daily Duo</t>
        </is>
      </c>
      <c r="E906" s="6">
        <f>IF('Settings'!$B$11="Scenario",IFERROR(INDEX('Catalogue'!$E$3:$E$100,MATCH(C906,'Catalogue'!$B$3:$B$100,0)),F906),F906)</f>
        <v>79</v>
      </c>
      <c r="F906" s="8">
        <v>79</v>
      </c>
      <c r="G906" s="3">
        <v>1</v>
      </c>
      <c r="H906" s="6">
        <f>IF('Settings'!$B$11="Scenario",ROUND(E906*G906*IFERROR(SUMIF('Pricing &amp; promotions'!$A$6:$A$8,L906,'Pricing &amp; promotions'!$B$6:$B$8)/100,0),2),J906)</f>
        <v>0.0</v>
      </c>
      <c r="I906" s="6">
        <f>ROUND((E906*G906-H906)/IF(OR(K906=TRUE,K906="TRUE",K906="YES",K906=1),1+'Settings'!$B$6/100,1),2)</f>
        <v>65.29</v>
      </c>
      <c r="J906" s="8">
        <v>0.0</v>
      </c>
      <c r="K906" s="3" t="inlineStr">
        <is>
          <t xml:space="preserve">TRUE</t>
        </is>
      </c>
      <c r="L906" s="3"/>
      <c r="M906" s="6">
        <f>ROUND(E906*G906-H906,2)</f>
        <v>79.0</v>
      </c>
      <c r="N906" s="5">
        <f>IF(COUNTIF($A$3:A906,A906)=1,1,0)</f>
        <v>1</v>
      </c>
      <c r="O906" s="6">
        <f>IF(N906=1,ROUND((SUMIFS($M$3:$M$1200,$A$3:$A$1200,A906)+'Settings'!$B$13)*'Settings'!$B$14/100+'Settings'!$B$15,2),0)</f>
        <v>1.99</v>
      </c>
    </row>
    <row r="907">
      <c r="A907" s="3" t="inlineStr">
        <is>
          <t xml:space="preserve">#1668</t>
        </is>
      </c>
      <c r="B907" s="3" t="inlineStr">
        <is>
          <t xml:space="preserve">2026-08-07</t>
        </is>
      </c>
      <c r="C907" s="3" t="inlineStr">
        <is>
          <t xml:space="preserve">SKU-F</t>
        </is>
      </c>
      <c r="D907" s="3" t="inlineStr">
        <is>
          <t xml:space="preserve">Cloud Cleanser</t>
        </is>
      </c>
      <c r="E907" s="6">
        <f>IF('Settings'!$B$11="Scenario",IFERROR(INDEX('Catalogue'!$E$3:$E$100,MATCH(C907,'Catalogue'!$B$3:$B$100,0)),F907),F907)</f>
        <v>34</v>
      </c>
      <c r="F907" s="8">
        <v>34</v>
      </c>
      <c r="G907" s="3">
        <v>1</v>
      </c>
      <c r="H907" s="6">
        <f>IF('Settings'!$B$11="Scenario",ROUND(E907*G907*IFERROR(SUMIF('Pricing &amp; promotions'!$A$6:$A$8,L907,'Pricing &amp; promotions'!$B$6:$B$8)/100,0),2),J907)</f>
        <v>0.0</v>
      </c>
      <c r="I907" s="6">
        <f>ROUND((E907*G907-H907)/IF(OR(K907=TRUE,K907="TRUE",K907="YES",K907=1),1+'Settings'!$B$6/100,1),2)</f>
        <v>28.1</v>
      </c>
      <c r="J907" s="8">
        <v>0.0</v>
      </c>
      <c r="K907" s="3" t="inlineStr">
        <is>
          <t xml:space="preserve">TRUE</t>
        </is>
      </c>
      <c r="L907" s="3"/>
      <c r="M907" s="6">
        <f>ROUND(E907*G907-H907,2)</f>
        <v>34.0</v>
      </c>
      <c r="N907" s="5">
        <f>IF(COUNTIF($A$3:A907,A907)=1,1,0)</f>
        <v>0</v>
      </c>
      <c r="O907" s="6">
        <f>IF(N907=1,ROUND((SUMIFS($M$3:$M$1200,$A$3:$A$1200,A907)+'Settings'!$B$13)*'Settings'!$B$14/100+'Settings'!$B$15,2),0)</f>
        <v>0</v>
      </c>
    </row>
    <row r="908">
      <c r="A908" s="3" t="inlineStr">
        <is>
          <t xml:space="preserve">#1669</t>
        </is>
      </c>
      <c r="B908" s="3" t="inlineStr">
        <is>
          <t xml:space="preserve">2026-08-07</t>
        </is>
      </c>
      <c r="C908" s="3" t="inlineStr">
        <is>
          <t xml:space="preserve">SKU-E</t>
        </is>
      </c>
      <c r="D908" s="3" t="inlineStr">
        <is>
          <t xml:space="preserve">Complete Ritual</t>
        </is>
      </c>
      <c r="E908" s="6">
        <f>IF('Settings'!$B$11="Scenario",IFERROR(INDEX('Catalogue'!$E$3:$E$100,MATCH(C908,'Catalogue'!$B$3:$B$100,0)),F908),F908)</f>
        <v>89</v>
      </c>
      <c r="F908" s="8">
        <v>89</v>
      </c>
      <c r="G908" s="3">
        <v>1</v>
      </c>
      <c r="H908" s="6">
        <f>IF('Settings'!$B$11="Scenario",ROUND(E908*G908*IFERROR(SUMIF('Pricing &amp; promotions'!$A$6:$A$8,L908,'Pricing &amp; promotions'!$B$6:$B$8)/100,0),2),J908)</f>
        <v>8.9</v>
      </c>
      <c r="I908" s="6">
        <f>ROUND((E908*G908-H908)/IF(OR(K908=TRUE,K908="TRUE",K908="YES",K908=1),1+'Settings'!$B$6/100,1),2)</f>
        <v>66.2</v>
      </c>
      <c r="J908" s="8">
        <v>8.9</v>
      </c>
      <c r="K908" s="3" t="inlineStr">
        <is>
          <t xml:space="preserve">TRUE</t>
        </is>
      </c>
      <c r="L908" s="3" t="inlineStr">
        <is>
          <t xml:space="preserve">WELCOME10</t>
        </is>
      </c>
      <c r="M908" s="6">
        <f>ROUND(E908*G908-H908,2)</f>
        <v>80.1</v>
      </c>
      <c r="N908" s="5">
        <f>IF(COUNTIF($A$3:A908,A908)=1,1,0)</f>
        <v>1</v>
      </c>
      <c r="O908" s="6">
        <f>IF(N908=1,ROUND((SUMIFS($M$3:$M$1200,$A$3:$A$1200,A908)+'Settings'!$B$13)*'Settings'!$B$14/100+'Settings'!$B$15,2),0)</f>
        <v>2.56</v>
      </c>
    </row>
    <row r="909">
      <c r="A909" s="3" t="inlineStr">
        <is>
          <t xml:space="preserve">#1669</t>
        </is>
      </c>
      <c r="B909" s="3" t="inlineStr">
        <is>
          <t xml:space="preserve">2026-08-07</t>
        </is>
      </c>
      <c r="C909" s="3" t="inlineStr">
        <is>
          <t xml:space="preserve">SKU-D</t>
        </is>
      </c>
      <c r="D909" s="3" t="inlineStr">
        <is>
          <t xml:space="preserve">Daily Duo</t>
        </is>
      </c>
      <c r="E909" s="6">
        <f>IF('Settings'!$B$11="Scenario",IFERROR(INDEX('Catalogue'!$E$3:$E$100,MATCH(C909,'Catalogue'!$B$3:$B$100,0)),F909),F909)</f>
        <v>79</v>
      </c>
      <c r="F909" s="8">
        <v>79</v>
      </c>
      <c r="G909" s="3">
        <v>1</v>
      </c>
      <c r="H909" s="6">
        <f>IF('Settings'!$B$11="Scenario",ROUND(E909*G909*IFERROR(SUMIF('Pricing &amp; promotions'!$A$6:$A$8,L909,'Pricing &amp; promotions'!$B$6:$B$8)/100,0),2),J909)</f>
        <v>7.9</v>
      </c>
      <c r="I909" s="6">
        <f>ROUND((E909*G909-H909)/IF(OR(K909=TRUE,K909="TRUE",K909="YES",K909=1),1+'Settings'!$B$6/100,1),2)</f>
        <v>58.76</v>
      </c>
      <c r="J909" s="8">
        <v>7.9</v>
      </c>
      <c r="K909" s="3" t="inlineStr">
        <is>
          <t xml:space="preserve">TRUE</t>
        </is>
      </c>
      <c r="L909" s="3" t="inlineStr">
        <is>
          <t xml:space="preserve">WELCOME10</t>
        </is>
      </c>
      <c r="M909" s="6">
        <f>ROUND(E909*G909-H909,2)</f>
        <v>71.1</v>
      </c>
      <c r="N909" s="5">
        <f>IF(COUNTIF($A$3:A909,A909)=1,1,0)</f>
        <v>0</v>
      </c>
      <c r="O909" s="6">
        <f>IF(N909=1,ROUND((SUMIFS($M$3:$M$1200,$A$3:$A$1200,A909)+'Settings'!$B$13)*'Settings'!$B$14/100+'Settings'!$B$15,2),0)</f>
        <v>0</v>
      </c>
    </row>
    <row r="910">
      <c r="A910" s="3" t="inlineStr">
        <is>
          <t xml:space="preserve">#1670</t>
        </is>
      </c>
      <c r="B910" s="3" t="inlineStr">
        <is>
          <t xml:space="preserve">2026-08-08</t>
        </is>
      </c>
      <c r="C910" s="3" t="inlineStr">
        <is>
          <t xml:space="preserve">SKU-E</t>
        </is>
      </c>
      <c r="D910" s="3" t="inlineStr">
        <is>
          <t xml:space="preserve">Complete Ritual</t>
        </is>
      </c>
      <c r="E910" s="6">
        <f>IF('Settings'!$B$11="Scenario",IFERROR(INDEX('Catalogue'!$E$3:$E$100,MATCH(C910,'Catalogue'!$B$3:$B$100,0)),F910),F910)</f>
        <v>89</v>
      </c>
      <c r="F910" s="8">
        <v>89</v>
      </c>
      <c r="G910" s="3">
        <v>1</v>
      </c>
      <c r="H910" s="6">
        <f>IF('Settings'!$B$11="Scenario",ROUND(E910*G910*IFERROR(SUMIF('Pricing &amp; promotions'!$A$6:$A$8,L910,'Pricing &amp; promotions'!$B$6:$B$8)/100,0),2),J910)</f>
        <v>0.0</v>
      </c>
      <c r="I910" s="6">
        <f>ROUND((E910*G910-H910)/IF(OR(K910=TRUE,K910="TRUE",K910="YES",K910=1),1+'Settings'!$B$6/100,1),2)</f>
        <v>73.55</v>
      </c>
      <c r="J910" s="8">
        <v>0.0</v>
      </c>
      <c r="K910" s="3" t="inlineStr">
        <is>
          <t xml:space="preserve">TRUE</t>
        </is>
      </c>
      <c r="L910" s="3"/>
      <c r="M910" s="6">
        <f>ROUND(E910*G910-H910,2)</f>
        <v>89.0</v>
      </c>
      <c r="N910" s="5">
        <f>IF(COUNTIF($A$3:A910,A910)=1,1,0)</f>
        <v>1</v>
      </c>
      <c r="O910" s="6">
        <f>IF(N910=1,ROUND((SUMIFS($M$3:$M$1200,$A$3:$A$1200,A910)+'Settings'!$B$13)*'Settings'!$B$14/100+'Settings'!$B$15,2),0)</f>
        <v>1.63</v>
      </c>
    </row>
    <row r="911">
      <c r="A911" s="3" t="inlineStr">
        <is>
          <t xml:space="preserve">#1671</t>
        </is>
      </c>
      <c r="B911" s="3" t="inlineStr">
        <is>
          <t xml:space="preserve">2026-08-09</t>
        </is>
      </c>
      <c r="C911" s="3" t="inlineStr">
        <is>
          <t xml:space="preserve">SKU-F</t>
        </is>
      </c>
      <c r="D911" s="3" t="inlineStr">
        <is>
          <t xml:space="preserve">Cloud Cleanser</t>
        </is>
      </c>
      <c r="E911" s="6">
        <f>IF('Settings'!$B$11="Scenario",IFERROR(INDEX('Catalogue'!$E$3:$E$100,MATCH(C911,'Catalogue'!$B$3:$B$100,0)),F911),F911)</f>
        <v>34</v>
      </c>
      <c r="F911" s="8">
        <v>34</v>
      </c>
      <c r="G911" s="3">
        <v>1</v>
      </c>
      <c r="H911" s="6">
        <f>IF('Settings'!$B$11="Scenario",ROUND(E911*G911*IFERROR(SUMIF('Pricing &amp; promotions'!$A$6:$A$8,L911,'Pricing &amp; promotions'!$B$6:$B$8)/100,0),2),J911)</f>
        <v>3.4</v>
      </c>
      <c r="I911" s="6">
        <f>ROUND((E911*G911-H911)/IF(OR(K911=TRUE,K911="TRUE",K911="YES",K911=1),1+'Settings'!$B$6/100,1),2)</f>
        <v>25.29</v>
      </c>
      <c r="J911" s="8">
        <v>3.4</v>
      </c>
      <c r="K911" s="3" t="inlineStr">
        <is>
          <t xml:space="preserve">TRUE</t>
        </is>
      </c>
      <c r="L911" s="3" t="inlineStr">
        <is>
          <t xml:space="preserve">WELCOME10</t>
        </is>
      </c>
      <c r="M911" s="6">
        <f>ROUND(E911*G911-H911,2)</f>
        <v>30.6</v>
      </c>
      <c r="N911" s="5">
        <f>IF(COUNTIF($A$3:A911,A911)=1,1,0)</f>
        <v>1</v>
      </c>
      <c r="O911" s="6">
        <f>IF(N911=1,ROUND((SUMIFS($M$3:$M$1200,$A$3:$A$1200,A911)+'Settings'!$B$13)*'Settings'!$B$14/100+'Settings'!$B$15,2),0)</f>
        <v>1.95</v>
      </c>
    </row>
    <row r="912">
      <c r="A912" s="3" t="inlineStr">
        <is>
          <t xml:space="preserve">#1671</t>
        </is>
      </c>
      <c r="B912" s="3" t="inlineStr">
        <is>
          <t xml:space="preserve">2026-08-09</t>
        </is>
      </c>
      <c r="C912" s="3" t="inlineStr">
        <is>
          <t xml:space="preserve">SKU-E</t>
        </is>
      </c>
      <c r="D912" s="3" t="inlineStr">
        <is>
          <t xml:space="preserve">Complete Ritual</t>
        </is>
      </c>
      <c r="E912" s="6">
        <f>IF('Settings'!$B$11="Scenario",IFERROR(INDEX('Catalogue'!$E$3:$E$100,MATCH(C912,'Catalogue'!$B$3:$B$100,0)),F912),F912)</f>
        <v>89</v>
      </c>
      <c r="F912" s="8">
        <v>89</v>
      </c>
      <c r="G912" s="3">
        <v>1</v>
      </c>
      <c r="H912" s="6">
        <f>IF('Settings'!$B$11="Scenario",ROUND(E912*G912*IFERROR(SUMIF('Pricing &amp; promotions'!$A$6:$A$8,L912,'Pricing &amp; promotions'!$B$6:$B$8)/100,0),2),J912)</f>
        <v>8.9</v>
      </c>
      <c r="I912" s="6">
        <f>ROUND((E912*G912-H912)/IF(OR(K912=TRUE,K912="TRUE",K912="YES",K912=1),1+'Settings'!$B$6/100,1),2)</f>
        <v>66.2</v>
      </c>
      <c r="J912" s="8">
        <v>8.9</v>
      </c>
      <c r="K912" s="3" t="inlineStr">
        <is>
          <t xml:space="preserve">TRUE</t>
        </is>
      </c>
      <c r="L912" s="3" t="inlineStr">
        <is>
          <t xml:space="preserve">WELCOME10</t>
        </is>
      </c>
      <c r="M912" s="6">
        <f>ROUND(E912*G912-H912,2)</f>
        <v>80.1</v>
      </c>
      <c r="N912" s="5">
        <f>IF(COUNTIF($A$3:A912,A912)=1,1,0)</f>
        <v>0</v>
      </c>
      <c r="O912" s="6">
        <f>IF(N912=1,ROUND((SUMIFS($M$3:$M$1200,$A$3:$A$1200,A912)+'Settings'!$B$13)*'Settings'!$B$14/100+'Settings'!$B$15,2),0)</f>
        <v>0</v>
      </c>
    </row>
    <row r="913">
      <c r="A913" s="3" t="inlineStr">
        <is>
          <t xml:space="preserve">#1672</t>
        </is>
      </c>
      <c r="B913" s="3" t="inlineStr">
        <is>
          <t xml:space="preserve">2026-08-09</t>
        </is>
      </c>
      <c r="C913" s="3" t="inlineStr">
        <is>
          <t xml:space="preserve">SKU-B</t>
        </is>
      </c>
      <c r="D913" s="3" t="inlineStr">
        <is>
          <t xml:space="preserve">Barrier Balm</t>
        </is>
      </c>
      <c r="E913" s="6">
        <f>IF('Settings'!$B$11="Scenario",IFERROR(INDEX('Catalogue'!$E$3:$E$100,MATCH(C913,'Catalogue'!$B$3:$B$100,0)),F913),F913)</f>
        <v>19</v>
      </c>
      <c r="F913" s="8">
        <v>19</v>
      </c>
      <c r="G913" s="3">
        <v>1</v>
      </c>
      <c r="H913" s="6">
        <f>IF('Settings'!$B$11="Scenario",ROUND(E913*G913*IFERROR(SUMIF('Pricing &amp; promotions'!$A$6:$A$8,L913,'Pricing &amp; promotions'!$B$6:$B$8)/100,0),2),J913)</f>
        <v>0.0</v>
      </c>
      <c r="I913" s="6">
        <f>ROUND((E913*G913-H913)/IF(OR(K913=TRUE,K913="TRUE",K913="YES",K913=1),1+'Settings'!$B$6/100,1),2)</f>
        <v>15.7</v>
      </c>
      <c r="J913" s="8">
        <v>0.0</v>
      </c>
      <c r="K913" s="3" t="inlineStr">
        <is>
          <t xml:space="preserve">TRUE</t>
        </is>
      </c>
      <c r="L913" s="3"/>
      <c r="M913" s="6">
        <f>ROUND(E913*G913-H913,2)</f>
        <v>19.0</v>
      </c>
      <c r="N913" s="5">
        <f>IF(COUNTIF($A$3:A913,A913)=1,1,0)</f>
        <v>1</v>
      </c>
      <c r="O913" s="6">
        <f>IF(N913=1,ROUND((SUMIFS($M$3:$M$1200,$A$3:$A$1200,A913)+'Settings'!$B$13)*'Settings'!$B$14/100+'Settings'!$B$15,2),0)</f>
        <v>1.63</v>
      </c>
    </row>
    <row r="914">
      <c r="A914" s="3" t="inlineStr">
        <is>
          <t xml:space="preserve">#1672</t>
        </is>
      </c>
      <c r="B914" s="3" t="inlineStr">
        <is>
          <t xml:space="preserve">2026-08-09</t>
        </is>
      </c>
      <c r="C914" s="3" t="inlineStr">
        <is>
          <t xml:space="preserve">SKU-A</t>
        </is>
      </c>
      <c r="D914" s="3" t="inlineStr">
        <is>
          <t xml:space="preserve">Renewal Serum</t>
        </is>
      </c>
      <c r="E914" s="6">
        <f>IF('Settings'!$B$11="Scenario",IFERROR(INDEX('Catalogue'!$E$3:$E$100,MATCH(C914,'Catalogue'!$B$3:$B$100,0)),F914),F914)</f>
        <v>69.9</v>
      </c>
      <c r="F914" s="8">
        <v>69.9</v>
      </c>
      <c r="G914" s="3">
        <v>1</v>
      </c>
      <c r="H914" s="6">
        <f>IF('Settings'!$B$11="Scenario",ROUND(E914*G914*IFERROR(SUMIF('Pricing &amp; promotions'!$A$6:$A$8,L914,'Pricing &amp; promotions'!$B$6:$B$8)/100,0),2),J914)</f>
        <v>0.0</v>
      </c>
      <c r="I914" s="6">
        <f>ROUND((E914*G914-H914)/IF(OR(K914=TRUE,K914="TRUE",K914="YES",K914=1),1+'Settings'!$B$6/100,1),2)</f>
        <v>57.77</v>
      </c>
      <c r="J914" s="8">
        <v>0.0</v>
      </c>
      <c r="K914" s="3" t="inlineStr">
        <is>
          <t xml:space="preserve">TRUE</t>
        </is>
      </c>
      <c r="L914" s="3"/>
      <c r="M914" s="6">
        <f>ROUND(E914*G914-H914,2)</f>
        <v>69.9</v>
      </c>
      <c r="N914" s="5">
        <f>IF(COUNTIF($A$3:A914,A914)=1,1,0)</f>
        <v>0</v>
      </c>
      <c r="O914" s="6">
        <f>IF(N914=1,ROUND((SUMIFS($M$3:$M$1200,$A$3:$A$1200,A914)+'Settings'!$B$13)*'Settings'!$B$14/100+'Settings'!$B$15,2),0)</f>
        <v>0</v>
      </c>
    </row>
    <row r="915">
      <c r="A915" s="3" t="inlineStr">
        <is>
          <t xml:space="preserve">#1673</t>
        </is>
      </c>
      <c r="B915" s="3" t="inlineStr">
        <is>
          <t xml:space="preserve">2026-08-10</t>
        </is>
      </c>
      <c r="C915" s="3" t="inlineStr">
        <is>
          <t xml:space="preserve">SKU-E</t>
        </is>
      </c>
      <c r="D915" s="3" t="inlineStr">
        <is>
          <t xml:space="preserve">Complete Ritual</t>
        </is>
      </c>
      <c r="E915" s="6">
        <f>IF('Settings'!$B$11="Scenario",IFERROR(INDEX('Catalogue'!$E$3:$E$100,MATCH(C915,'Catalogue'!$B$3:$B$100,0)),F915),F915)</f>
        <v>89</v>
      </c>
      <c r="F915" s="8">
        <v>89</v>
      </c>
      <c r="G915" s="3">
        <v>1</v>
      </c>
      <c r="H915" s="6">
        <f>IF('Settings'!$B$11="Scenario",ROUND(E915*G915*IFERROR(SUMIF('Pricing &amp; promotions'!$A$6:$A$8,L915,'Pricing &amp; promotions'!$B$6:$B$8)/100,0),2),J915)</f>
        <v>0.0</v>
      </c>
      <c r="I915" s="6">
        <f>ROUND((E915*G915-H915)/IF(OR(K915=TRUE,K915="TRUE",K915="YES",K915=1),1+'Settings'!$B$6/100,1),2)</f>
        <v>73.55</v>
      </c>
      <c r="J915" s="8">
        <v>0.0</v>
      </c>
      <c r="K915" s="3" t="inlineStr">
        <is>
          <t xml:space="preserve">TRUE</t>
        </is>
      </c>
      <c r="L915" s="3"/>
      <c r="M915" s="6">
        <f>ROUND(E915*G915-H915,2)</f>
        <v>89.0</v>
      </c>
      <c r="N915" s="5">
        <f>IF(COUNTIF($A$3:A915,A915)=1,1,0)</f>
        <v>1</v>
      </c>
      <c r="O915" s="6">
        <f>IF(N915=1,ROUND((SUMIFS($M$3:$M$1200,$A$3:$A$1200,A915)+'Settings'!$B$13)*'Settings'!$B$14/100+'Settings'!$B$15,2),0)</f>
        <v>1.63</v>
      </c>
    </row>
    <row r="916">
      <c r="A916" s="3" t="inlineStr">
        <is>
          <t xml:space="preserve">#1674</t>
        </is>
      </c>
      <c r="B916" s="3" t="inlineStr">
        <is>
          <t xml:space="preserve">2026-08-11</t>
        </is>
      </c>
      <c r="C916" s="3" t="inlineStr">
        <is>
          <t xml:space="preserve">SKU-F</t>
        </is>
      </c>
      <c r="D916" s="3" t="inlineStr">
        <is>
          <t xml:space="preserve">Cloud Cleanser</t>
        </is>
      </c>
      <c r="E916" s="6">
        <f>IF('Settings'!$B$11="Scenario",IFERROR(INDEX('Catalogue'!$E$3:$E$100,MATCH(C916,'Catalogue'!$B$3:$B$100,0)),F916),F916)</f>
        <v>34</v>
      </c>
      <c r="F916" s="8">
        <v>34</v>
      </c>
      <c r="G916" s="3">
        <v>1</v>
      </c>
      <c r="H916" s="6">
        <f>IF('Settings'!$B$11="Scenario",ROUND(E916*G916*IFERROR(SUMIF('Pricing &amp; promotions'!$A$6:$A$8,L916,'Pricing &amp; promotions'!$B$6:$B$8)/100,0),2),J916)</f>
        <v>3.4</v>
      </c>
      <c r="I916" s="6">
        <f>ROUND((E916*G916-H916)/IF(OR(K916=TRUE,K916="TRUE",K916="YES",K916=1),1+'Settings'!$B$6/100,1),2)</f>
        <v>25.29</v>
      </c>
      <c r="J916" s="8">
        <v>3.4</v>
      </c>
      <c r="K916" s="3" t="inlineStr">
        <is>
          <t xml:space="preserve">TRUE</t>
        </is>
      </c>
      <c r="L916" s="3" t="inlineStr">
        <is>
          <t xml:space="preserve">WELCOME10</t>
        </is>
      </c>
      <c r="M916" s="6">
        <f>ROUND(E916*G916-H916,2)</f>
        <v>30.6</v>
      </c>
      <c r="N916" s="5">
        <f>IF(COUNTIF($A$3:A916,A916)=1,1,0)</f>
        <v>1</v>
      </c>
      <c r="O916" s="6">
        <f>IF(N916=1,ROUND((SUMIFS($M$3:$M$1200,$A$3:$A$1200,A916)+'Settings'!$B$13)*'Settings'!$B$14/100+'Settings'!$B$15,2),0)</f>
        <v>0.75</v>
      </c>
    </row>
    <row r="917">
      <c r="A917" s="3" t="inlineStr">
        <is>
          <t xml:space="preserve">#1675</t>
        </is>
      </c>
      <c r="B917" s="3" t="inlineStr">
        <is>
          <t xml:space="preserve">2026-08-12</t>
        </is>
      </c>
      <c r="C917" s="3" t="inlineStr">
        <is>
          <t xml:space="preserve">SKU-D</t>
        </is>
      </c>
      <c r="D917" s="3" t="inlineStr">
        <is>
          <t xml:space="preserve">Daily Duo</t>
        </is>
      </c>
      <c r="E917" s="6">
        <f>IF('Settings'!$B$11="Scenario",IFERROR(INDEX('Catalogue'!$E$3:$E$100,MATCH(C917,'Catalogue'!$B$3:$B$100,0)),F917),F917)</f>
        <v>79</v>
      </c>
      <c r="F917" s="8">
        <v>79</v>
      </c>
      <c r="G917" s="3">
        <v>1</v>
      </c>
      <c r="H917" s="6">
        <f>IF('Settings'!$B$11="Scenario",ROUND(E917*G917*IFERROR(SUMIF('Pricing &amp; promotions'!$A$6:$A$8,L917,'Pricing &amp; promotions'!$B$6:$B$8)/100,0),2),J917)</f>
        <v>0.0</v>
      </c>
      <c r="I917" s="6">
        <f>ROUND((E917*G917-H917)/IF(OR(K917=TRUE,K917="TRUE",K917="YES",K917=1),1+'Settings'!$B$6/100,1),2)</f>
        <v>65.29</v>
      </c>
      <c r="J917" s="8">
        <v>0.0</v>
      </c>
      <c r="K917" s="3" t="inlineStr">
        <is>
          <t xml:space="preserve">TRUE</t>
        </is>
      </c>
      <c r="L917" s="3"/>
      <c r="M917" s="6">
        <f>ROUND(E917*G917-H917,2)</f>
        <v>79.0</v>
      </c>
      <c r="N917" s="5">
        <f>IF(COUNTIF($A$3:A917,A917)=1,1,0)</f>
        <v>1</v>
      </c>
      <c r="O917" s="6">
        <f>IF(N917=1,ROUND((SUMIFS($M$3:$M$1200,$A$3:$A$1200,A917)+'Settings'!$B$13)*'Settings'!$B$14/100+'Settings'!$B$15,2),0)</f>
        <v>1.48</v>
      </c>
    </row>
    <row r="918">
      <c r="A918" s="3" t="inlineStr">
        <is>
          <t xml:space="preserve">#1676</t>
        </is>
      </c>
      <c r="B918" s="3" t="inlineStr">
        <is>
          <t xml:space="preserve">2026-08-12</t>
        </is>
      </c>
      <c r="C918" s="3" t="inlineStr">
        <is>
          <t xml:space="preserve">SKU-A</t>
        </is>
      </c>
      <c r="D918" s="3" t="inlineStr">
        <is>
          <t xml:space="preserve">Renewal Serum</t>
        </is>
      </c>
      <c r="E918" s="6">
        <f>IF('Settings'!$B$11="Scenario",IFERROR(INDEX('Catalogue'!$E$3:$E$100,MATCH(C918,'Catalogue'!$B$3:$B$100,0)),F918),F918)</f>
        <v>69.9</v>
      </c>
      <c r="F918" s="8">
        <v>69.9</v>
      </c>
      <c r="G918" s="3">
        <v>1</v>
      </c>
      <c r="H918" s="6">
        <f>IF('Settings'!$B$11="Scenario",ROUND(E918*G918*IFERROR(SUMIF('Pricing &amp; promotions'!$A$6:$A$8,L918,'Pricing &amp; promotions'!$B$6:$B$8)/100,0),2),J918)</f>
        <v>6.99</v>
      </c>
      <c r="I918" s="6">
        <f>ROUND((E918*G918-H918)/IF(OR(K918=TRUE,K918="TRUE",K918="YES",K918=1),1+'Settings'!$B$6/100,1),2)</f>
        <v>51.99</v>
      </c>
      <c r="J918" s="8">
        <v>6.99</v>
      </c>
      <c r="K918" s="3" t="inlineStr">
        <is>
          <t xml:space="preserve">TRUE</t>
        </is>
      </c>
      <c r="L918" s="3" t="inlineStr">
        <is>
          <t xml:space="preserve">WELCOME10</t>
        </is>
      </c>
      <c r="M918" s="6">
        <f>ROUND(E918*G918-H918,2)</f>
        <v>62.91</v>
      </c>
      <c r="N918" s="5">
        <f>IF(COUNTIF($A$3:A918,A918)=1,1,0)</f>
        <v>1</v>
      </c>
      <c r="O918" s="6">
        <f>IF(N918=1,ROUND((SUMIFS($M$3:$M$1200,$A$3:$A$1200,A918)+'Settings'!$B$13)*'Settings'!$B$14/100+'Settings'!$B$15,2),0)</f>
        <v>1.24</v>
      </c>
    </row>
    <row r="919">
      <c r="A919" s="3" t="inlineStr">
        <is>
          <t xml:space="preserve">#1677</t>
        </is>
      </c>
      <c r="B919" s="3" t="inlineStr">
        <is>
          <t xml:space="preserve">2026-08-13</t>
        </is>
      </c>
      <c r="C919" s="3" t="inlineStr">
        <is>
          <t xml:space="preserve">SKU-B</t>
        </is>
      </c>
      <c r="D919" s="3" t="inlineStr">
        <is>
          <t xml:space="preserve">Barrier Balm</t>
        </is>
      </c>
      <c r="E919" s="6">
        <f>IF('Settings'!$B$11="Scenario",IFERROR(INDEX('Catalogue'!$E$3:$E$100,MATCH(C919,'Catalogue'!$B$3:$B$100,0)),F919),F919)</f>
        <v>19</v>
      </c>
      <c r="F919" s="8">
        <v>19</v>
      </c>
      <c r="G919" s="3">
        <v>1</v>
      </c>
      <c r="H919" s="6">
        <f>IF('Settings'!$B$11="Scenario",ROUND(E919*G919*IFERROR(SUMIF('Pricing &amp; promotions'!$A$6:$A$8,L919,'Pricing &amp; promotions'!$B$6:$B$8)/100,0),2),J919)</f>
        <v>0.0</v>
      </c>
      <c r="I919" s="6">
        <f>ROUND((E919*G919-H919)/IF(OR(K919=TRUE,K919="TRUE",K919="YES",K919=1),1+'Settings'!$B$6/100,1),2)</f>
        <v>15.7</v>
      </c>
      <c r="J919" s="8">
        <v>0.0</v>
      </c>
      <c r="K919" s="3" t="inlineStr">
        <is>
          <t xml:space="preserve">TRUE</t>
        </is>
      </c>
      <c r="L919" s="3"/>
      <c r="M919" s="6">
        <f>ROUND(E919*G919-H919,2)</f>
        <v>19.0</v>
      </c>
      <c r="N919" s="5">
        <f>IF(COUNTIF($A$3:A919,A919)=1,1,0)</f>
        <v>1</v>
      </c>
      <c r="O919" s="6">
        <f>IF(N919=1,ROUND((SUMIFS($M$3:$M$1200,$A$3:$A$1200,A919)+'Settings'!$B$13)*'Settings'!$B$14/100+'Settings'!$B$15,2),0)</f>
        <v>1.91</v>
      </c>
    </row>
    <row r="920">
      <c r="A920" s="3" t="inlineStr">
        <is>
          <t xml:space="preserve">#1677</t>
        </is>
      </c>
      <c r="B920" s="3" t="inlineStr">
        <is>
          <t xml:space="preserve">2026-08-13</t>
        </is>
      </c>
      <c r="C920" s="3" t="inlineStr">
        <is>
          <t xml:space="preserve">SKU-E</t>
        </is>
      </c>
      <c r="D920" s="3" t="inlineStr">
        <is>
          <t xml:space="preserve">Complete Ritual</t>
        </is>
      </c>
      <c r="E920" s="6">
        <f>IF('Settings'!$B$11="Scenario",IFERROR(INDEX('Catalogue'!$E$3:$E$100,MATCH(C920,'Catalogue'!$B$3:$B$100,0)),F920),F920)</f>
        <v>89</v>
      </c>
      <c r="F920" s="8">
        <v>89</v>
      </c>
      <c r="G920" s="3">
        <v>1</v>
      </c>
      <c r="H920" s="6">
        <f>IF('Settings'!$B$11="Scenario",ROUND(E920*G920*IFERROR(SUMIF('Pricing &amp; promotions'!$A$6:$A$8,L920,'Pricing &amp; promotions'!$B$6:$B$8)/100,0),2),J920)</f>
        <v>0.0</v>
      </c>
      <c r="I920" s="6">
        <f>ROUND((E920*G920-H920)/IF(OR(K920=TRUE,K920="TRUE",K920="YES",K920=1),1+'Settings'!$B$6/100,1),2)</f>
        <v>73.55</v>
      </c>
      <c r="J920" s="8">
        <v>0.0</v>
      </c>
      <c r="K920" s="3" t="inlineStr">
        <is>
          <t xml:space="preserve">TRUE</t>
        </is>
      </c>
      <c r="L920" s="3"/>
      <c r="M920" s="6">
        <f>ROUND(E920*G920-H920,2)</f>
        <v>89.0</v>
      </c>
      <c r="N920" s="5">
        <f>IF(COUNTIF($A$3:A920,A920)=1,1,0)</f>
        <v>0</v>
      </c>
      <c r="O920" s="6">
        <f>IF(N920=1,ROUND((SUMIFS($M$3:$M$1200,$A$3:$A$1200,A920)+'Settings'!$B$13)*'Settings'!$B$14/100+'Settings'!$B$15,2),0)</f>
        <v>0</v>
      </c>
    </row>
    <row r="921">
      <c r="A921" s="3" t="inlineStr">
        <is>
          <t xml:space="preserve">#1678</t>
        </is>
      </c>
      <c r="B921" s="3" t="inlineStr">
        <is>
          <t xml:space="preserve">2026-08-13</t>
        </is>
      </c>
      <c r="C921" s="3" t="inlineStr">
        <is>
          <t xml:space="preserve">SKU-D</t>
        </is>
      </c>
      <c r="D921" s="3" t="inlineStr">
        <is>
          <t xml:space="preserve">Daily Duo</t>
        </is>
      </c>
      <c r="E921" s="6">
        <f>IF('Settings'!$B$11="Scenario",IFERROR(INDEX('Catalogue'!$E$3:$E$100,MATCH(C921,'Catalogue'!$B$3:$B$100,0)),F921),F921)</f>
        <v>79</v>
      </c>
      <c r="F921" s="8">
        <v>79</v>
      </c>
      <c r="G921" s="3">
        <v>1</v>
      </c>
      <c r="H921" s="6">
        <f>IF('Settings'!$B$11="Scenario",ROUND(E921*G921*IFERROR(SUMIF('Pricing &amp; promotions'!$A$6:$A$8,L921,'Pricing &amp; promotions'!$B$6:$B$8)/100,0),2),J921)</f>
        <v>15.8</v>
      </c>
      <c r="I921" s="6">
        <f>ROUND((E921*G921-H921)/IF(OR(K921=TRUE,K921="TRUE",K921="YES",K921=1),1+'Settings'!$B$6/100,1),2)</f>
        <v>52.23</v>
      </c>
      <c r="J921" s="8">
        <v>15.8</v>
      </c>
      <c r="K921" s="3" t="inlineStr">
        <is>
          <t xml:space="preserve">TRUE</t>
        </is>
      </c>
      <c r="L921" s="3" t="inlineStr">
        <is>
          <t xml:space="preserve">VIP20</t>
        </is>
      </c>
      <c r="M921" s="6">
        <f>ROUND(E921*G921-H921,2)</f>
        <v>63.2</v>
      </c>
      <c r="N921" s="5">
        <f>IF(COUNTIF($A$3:A921,A921)=1,1,0)</f>
        <v>1</v>
      </c>
      <c r="O921" s="6">
        <f>IF(N921=1,ROUND((SUMIFS($M$3:$M$1200,$A$3:$A$1200,A921)+'Settings'!$B$13)*'Settings'!$B$14/100+'Settings'!$B$15,2),0)</f>
        <v>1.24</v>
      </c>
    </row>
    <row r="922">
      <c r="A922" s="3" t="inlineStr">
        <is>
          <t xml:space="preserve">#1679</t>
        </is>
      </c>
      <c r="B922" s="3" t="inlineStr">
        <is>
          <t xml:space="preserve">2026-08-14</t>
        </is>
      </c>
      <c r="C922" s="3" t="inlineStr">
        <is>
          <t xml:space="preserve">SKU-E</t>
        </is>
      </c>
      <c r="D922" s="3" t="inlineStr">
        <is>
          <t xml:space="preserve">Complete Ritual</t>
        </is>
      </c>
      <c r="E922" s="6">
        <f>IF('Settings'!$B$11="Scenario",IFERROR(INDEX('Catalogue'!$E$3:$E$100,MATCH(C922,'Catalogue'!$B$3:$B$100,0)),F922),F922)</f>
        <v>89</v>
      </c>
      <c r="F922" s="8">
        <v>89</v>
      </c>
      <c r="G922" s="3">
        <v>1</v>
      </c>
      <c r="H922" s="6">
        <f>IF('Settings'!$B$11="Scenario",ROUND(E922*G922*IFERROR(SUMIF('Pricing &amp; promotions'!$A$6:$A$8,L922,'Pricing &amp; promotions'!$B$6:$B$8)/100,0),2),J922)</f>
        <v>8.9</v>
      </c>
      <c r="I922" s="6">
        <f>ROUND((E922*G922-H922)/IF(OR(K922=TRUE,K922="TRUE",K922="YES",K922=1),1+'Settings'!$B$6/100,1),2)</f>
        <v>66.2</v>
      </c>
      <c r="J922" s="8">
        <v>8.9</v>
      </c>
      <c r="K922" s="3" t="inlineStr">
        <is>
          <t xml:space="preserve">TRUE</t>
        </is>
      </c>
      <c r="L922" s="3" t="inlineStr">
        <is>
          <t xml:space="preserve">WELCOME10</t>
        </is>
      </c>
      <c r="M922" s="6">
        <f>ROUND(E922*G922-H922,2)</f>
        <v>80.1</v>
      </c>
      <c r="N922" s="5">
        <f>IF(COUNTIF($A$3:A922,A922)=1,1,0)</f>
        <v>1</v>
      </c>
      <c r="O922" s="6">
        <f>IF(N922=1,ROUND((SUMIFS($M$3:$M$1200,$A$3:$A$1200,A922)+'Settings'!$B$13)*'Settings'!$B$14/100+'Settings'!$B$15,2),0)</f>
        <v>2.44</v>
      </c>
    </row>
    <row r="923">
      <c r="A923" s="3" t="inlineStr">
        <is>
          <t xml:space="preserve">#1679</t>
        </is>
      </c>
      <c r="B923" s="3" t="inlineStr">
        <is>
          <t xml:space="preserve">2026-08-14</t>
        </is>
      </c>
      <c r="C923" s="3" t="inlineStr">
        <is>
          <t xml:space="preserve">SKU-A</t>
        </is>
      </c>
      <c r="D923" s="3" t="inlineStr">
        <is>
          <t xml:space="preserve">Renewal Serum</t>
        </is>
      </c>
      <c r="E923" s="6">
        <f>IF('Settings'!$B$11="Scenario",IFERROR(INDEX('Catalogue'!$E$3:$E$100,MATCH(C923,'Catalogue'!$B$3:$B$100,0)),F923),F923)</f>
        <v>69.9</v>
      </c>
      <c r="F923" s="8">
        <v>69.9</v>
      </c>
      <c r="G923" s="3">
        <v>1</v>
      </c>
      <c r="H923" s="6">
        <f>IF('Settings'!$B$11="Scenario",ROUND(E923*G923*IFERROR(SUMIF('Pricing &amp; promotions'!$A$6:$A$8,L923,'Pricing &amp; promotions'!$B$6:$B$8)/100,0),2),J923)</f>
        <v>6.99</v>
      </c>
      <c r="I923" s="6">
        <f>ROUND((E923*G923-H923)/IF(OR(K923=TRUE,K923="TRUE",K923="YES",K923=1),1+'Settings'!$B$6/100,1),2)</f>
        <v>51.99</v>
      </c>
      <c r="J923" s="8">
        <v>6.99</v>
      </c>
      <c r="K923" s="3" t="inlineStr">
        <is>
          <t xml:space="preserve">TRUE</t>
        </is>
      </c>
      <c r="L923" s="3" t="inlineStr">
        <is>
          <t xml:space="preserve">WELCOME10</t>
        </is>
      </c>
      <c r="M923" s="6">
        <f>ROUND(E923*G923-H923,2)</f>
        <v>62.91</v>
      </c>
      <c r="N923" s="5">
        <f>IF(COUNTIF($A$3:A923,A923)=1,1,0)</f>
        <v>0</v>
      </c>
      <c r="O923" s="6">
        <f>IF(N923=1,ROUND((SUMIFS($M$3:$M$1200,$A$3:$A$1200,A923)+'Settings'!$B$13)*'Settings'!$B$14/100+'Settings'!$B$15,2),0)</f>
        <v>0</v>
      </c>
    </row>
    <row r="924">
      <c r="A924" s="3" t="inlineStr">
        <is>
          <t xml:space="preserve">#1680</t>
        </is>
      </c>
      <c r="B924" s="3" t="inlineStr">
        <is>
          <t xml:space="preserve">2026-08-14</t>
        </is>
      </c>
      <c r="C924" s="3" t="inlineStr">
        <is>
          <t xml:space="preserve">SKU-G</t>
        </is>
      </c>
      <c r="D924" s="3" t="inlineStr">
        <is>
          <t xml:space="preserve">Daily Reset Set</t>
        </is>
      </c>
      <c r="E924" s="6">
        <f>IF('Settings'!$B$11="Scenario",IFERROR(INDEX('Catalogue'!$E$3:$E$100,MATCH(C924,'Catalogue'!$B$3:$B$100,0)),F924),F924)</f>
        <v>69</v>
      </c>
      <c r="F924" s="8">
        <v>69</v>
      </c>
      <c r="G924" s="3">
        <v>1</v>
      </c>
      <c r="H924" s="6">
        <f>IF('Settings'!$B$11="Scenario",ROUND(E924*G924*IFERROR(SUMIF('Pricing &amp; promotions'!$A$6:$A$8,L924,'Pricing &amp; promotions'!$B$6:$B$8)/100,0),2),J924)</f>
        <v>0.0</v>
      </c>
      <c r="I924" s="6">
        <f>ROUND((E924*G924-H924)/IF(OR(K924=TRUE,K924="TRUE",K924="YES",K924=1),1+'Settings'!$B$6/100,1),2)</f>
        <v>57.02</v>
      </c>
      <c r="J924" s="8">
        <v>0.0</v>
      </c>
      <c r="K924" s="3" t="inlineStr">
        <is>
          <t xml:space="preserve">TRUE</t>
        </is>
      </c>
      <c r="L924" s="3"/>
      <c r="M924" s="6">
        <f>ROUND(E924*G924-H924,2)</f>
        <v>69.0</v>
      </c>
      <c r="N924" s="5">
        <f>IF(COUNTIF($A$3:A924,A924)=1,1,0)</f>
        <v>1</v>
      </c>
      <c r="O924" s="6">
        <f>IF(N924=1,ROUND((SUMIFS($M$3:$M$1200,$A$3:$A$1200,A924)+'Settings'!$B$13)*'Settings'!$B$14/100+'Settings'!$B$15,2),0)</f>
        <v>1.33</v>
      </c>
    </row>
    <row r="925">
      <c r="A925" s="3" t="inlineStr">
        <is>
          <t xml:space="preserve">#1681</t>
        </is>
      </c>
      <c r="B925" s="3" t="inlineStr">
        <is>
          <t xml:space="preserve">2026-08-15</t>
        </is>
      </c>
      <c r="C925" s="3" t="inlineStr">
        <is>
          <t xml:space="preserve">SKU-F</t>
        </is>
      </c>
      <c r="D925" s="3" t="inlineStr">
        <is>
          <t xml:space="preserve">Cloud Cleanser</t>
        </is>
      </c>
      <c r="E925" s="6">
        <f>IF('Settings'!$B$11="Scenario",IFERROR(INDEX('Catalogue'!$E$3:$E$100,MATCH(C925,'Catalogue'!$B$3:$B$100,0)),F925),F925)</f>
        <v>34</v>
      </c>
      <c r="F925" s="8">
        <v>34</v>
      </c>
      <c r="G925" s="3">
        <v>1</v>
      </c>
      <c r="H925" s="6">
        <f>IF('Settings'!$B$11="Scenario",ROUND(E925*G925*IFERROR(SUMIF('Pricing &amp; promotions'!$A$6:$A$8,L925,'Pricing &amp; promotions'!$B$6:$B$8)/100,0),2),J925)</f>
        <v>0.0</v>
      </c>
      <c r="I925" s="6">
        <f>ROUND((E925*G925-H925)/IF(OR(K925=TRUE,K925="TRUE",K925="YES",K925=1),1+'Settings'!$B$6/100,1),2)</f>
        <v>28.1</v>
      </c>
      <c r="J925" s="8">
        <v>0.0</v>
      </c>
      <c r="K925" s="3" t="inlineStr">
        <is>
          <t xml:space="preserve">TRUE</t>
        </is>
      </c>
      <c r="L925" s="3"/>
      <c r="M925" s="6">
        <f>ROUND(E925*G925-H925,2)</f>
        <v>34.0</v>
      </c>
      <c r="N925" s="5">
        <f>IF(COUNTIF($A$3:A925,A925)=1,1,0)</f>
        <v>1</v>
      </c>
      <c r="O925" s="6">
        <f>IF(N925=1,ROUND((SUMIFS($M$3:$M$1200,$A$3:$A$1200,A925)+'Settings'!$B$13)*'Settings'!$B$14/100+'Settings'!$B$15,2),0)</f>
        <v>1.99</v>
      </c>
    </row>
    <row r="926">
      <c r="A926" s="3" t="inlineStr">
        <is>
          <t xml:space="preserve">#1681</t>
        </is>
      </c>
      <c r="B926" s="3" t="inlineStr">
        <is>
          <t xml:space="preserve">2026-08-15</t>
        </is>
      </c>
      <c r="C926" s="3" t="inlineStr">
        <is>
          <t xml:space="preserve">SKU-D</t>
        </is>
      </c>
      <c r="D926" s="3" t="inlineStr">
        <is>
          <t xml:space="preserve">Daily Duo</t>
        </is>
      </c>
      <c r="E926" s="6">
        <f>IF('Settings'!$B$11="Scenario",IFERROR(INDEX('Catalogue'!$E$3:$E$100,MATCH(C926,'Catalogue'!$B$3:$B$100,0)),F926),F926)</f>
        <v>79</v>
      </c>
      <c r="F926" s="8">
        <v>79</v>
      </c>
      <c r="G926" s="3">
        <v>1</v>
      </c>
      <c r="H926" s="6">
        <f>IF('Settings'!$B$11="Scenario",ROUND(E926*G926*IFERROR(SUMIF('Pricing &amp; promotions'!$A$6:$A$8,L926,'Pricing &amp; promotions'!$B$6:$B$8)/100,0),2),J926)</f>
        <v>0.0</v>
      </c>
      <c r="I926" s="6">
        <f>ROUND((E926*G926-H926)/IF(OR(K926=TRUE,K926="TRUE",K926="YES",K926=1),1+'Settings'!$B$6/100,1),2)</f>
        <v>65.29</v>
      </c>
      <c r="J926" s="8">
        <v>0.0</v>
      </c>
      <c r="K926" s="3" t="inlineStr">
        <is>
          <t xml:space="preserve">TRUE</t>
        </is>
      </c>
      <c r="L926" s="3"/>
      <c r="M926" s="6">
        <f>ROUND(E926*G926-H926,2)</f>
        <v>79.0</v>
      </c>
      <c r="N926" s="5">
        <f>IF(COUNTIF($A$3:A926,A926)=1,1,0)</f>
        <v>0</v>
      </c>
      <c r="O926" s="6">
        <f>IF(N926=1,ROUND((SUMIFS($M$3:$M$1200,$A$3:$A$1200,A926)+'Settings'!$B$13)*'Settings'!$B$14/100+'Settings'!$B$15,2),0)</f>
        <v>0</v>
      </c>
    </row>
    <row r="927">
      <c r="A927" s="3" t="inlineStr">
        <is>
          <t xml:space="preserve">#1682</t>
        </is>
      </c>
      <c r="B927" s="3" t="inlineStr">
        <is>
          <t xml:space="preserve">2026-08-15</t>
        </is>
      </c>
      <c r="C927" s="3" t="inlineStr">
        <is>
          <t xml:space="preserve">SKU-A</t>
        </is>
      </c>
      <c r="D927" s="3" t="inlineStr">
        <is>
          <t xml:space="preserve">Renewal Serum</t>
        </is>
      </c>
      <c r="E927" s="6">
        <f>IF('Settings'!$B$11="Scenario",IFERROR(INDEX('Catalogue'!$E$3:$E$100,MATCH(C927,'Catalogue'!$B$3:$B$100,0)),F927),F927)</f>
        <v>69.9</v>
      </c>
      <c r="F927" s="8">
        <v>69.9</v>
      </c>
      <c r="G927" s="3">
        <v>1</v>
      </c>
      <c r="H927" s="6">
        <f>IF('Settings'!$B$11="Scenario",ROUND(E927*G927*IFERROR(SUMIF('Pricing &amp; promotions'!$A$6:$A$8,L927,'Pricing &amp; promotions'!$B$6:$B$8)/100,0),2),J927)</f>
        <v>6.99</v>
      </c>
      <c r="I927" s="6">
        <f>ROUND((E927*G927-H927)/IF(OR(K927=TRUE,K927="TRUE",K927="YES",K927=1),1+'Settings'!$B$6/100,1),2)</f>
        <v>51.99</v>
      </c>
      <c r="J927" s="8">
        <v>6.99</v>
      </c>
      <c r="K927" s="3" t="inlineStr">
        <is>
          <t xml:space="preserve">TRUE</t>
        </is>
      </c>
      <c r="L927" s="3" t="inlineStr">
        <is>
          <t xml:space="preserve">WELCOME10</t>
        </is>
      </c>
      <c r="M927" s="6">
        <f>ROUND(E927*G927-H927,2)</f>
        <v>62.91</v>
      </c>
      <c r="N927" s="5">
        <f>IF(COUNTIF($A$3:A927,A927)=1,1,0)</f>
        <v>1</v>
      </c>
      <c r="O927" s="6">
        <f>IF(N927=1,ROUND((SUMIFS($M$3:$M$1200,$A$3:$A$1200,A927)+'Settings'!$B$13)*'Settings'!$B$14/100+'Settings'!$B$15,2),0)</f>
        <v>1.24</v>
      </c>
    </row>
    <row r="928">
      <c r="A928" s="3" t="inlineStr">
        <is>
          <t xml:space="preserve">#1683</t>
        </is>
      </c>
      <c r="B928" s="3" t="inlineStr">
        <is>
          <t xml:space="preserve">2026-08-15</t>
        </is>
      </c>
      <c r="C928" s="3" t="inlineStr">
        <is>
          <t xml:space="preserve">SKU-A</t>
        </is>
      </c>
      <c r="D928" s="3" t="inlineStr">
        <is>
          <t xml:space="preserve">Renewal Serum</t>
        </is>
      </c>
      <c r="E928" s="6">
        <f>IF('Settings'!$B$11="Scenario",IFERROR(INDEX('Catalogue'!$E$3:$E$100,MATCH(C928,'Catalogue'!$B$3:$B$100,0)),F928),F928)</f>
        <v>69.9</v>
      </c>
      <c r="F928" s="8">
        <v>69.9</v>
      </c>
      <c r="G928" s="3">
        <v>1</v>
      </c>
      <c r="H928" s="6">
        <f>IF('Settings'!$B$11="Scenario",ROUND(E928*G928*IFERROR(SUMIF('Pricing &amp; promotions'!$A$6:$A$8,L928,'Pricing &amp; promotions'!$B$6:$B$8)/100,0),2),J928)</f>
        <v>0.0</v>
      </c>
      <c r="I928" s="6">
        <f>ROUND((E928*G928-H928)/IF(OR(K928=TRUE,K928="TRUE",K928="YES",K928=1),1+'Settings'!$B$6/100,1),2)</f>
        <v>57.77</v>
      </c>
      <c r="J928" s="8">
        <v>0.0</v>
      </c>
      <c r="K928" s="3" t="inlineStr">
        <is>
          <t xml:space="preserve">TRUE</t>
        </is>
      </c>
      <c r="L928" s="3"/>
      <c r="M928" s="6">
        <f>ROUND(E928*G928-H928,2)</f>
        <v>69.9</v>
      </c>
      <c r="N928" s="5">
        <f>IF(COUNTIF($A$3:A928,A928)=1,1,0)</f>
        <v>1</v>
      </c>
      <c r="O928" s="6">
        <f>IF(N928=1,ROUND((SUMIFS($M$3:$M$1200,$A$3:$A$1200,A928)+'Settings'!$B$13)*'Settings'!$B$14/100+'Settings'!$B$15,2),0)</f>
        <v>1.34</v>
      </c>
    </row>
    <row r="929">
      <c r="A929" s="3" t="inlineStr">
        <is>
          <t xml:space="preserve">#1684</t>
        </is>
      </c>
      <c r="B929" s="3" t="inlineStr">
        <is>
          <t xml:space="preserve">2026-08-16</t>
        </is>
      </c>
      <c r="C929" s="3" t="inlineStr">
        <is>
          <t xml:space="preserve">SKU-D</t>
        </is>
      </c>
      <c r="D929" s="3" t="inlineStr">
        <is>
          <t xml:space="preserve">Daily Duo</t>
        </is>
      </c>
      <c r="E929" s="6">
        <f>IF('Settings'!$B$11="Scenario",IFERROR(INDEX('Catalogue'!$E$3:$E$100,MATCH(C929,'Catalogue'!$B$3:$B$100,0)),F929),F929)</f>
        <v>79</v>
      </c>
      <c r="F929" s="8">
        <v>79</v>
      </c>
      <c r="G929" s="3">
        <v>1</v>
      </c>
      <c r="H929" s="6">
        <f>IF('Settings'!$B$11="Scenario",ROUND(E929*G929*IFERROR(SUMIF('Pricing &amp; promotions'!$A$6:$A$8,L929,'Pricing &amp; promotions'!$B$6:$B$8)/100,0),2),J929)</f>
        <v>0.0</v>
      </c>
      <c r="I929" s="6">
        <f>ROUND((E929*G929-H929)/IF(OR(K929=TRUE,K929="TRUE",K929="YES",K929=1),1+'Settings'!$B$6/100,1),2)</f>
        <v>65.29</v>
      </c>
      <c r="J929" s="8">
        <v>0.0</v>
      </c>
      <c r="K929" s="3" t="inlineStr">
        <is>
          <t xml:space="preserve">TRUE</t>
        </is>
      </c>
      <c r="L929" s="3"/>
      <c r="M929" s="6">
        <f>ROUND(E929*G929-H929,2)</f>
        <v>79.0</v>
      </c>
      <c r="N929" s="5">
        <f>IF(COUNTIF($A$3:A929,A929)=1,1,0)</f>
        <v>1</v>
      </c>
      <c r="O929" s="6">
        <f>IF(N929=1,ROUND((SUMIFS($M$3:$M$1200,$A$3:$A$1200,A929)+'Settings'!$B$13)*'Settings'!$B$14/100+'Settings'!$B$15,2),0)</f>
        <v>2.81</v>
      </c>
    </row>
    <row r="930">
      <c r="A930" s="3" t="inlineStr">
        <is>
          <t xml:space="preserve">#1684</t>
        </is>
      </c>
      <c r="B930" s="3" t="inlineStr">
        <is>
          <t xml:space="preserve">2026-08-16</t>
        </is>
      </c>
      <c r="C930" s="3" t="inlineStr">
        <is>
          <t xml:space="preserve">SKU-E</t>
        </is>
      </c>
      <c r="D930" s="3" t="inlineStr">
        <is>
          <t xml:space="preserve">Complete Ritual</t>
        </is>
      </c>
      <c r="E930" s="6">
        <f>IF('Settings'!$B$11="Scenario",IFERROR(INDEX('Catalogue'!$E$3:$E$100,MATCH(C930,'Catalogue'!$B$3:$B$100,0)),F930),F930)</f>
        <v>89</v>
      </c>
      <c r="F930" s="8">
        <v>89</v>
      </c>
      <c r="G930" s="3">
        <v>1</v>
      </c>
      <c r="H930" s="6">
        <f>IF('Settings'!$B$11="Scenario",ROUND(E930*G930*IFERROR(SUMIF('Pricing &amp; promotions'!$A$6:$A$8,L930,'Pricing &amp; promotions'!$B$6:$B$8)/100,0),2),J930)</f>
        <v>0.0</v>
      </c>
      <c r="I930" s="6">
        <f>ROUND((E930*G930-H930)/IF(OR(K930=TRUE,K930="TRUE",K930="YES",K930=1),1+'Settings'!$B$6/100,1),2)</f>
        <v>73.55</v>
      </c>
      <c r="J930" s="8">
        <v>0.0</v>
      </c>
      <c r="K930" s="3" t="inlineStr">
        <is>
          <t xml:space="preserve">TRUE</t>
        </is>
      </c>
      <c r="L930" s="3"/>
      <c r="M930" s="6">
        <f>ROUND(E930*G930-H930,2)</f>
        <v>89.0</v>
      </c>
      <c r="N930" s="5">
        <f>IF(COUNTIF($A$3:A930,A930)=1,1,0)</f>
        <v>0</v>
      </c>
      <c r="O930" s="6">
        <f>IF(N930=1,ROUND((SUMIFS($M$3:$M$1200,$A$3:$A$1200,A930)+'Settings'!$B$13)*'Settings'!$B$14/100+'Settings'!$B$15,2),0)</f>
        <v>0</v>
      </c>
    </row>
    <row r="931">
      <c r="A931" s="3" t="inlineStr">
        <is>
          <t xml:space="preserve">#1685</t>
        </is>
      </c>
      <c r="B931" s="3" t="inlineStr">
        <is>
          <t xml:space="preserve">2026-08-16</t>
        </is>
      </c>
      <c r="C931" s="3" t="inlineStr">
        <is>
          <t xml:space="preserve">SKU-G</t>
        </is>
      </c>
      <c r="D931" s="3" t="inlineStr">
        <is>
          <t xml:space="preserve">Daily Reset Set</t>
        </is>
      </c>
      <c r="E931" s="6">
        <f>IF('Settings'!$B$11="Scenario",IFERROR(INDEX('Catalogue'!$E$3:$E$100,MATCH(C931,'Catalogue'!$B$3:$B$100,0)),F931),F931)</f>
        <v>69</v>
      </c>
      <c r="F931" s="8">
        <v>69</v>
      </c>
      <c r="G931" s="3">
        <v>1</v>
      </c>
      <c r="H931" s="6">
        <f>IF('Settings'!$B$11="Scenario",ROUND(E931*G931*IFERROR(SUMIF('Pricing &amp; promotions'!$A$6:$A$8,L931,'Pricing &amp; promotions'!$B$6:$B$8)/100,0),2),J931)</f>
        <v>6.9</v>
      </c>
      <c r="I931" s="6">
        <f>ROUND((E931*G931-H931)/IF(OR(K931=TRUE,K931="TRUE",K931="YES",K931=1),1+'Settings'!$B$6/100,1),2)</f>
        <v>51.32</v>
      </c>
      <c r="J931" s="8">
        <v>6.9</v>
      </c>
      <c r="K931" s="3" t="inlineStr">
        <is>
          <t xml:space="preserve">TRUE</t>
        </is>
      </c>
      <c r="L931" s="3" t="inlineStr">
        <is>
          <t xml:space="preserve">WELCOME10</t>
        </is>
      </c>
      <c r="M931" s="6">
        <f>ROUND(E931*G931-H931,2)</f>
        <v>62.1</v>
      </c>
      <c r="N931" s="5">
        <f>IF(COUNTIF($A$3:A931,A931)=1,1,0)</f>
        <v>1</v>
      </c>
      <c r="O931" s="6">
        <f>IF(N931=1,ROUND((SUMIFS($M$3:$M$1200,$A$3:$A$1200,A931)+'Settings'!$B$13)*'Settings'!$B$14/100+'Settings'!$B$15,2),0)</f>
        <v>1.23</v>
      </c>
    </row>
    <row r="932">
      <c r="A932" s="3" t="inlineStr">
        <is>
          <t xml:space="preserve">#1686</t>
        </is>
      </c>
      <c r="B932" s="3" t="inlineStr">
        <is>
          <t xml:space="preserve">2026-08-16</t>
        </is>
      </c>
      <c r="C932" s="3" t="inlineStr">
        <is>
          <t xml:space="preserve">SKU-E</t>
        </is>
      </c>
      <c r="D932" s="3" t="inlineStr">
        <is>
          <t xml:space="preserve">Complete Ritual</t>
        </is>
      </c>
      <c r="E932" s="6">
        <f>IF('Settings'!$B$11="Scenario",IFERROR(INDEX('Catalogue'!$E$3:$E$100,MATCH(C932,'Catalogue'!$B$3:$B$100,0)),F932),F932)</f>
        <v>89</v>
      </c>
      <c r="F932" s="8">
        <v>89</v>
      </c>
      <c r="G932" s="3">
        <v>1</v>
      </c>
      <c r="H932" s="6">
        <f>IF('Settings'!$B$11="Scenario",ROUND(E932*G932*IFERROR(SUMIF('Pricing &amp; promotions'!$A$6:$A$8,L932,'Pricing &amp; promotions'!$B$6:$B$8)/100,0),2),J932)</f>
        <v>17.8</v>
      </c>
      <c r="I932" s="6">
        <f>ROUND((E932*G932-H932)/IF(OR(K932=TRUE,K932="TRUE",K932="YES",K932=1),1+'Settings'!$B$6/100,1),2)</f>
        <v>58.84</v>
      </c>
      <c r="J932" s="8">
        <v>17.8</v>
      </c>
      <c r="K932" s="3" t="inlineStr">
        <is>
          <t xml:space="preserve">TRUE</t>
        </is>
      </c>
      <c r="L932" s="3" t="inlineStr">
        <is>
          <t xml:space="preserve">VIP20</t>
        </is>
      </c>
      <c r="M932" s="6">
        <f>ROUND(E932*G932-H932,2)</f>
        <v>71.2</v>
      </c>
      <c r="N932" s="5">
        <f>IF(COUNTIF($A$3:A932,A932)=1,1,0)</f>
        <v>1</v>
      </c>
      <c r="O932" s="6">
        <f>IF(N932=1,ROUND((SUMIFS($M$3:$M$1200,$A$3:$A$1200,A932)+'Settings'!$B$13)*'Settings'!$B$14/100+'Settings'!$B$15,2),0)</f>
        <v>1.36</v>
      </c>
    </row>
    <row r="933">
      <c r="A933" s="3" t="inlineStr">
        <is>
          <t xml:space="preserve">#1687</t>
        </is>
      </c>
      <c r="B933" s="3" t="inlineStr">
        <is>
          <t xml:space="preserve">2026-08-17</t>
        </is>
      </c>
      <c r="C933" s="3" t="inlineStr">
        <is>
          <t xml:space="preserve">SKU-D</t>
        </is>
      </c>
      <c r="D933" s="3" t="inlineStr">
        <is>
          <t xml:space="preserve">Daily Duo</t>
        </is>
      </c>
      <c r="E933" s="6">
        <f>IF('Settings'!$B$11="Scenario",IFERROR(INDEX('Catalogue'!$E$3:$E$100,MATCH(C933,'Catalogue'!$B$3:$B$100,0)),F933),F933)</f>
        <v>79</v>
      </c>
      <c r="F933" s="8">
        <v>79</v>
      </c>
      <c r="G933" s="3">
        <v>2</v>
      </c>
      <c r="H933" s="6">
        <f>IF('Settings'!$B$11="Scenario",ROUND(E933*G933*IFERROR(SUMIF('Pricing &amp; promotions'!$A$6:$A$8,L933,'Pricing &amp; promotions'!$B$6:$B$8)/100,0),2),J933)</f>
        <v>0.0</v>
      </c>
      <c r="I933" s="6">
        <f>ROUND((E933*G933-H933)/IF(OR(K933=TRUE,K933="TRUE",K933="YES",K933=1),1+'Settings'!$B$6/100,1),2)</f>
        <v>130.58</v>
      </c>
      <c r="J933" s="8">
        <v>0.0</v>
      </c>
      <c r="K933" s="3" t="inlineStr">
        <is>
          <t xml:space="preserve">TRUE</t>
        </is>
      </c>
      <c r="L933" s="3"/>
      <c r="M933" s="6">
        <f>ROUND(E933*G933-H933,2)</f>
        <v>158.0</v>
      </c>
      <c r="N933" s="5">
        <f>IF(COUNTIF($A$3:A933,A933)=1,1,0)</f>
        <v>1</v>
      </c>
      <c r="O933" s="6">
        <f>IF(N933=1,ROUND((SUMIFS($M$3:$M$1200,$A$3:$A$1200,A933)+'Settings'!$B$13)*'Settings'!$B$14/100+'Settings'!$B$15,2),0)</f>
        <v>4.75</v>
      </c>
    </row>
    <row r="934">
      <c r="A934" s="3" t="inlineStr">
        <is>
          <t xml:space="preserve">#1687</t>
        </is>
      </c>
      <c r="B934" s="3" t="inlineStr">
        <is>
          <t xml:space="preserve">2026-08-17</t>
        </is>
      </c>
      <c r="C934" s="3" t="inlineStr">
        <is>
          <t xml:space="preserve">SKU-G</t>
        </is>
      </c>
      <c r="D934" s="3" t="inlineStr">
        <is>
          <t xml:space="preserve">Daily Reset Set</t>
        </is>
      </c>
      <c r="E934" s="6">
        <f>IF('Settings'!$B$11="Scenario",IFERROR(INDEX('Catalogue'!$E$3:$E$100,MATCH(C934,'Catalogue'!$B$3:$B$100,0)),F934),F934)</f>
        <v>69</v>
      </c>
      <c r="F934" s="8">
        <v>69</v>
      </c>
      <c r="G934" s="3">
        <v>1</v>
      </c>
      <c r="H934" s="6">
        <f>IF('Settings'!$B$11="Scenario",ROUND(E934*G934*IFERROR(SUMIF('Pricing &amp; promotions'!$A$6:$A$8,L934,'Pricing &amp; promotions'!$B$6:$B$8)/100,0),2),J934)</f>
        <v>0.0</v>
      </c>
      <c r="I934" s="6">
        <f>ROUND((E934*G934-H934)/IF(OR(K934=TRUE,K934="TRUE",K934="YES",K934=1),1+'Settings'!$B$6/100,1),2)</f>
        <v>57.02</v>
      </c>
      <c r="J934" s="8">
        <v>0.0</v>
      </c>
      <c r="K934" s="3" t="inlineStr">
        <is>
          <t xml:space="preserve">TRUE</t>
        </is>
      </c>
      <c r="L934" s="3"/>
      <c r="M934" s="6">
        <f>ROUND(E934*G934-H934,2)</f>
        <v>69.0</v>
      </c>
      <c r="N934" s="5">
        <f>IF(COUNTIF($A$3:A934,A934)=1,1,0)</f>
        <v>0</v>
      </c>
      <c r="O934" s="6">
        <f>IF(N934=1,ROUND((SUMIFS($M$3:$M$1200,$A$3:$A$1200,A934)+'Settings'!$B$13)*'Settings'!$B$14/100+'Settings'!$B$15,2),0)</f>
        <v>0</v>
      </c>
    </row>
    <row r="935">
      <c r="A935" s="3" t="inlineStr">
        <is>
          <t xml:space="preserve">#1687</t>
        </is>
      </c>
      <c r="B935" s="3" t="inlineStr">
        <is>
          <t xml:space="preserve">2026-08-17</t>
        </is>
      </c>
      <c r="C935" s="3" t="inlineStr">
        <is>
          <t xml:space="preserve">SKU-A</t>
        </is>
      </c>
      <c r="D935" s="3" t="inlineStr">
        <is>
          <t xml:space="preserve">Renewal Serum</t>
        </is>
      </c>
      <c r="E935" s="6">
        <f>IF('Settings'!$B$11="Scenario",IFERROR(INDEX('Catalogue'!$E$3:$E$100,MATCH(C935,'Catalogue'!$B$3:$B$100,0)),F935),F935)</f>
        <v>69.9</v>
      </c>
      <c r="F935" s="8">
        <v>69.9</v>
      </c>
      <c r="G935" s="3">
        <v>1</v>
      </c>
      <c r="H935" s="6">
        <f>IF('Settings'!$B$11="Scenario",ROUND(E935*G935*IFERROR(SUMIF('Pricing &amp; promotions'!$A$6:$A$8,L935,'Pricing &amp; promotions'!$B$6:$B$8)/100,0),2),J935)</f>
        <v>0.0</v>
      </c>
      <c r="I935" s="6">
        <f>ROUND((E935*G935-H935)/IF(OR(K935=TRUE,K935="TRUE",K935="YES",K935=1),1+'Settings'!$B$6/100,1),2)</f>
        <v>57.77</v>
      </c>
      <c r="J935" s="8">
        <v>0.0</v>
      </c>
      <c r="K935" s="3" t="inlineStr">
        <is>
          <t xml:space="preserve">TRUE</t>
        </is>
      </c>
      <c r="L935" s="3"/>
      <c r="M935" s="6">
        <f>ROUND(E935*G935-H935,2)</f>
        <v>69.9</v>
      </c>
      <c r="N935" s="5">
        <f>IF(COUNTIF($A$3:A935,A935)=1,1,0)</f>
        <v>0</v>
      </c>
      <c r="O935" s="6">
        <f>IF(N935=1,ROUND((SUMIFS($M$3:$M$1200,$A$3:$A$1200,A935)+'Settings'!$B$13)*'Settings'!$B$14/100+'Settings'!$B$15,2),0)</f>
        <v>0</v>
      </c>
    </row>
    <row r="936">
      <c r="A936" s="3" t="inlineStr">
        <is>
          <t xml:space="preserve">#1688</t>
        </is>
      </c>
      <c r="B936" s="3" t="inlineStr">
        <is>
          <t xml:space="preserve">2026-08-17</t>
        </is>
      </c>
      <c r="C936" s="3" t="inlineStr">
        <is>
          <t xml:space="preserve">SKU-D</t>
        </is>
      </c>
      <c r="D936" s="3" t="inlineStr">
        <is>
          <t xml:space="preserve">Daily Duo</t>
        </is>
      </c>
      <c r="E936" s="6">
        <f>IF('Settings'!$B$11="Scenario",IFERROR(INDEX('Catalogue'!$E$3:$E$100,MATCH(C936,'Catalogue'!$B$3:$B$100,0)),F936),F936)</f>
        <v>79</v>
      </c>
      <c r="F936" s="8">
        <v>79</v>
      </c>
      <c r="G936" s="3">
        <v>1</v>
      </c>
      <c r="H936" s="6">
        <f>IF('Settings'!$B$11="Scenario",ROUND(E936*G936*IFERROR(SUMIF('Pricing &amp; promotions'!$A$6:$A$8,L936,'Pricing &amp; promotions'!$B$6:$B$8)/100,0),2),J936)</f>
        <v>11.85</v>
      </c>
      <c r="I936" s="6">
        <f>ROUND((E936*G936-H936)/IF(OR(K936=TRUE,K936="TRUE",K936="YES",K936=1),1+'Settings'!$B$6/100,1),2)</f>
        <v>55.5</v>
      </c>
      <c r="J936" s="8">
        <v>11.85</v>
      </c>
      <c r="K936" s="3" t="inlineStr">
        <is>
          <t xml:space="preserve">TRUE</t>
        </is>
      </c>
      <c r="L936" s="3" t="inlineStr">
        <is>
          <t xml:space="preserve">SUMMER15</t>
        </is>
      </c>
      <c r="M936" s="6">
        <f>ROUND(E936*G936-H936,2)</f>
        <v>67.15</v>
      </c>
      <c r="N936" s="5">
        <f>IF(COUNTIF($A$3:A936,A936)=1,1,0)</f>
        <v>1</v>
      </c>
      <c r="O936" s="6">
        <f>IF(N936=1,ROUND((SUMIFS($M$3:$M$1200,$A$3:$A$1200,A936)+'Settings'!$B$13)*'Settings'!$B$14/100+'Settings'!$B$15,2),0)</f>
        <v>1.3</v>
      </c>
    </row>
    <row r="937">
      <c r="A937" s="3" t="inlineStr">
        <is>
          <t xml:space="preserve">#1689</t>
        </is>
      </c>
      <c r="B937" s="3" t="inlineStr">
        <is>
          <t xml:space="preserve">2026-08-17</t>
        </is>
      </c>
      <c r="C937" s="3" t="inlineStr">
        <is>
          <t xml:space="preserve">SKU-D</t>
        </is>
      </c>
      <c r="D937" s="3" t="inlineStr">
        <is>
          <t xml:space="preserve">Daily Duo</t>
        </is>
      </c>
      <c r="E937" s="6">
        <f>IF('Settings'!$B$11="Scenario",IFERROR(INDEX('Catalogue'!$E$3:$E$100,MATCH(C937,'Catalogue'!$B$3:$B$100,0)),F937),F937)</f>
        <v>79</v>
      </c>
      <c r="F937" s="8">
        <v>79</v>
      </c>
      <c r="G937" s="3">
        <v>1</v>
      </c>
      <c r="H937" s="6">
        <f>IF('Settings'!$B$11="Scenario",ROUND(E937*G937*IFERROR(SUMIF('Pricing &amp; promotions'!$A$6:$A$8,L937,'Pricing &amp; promotions'!$B$6:$B$8)/100,0),2),J937)</f>
        <v>11.85</v>
      </c>
      <c r="I937" s="6">
        <f>ROUND((E937*G937-H937)/IF(OR(K937=TRUE,K937="TRUE",K937="YES",K937=1),1+'Settings'!$B$6/100,1),2)</f>
        <v>55.5</v>
      </c>
      <c r="J937" s="8">
        <v>11.85</v>
      </c>
      <c r="K937" s="3" t="inlineStr">
        <is>
          <t xml:space="preserve">TRUE</t>
        </is>
      </c>
      <c r="L937" s="3" t="inlineStr">
        <is>
          <t xml:space="preserve">SUMMER15</t>
        </is>
      </c>
      <c r="M937" s="6">
        <f>ROUND(E937*G937-H937,2)</f>
        <v>67.15</v>
      </c>
      <c r="N937" s="5">
        <f>IF(COUNTIF($A$3:A937,A937)=1,1,0)</f>
        <v>1</v>
      </c>
      <c r="O937" s="6">
        <f>IF(N937=1,ROUND((SUMIFS($M$3:$M$1200,$A$3:$A$1200,A937)+'Settings'!$B$13)*'Settings'!$B$14/100+'Settings'!$B$15,2),0)</f>
        <v>1.3</v>
      </c>
    </row>
    <row r="938">
      <c r="A938" s="3" t="inlineStr">
        <is>
          <t xml:space="preserve">#1690</t>
        </is>
      </c>
      <c r="B938" s="3" t="inlineStr">
        <is>
          <t xml:space="preserve">2026-08-18</t>
        </is>
      </c>
      <c r="C938" s="3" t="inlineStr">
        <is>
          <t xml:space="preserve">SKU-D</t>
        </is>
      </c>
      <c r="D938" s="3" t="inlineStr">
        <is>
          <t xml:space="preserve">Daily Duo</t>
        </is>
      </c>
      <c r="E938" s="6">
        <f>IF('Settings'!$B$11="Scenario",IFERROR(INDEX('Catalogue'!$E$3:$E$100,MATCH(C938,'Catalogue'!$B$3:$B$100,0)),F938),F938)</f>
        <v>79</v>
      </c>
      <c r="F938" s="8">
        <v>79</v>
      </c>
      <c r="G938" s="3">
        <v>1</v>
      </c>
      <c r="H938" s="6">
        <f>IF('Settings'!$B$11="Scenario",ROUND(E938*G938*IFERROR(SUMIF('Pricing &amp; promotions'!$A$6:$A$8,L938,'Pricing &amp; promotions'!$B$6:$B$8)/100,0),2),J938)</f>
        <v>0.0</v>
      </c>
      <c r="I938" s="6">
        <f>ROUND((E938*G938-H938)/IF(OR(K938=TRUE,K938="TRUE",K938="YES",K938=1),1+'Settings'!$B$6/100,1),2)</f>
        <v>65.29</v>
      </c>
      <c r="J938" s="8">
        <v>0.0</v>
      </c>
      <c r="K938" s="3" t="inlineStr">
        <is>
          <t xml:space="preserve">TRUE</t>
        </is>
      </c>
      <c r="L938" s="3"/>
      <c r="M938" s="6">
        <f>ROUND(E938*G938-H938,2)</f>
        <v>79.0</v>
      </c>
      <c r="N938" s="5">
        <f>IF(COUNTIF($A$3:A938,A938)=1,1,0)</f>
        <v>1</v>
      </c>
      <c r="O938" s="6">
        <f>IF(N938=1,ROUND((SUMIFS($M$3:$M$1200,$A$3:$A$1200,A938)+'Settings'!$B$13)*'Settings'!$B$14/100+'Settings'!$B$15,2),0)</f>
        <v>1.48</v>
      </c>
    </row>
    <row r="939">
      <c r="A939" s="3" t="inlineStr">
        <is>
          <t xml:space="preserve">#1691</t>
        </is>
      </c>
      <c r="B939" s="3" t="inlineStr">
        <is>
          <t xml:space="preserve">2026-08-19</t>
        </is>
      </c>
      <c r="C939" s="3" t="inlineStr">
        <is>
          <t xml:space="preserve">SKU-A</t>
        </is>
      </c>
      <c r="D939" s="3" t="inlineStr">
        <is>
          <t xml:space="preserve">Renewal Serum</t>
        </is>
      </c>
      <c r="E939" s="6">
        <f>IF('Settings'!$B$11="Scenario",IFERROR(INDEX('Catalogue'!$E$3:$E$100,MATCH(C939,'Catalogue'!$B$3:$B$100,0)),F939),F939)</f>
        <v>69.9</v>
      </c>
      <c r="F939" s="8">
        <v>69.9</v>
      </c>
      <c r="G939" s="3">
        <v>2</v>
      </c>
      <c r="H939" s="6">
        <f>IF('Settings'!$B$11="Scenario",ROUND(E939*G939*IFERROR(SUMIF('Pricing &amp; promotions'!$A$6:$A$8,L939,'Pricing &amp; promotions'!$B$6:$B$8)/100,0),2),J939)</f>
        <v>13.98</v>
      </c>
      <c r="I939" s="6">
        <f>ROUND((E939*G939-H939)/IF(OR(K939=TRUE,K939="TRUE",K939="YES",K939=1),1+'Settings'!$B$6/100,1),2)</f>
        <v>103.98</v>
      </c>
      <c r="J939" s="8">
        <v>13.98</v>
      </c>
      <c r="K939" s="3" t="inlineStr">
        <is>
          <t xml:space="preserve">TRUE</t>
        </is>
      </c>
      <c r="L939" s="3" t="inlineStr">
        <is>
          <t xml:space="preserve">WELCOME10</t>
        </is>
      </c>
      <c r="M939" s="6">
        <f>ROUND(E939*G939-H939,2)</f>
        <v>125.82</v>
      </c>
      <c r="N939" s="5">
        <f>IF(COUNTIF($A$3:A939,A939)=1,1,0)</f>
        <v>1</v>
      </c>
      <c r="O939" s="6">
        <f>IF(N939=1,ROUND((SUMIFS($M$3:$M$1200,$A$3:$A$1200,A939)+'Settings'!$B$13)*'Settings'!$B$14/100+'Settings'!$B$15,2),0)</f>
        <v>3.25</v>
      </c>
    </row>
    <row r="940">
      <c r="A940" s="3" t="inlineStr">
        <is>
          <t xml:space="preserve">#1691</t>
        </is>
      </c>
      <c r="B940" s="3" t="inlineStr">
        <is>
          <t xml:space="preserve">2026-08-19</t>
        </is>
      </c>
      <c r="C940" s="3" t="inlineStr">
        <is>
          <t xml:space="preserve">SKU-D</t>
        </is>
      </c>
      <c r="D940" s="3" t="inlineStr">
        <is>
          <t xml:space="preserve">Daily Duo</t>
        </is>
      </c>
      <c r="E940" s="6">
        <f>IF('Settings'!$B$11="Scenario",IFERROR(INDEX('Catalogue'!$E$3:$E$100,MATCH(C940,'Catalogue'!$B$3:$B$100,0)),F940),F940)</f>
        <v>79</v>
      </c>
      <c r="F940" s="8">
        <v>79</v>
      </c>
      <c r="G940" s="3">
        <v>1</v>
      </c>
      <c r="H940" s="6">
        <f>IF('Settings'!$B$11="Scenario",ROUND(E940*G940*IFERROR(SUMIF('Pricing &amp; promotions'!$A$6:$A$8,L940,'Pricing &amp; promotions'!$B$6:$B$8)/100,0),2),J940)</f>
        <v>7.9</v>
      </c>
      <c r="I940" s="6">
        <f>ROUND((E940*G940-H940)/IF(OR(K940=TRUE,K940="TRUE",K940="YES",K940=1),1+'Settings'!$B$6/100,1),2)</f>
        <v>58.76</v>
      </c>
      <c r="J940" s="8">
        <v>7.9</v>
      </c>
      <c r="K940" s="3" t="inlineStr">
        <is>
          <t xml:space="preserve">TRUE</t>
        </is>
      </c>
      <c r="L940" s="3" t="inlineStr">
        <is>
          <t xml:space="preserve">WELCOME10</t>
        </is>
      </c>
      <c r="M940" s="6">
        <f>ROUND(E940*G940-H940,2)</f>
        <v>71.1</v>
      </c>
      <c r="N940" s="5">
        <f>IF(COUNTIF($A$3:A940,A940)=1,1,0)</f>
        <v>0</v>
      </c>
      <c r="O940" s="6">
        <f>IF(N940=1,ROUND((SUMIFS($M$3:$M$1200,$A$3:$A$1200,A940)+'Settings'!$B$13)*'Settings'!$B$14/100+'Settings'!$B$15,2),0)</f>
        <v>0</v>
      </c>
    </row>
    <row r="941">
      <c r="A941" s="3" t="inlineStr">
        <is>
          <t xml:space="preserve">#1692</t>
        </is>
      </c>
      <c r="B941" s="3" t="inlineStr">
        <is>
          <t xml:space="preserve">2026-08-19</t>
        </is>
      </c>
      <c r="C941" s="3" t="inlineStr">
        <is>
          <t xml:space="preserve">SKU-E</t>
        </is>
      </c>
      <c r="D941" s="3" t="inlineStr">
        <is>
          <t xml:space="preserve">Complete Ritual</t>
        </is>
      </c>
      <c r="E941" s="6">
        <f>IF('Settings'!$B$11="Scenario",IFERROR(INDEX('Catalogue'!$E$3:$E$100,MATCH(C941,'Catalogue'!$B$3:$B$100,0)),F941),F941)</f>
        <v>89</v>
      </c>
      <c r="F941" s="8">
        <v>89</v>
      </c>
      <c r="G941" s="3">
        <v>1</v>
      </c>
      <c r="H941" s="6">
        <f>IF('Settings'!$B$11="Scenario",ROUND(E941*G941*IFERROR(SUMIF('Pricing &amp; promotions'!$A$6:$A$8,L941,'Pricing &amp; promotions'!$B$6:$B$8)/100,0),2),J941)</f>
        <v>8.9</v>
      </c>
      <c r="I941" s="6">
        <f>ROUND((E941*G941-H941)/IF(OR(K941=TRUE,K941="TRUE",K941="YES",K941=1),1+'Settings'!$B$6/100,1),2)</f>
        <v>66.2</v>
      </c>
      <c r="J941" s="8">
        <v>8.9</v>
      </c>
      <c r="K941" s="3" t="inlineStr">
        <is>
          <t xml:space="preserve">TRUE</t>
        </is>
      </c>
      <c r="L941" s="3" t="inlineStr">
        <is>
          <t xml:space="preserve">WELCOME10</t>
        </is>
      </c>
      <c r="M941" s="6">
        <f>ROUND(E941*G941-H941,2)</f>
        <v>80.1</v>
      </c>
      <c r="N941" s="5">
        <f>IF(COUNTIF($A$3:A941,A941)=1,1,0)</f>
        <v>1</v>
      </c>
      <c r="O941" s="6">
        <f>IF(N941=1,ROUND((SUMIFS($M$3:$M$1200,$A$3:$A$1200,A941)+'Settings'!$B$13)*'Settings'!$B$14/100+'Settings'!$B$15,2),0)</f>
        <v>3.38</v>
      </c>
    </row>
    <row r="942">
      <c r="A942" s="3" t="inlineStr">
        <is>
          <t xml:space="preserve">#1692</t>
        </is>
      </c>
      <c r="B942" s="3" t="inlineStr">
        <is>
          <t xml:space="preserve">2026-08-19</t>
        </is>
      </c>
      <c r="C942" s="3" t="inlineStr">
        <is>
          <t xml:space="preserve">SKU-A</t>
        </is>
      </c>
      <c r="D942" s="3" t="inlineStr">
        <is>
          <t xml:space="preserve">Renewal Serum</t>
        </is>
      </c>
      <c r="E942" s="6">
        <f>IF('Settings'!$B$11="Scenario",IFERROR(INDEX('Catalogue'!$E$3:$E$100,MATCH(C942,'Catalogue'!$B$3:$B$100,0)),F942),F942)</f>
        <v>69.9</v>
      </c>
      <c r="F942" s="8">
        <v>69.9</v>
      </c>
      <c r="G942" s="3">
        <v>2</v>
      </c>
      <c r="H942" s="6">
        <f>IF('Settings'!$B$11="Scenario",ROUND(E942*G942*IFERROR(SUMIF('Pricing &amp; promotions'!$A$6:$A$8,L942,'Pricing &amp; promotions'!$B$6:$B$8)/100,0),2),J942)</f>
        <v>13.98</v>
      </c>
      <c r="I942" s="6">
        <f>ROUND((E942*G942-H942)/IF(OR(K942=TRUE,K942="TRUE",K942="YES",K942=1),1+'Settings'!$B$6/100,1),2)</f>
        <v>103.98</v>
      </c>
      <c r="J942" s="8">
        <v>13.98</v>
      </c>
      <c r="K942" s="3" t="inlineStr">
        <is>
          <t xml:space="preserve">TRUE</t>
        </is>
      </c>
      <c r="L942" s="3" t="inlineStr">
        <is>
          <t xml:space="preserve">WELCOME10</t>
        </is>
      </c>
      <c r="M942" s="6">
        <f>ROUND(E942*G942-H942,2)</f>
        <v>125.82</v>
      </c>
      <c r="N942" s="5">
        <f>IF(COUNTIF($A$3:A942,A942)=1,1,0)</f>
        <v>0</v>
      </c>
      <c r="O942" s="6">
        <f>IF(N942=1,ROUND((SUMIFS($M$3:$M$1200,$A$3:$A$1200,A942)+'Settings'!$B$13)*'Settings'!$B$14/100+'Settings'!$B$15,2),0)</f>
        <v>0</v>
      </c>
    </row>
    <row r="943">
      <c r="A943" s="3" t="inlineStr">
        <is>
          <t xml:space="preserve">#1693</t>
        </is>
      </c>
      <c r="B943" s="3" t="inlineStr">
        <is>
          <t xml:space="preserve">2026-08-19</t>
        </is>
      </c>
      <c r="C943" s="3" t="inlineStr">
        <is>
          <t xml:space="preserve">SKU-A</t>
        </is>
      </c>
      <c r="D943" s="3" t="inlineStr">
        <is>
          <t xml:space="preserve">Renewal Serum</t>
        </is>
      </c>
      <c r="E943" s="6">
        <f>IF('Settings'!$B$11="Scenario",IFERROR(INDEX('Catalogue'!$E$3:$E$100,MATCH(C943,'Catalogue'!$B$3:$B$100,0)),F943),F943)</f>
        <v>69.9</v>
      </c>
      <c r="F943" s="8">
        <v>69.9</v>
      </c>
      <c r="G943" s="3">
        <v>1</v>
      </c>
      <c r="H943" s="6">
        <f>IF('Settings'!$B$11="Scenario",ROUND(E943*G943*IFERROR(SUMIF('Pricing &amp; promotions'!$A$6:$A$8,L943,'Pricing &amp; promotions'!$B$6:$B$8)/100,0),2),J943)</f>
        <v>0.0</v>
      </c>
      <c r="I943" s="6">
        <f>ROUND((E943*G943-H943)/IF(OR(K943=TRUE,K943="TRUE",K943="YES",K943=1),1+'Settings'!$B$6/100,1),2)</f>
        <v>57.77</v>
      </c>
      <c r="J943" s="8">
        <v>0.0</v>
      </c>
      <c r="K943" s="3" t="inlineStr">
        <is>
          <t xml:space="preserve">TRUE</t>
        </is>
      </c>
      <c r="L943" s="3"/>
      <c r="M943" s="6">
        <f>ROUND(E943*G943-H943,2)</f>
        <v>69.9</v>
      </c>
      <c r="N943" s="5">
        <f>IF(COUNTIF($A$3:A943,A943)=1,1,0)</f>
        <v>1</v>
      </c>
      <c r="O943" s="6">
        <f>IF(N943=1,ROUND((SUMIFS($M$3:$M$1200,$A$3:$A$1200,A943)+'Settings'!$B$13)*'Settings'!$B$14/100+'Settings'!$B$15,2),0)</f>
        <v>2.38</v>
      </c>
    </row>
    <row r="944">
      <c r="A944" s="3" t="inlineStr">
        <is>
          <t xml:space="preserve">#1693</t>
        </is>
      </c>
      <c r="B944" s="3" t="inlineStr">
        <is>
          <t xml:space="preserve">2026-08-19</t>
        </is>
      </c>
      <c r="C944" s="3" t="inlineStr">
        <is>
          <t xml:space="preserve">SKU-G</t>
        </is>
      </c>
      <c r="D944" s="3" t="inlineStr">
        <is>
          <t xml:space="preserve">Daily Reset Set</t>
        </is>
      </c>
      <c r="E944" s="6">
        <f>IF('Settings'!$B$11="Scenario",IFERROR(INDEX('Catalogue'!$E$3:$E$100,MATCH(C944,'Catalogue'!$B$3:$B$100,0)),F944),F944)</f>
        <v>69</v>
      </c>
      <c r="F944" s="8">
        <v>69</v>
      </c>
      <c r="G944" s="3">
        <v>1</v>
      </c>
      <c r="H944" s="6">
        <f>IF('Settings'!$B$11="Scenario",ROUND(E944*G944*IFERROR(SUMIF('Pricing &amp; promotions'!$A$6:$A$8,L944,'Pricing &amp; promotions'!$B$6:$B$8)/100,0),2),J944)</f>
        <v>0.0</v>
      </c>
      <c r="I944" s="6">
        <f>ROUND((E944*G944-H944)/IF(OR(K944=TRUE,K944="TRUE",K944="YES",K944=1),1+'Settings'!$B$6/100,1),2)</f>
        <v>57.02</v>
      </c>
      <c r="J944" s="8">
        <v>0.0</v>
      </c>
      <c r="K944" s="3" t="inlineStr">
        <is>
          <t xml:space="preserve">TRUE</t>
        </is>
      </c>
      <c r="L944" s="3"/>
      <c r="M944" s="6">
        <f>ROUND(E944*G944-H944,2)</f>
        <v>69.0</v>
      </c>
      <c r="N944" s="5">
        <f>IF(COUNTIF($A$3:A944,A944)=1,1,0)</f>
        <v>0</v>
      </c>
      <c r="O944" s="6">
        <f>IF(N944=1,ROUND((SUMIFS($M$3:$M$1200,$A$3:$A$1200,A944)+'Settings'!$B$13)*'Settings'!$B$14/100+'Settings'!$B$15,2),0)</f>
        <v>0</v>
      </c>
    </row>
    <row r="945">
      <c r="A945" s="3" t="inlineStr">
        <is>
          <t xml:space="preserve">#1694</t>
        </is>
      </c>
      <c r="B945" s="3" t="inlineStr">
        <is>
          <t xml:space="preserve">2026-08-20</t>
        </is>
      </c>
      <c r="C945" s="3" t="inlineStr">
        <is>
          <t xml:space="preserve">SKU-A</t>
        </is>
      </c>
      <c r="D945" s="3" t="inlineStr">
        <is>
          <t xml:space="preserve">Renewal Serum</t>
        </is>
      </c>
      <c r="E945" s="6">
        <f>IF('Settings'!$B$11="Scenario",IFERROR(INDEX('Catalogue'!$E$3:$E$100,MATCH(C945,'Catalogue'!$B$3:$B$100,0)),F945),F945)</f>
        <v>69.9</v>
      </c>
      <c r="F945" s="8">
        <v>69.9</v>
      </c>
      <c r="G945" s="3">
        <v>1</v>
      </c>
      <c r="H945" s="6">
        <f>IF('Settings'!$B$11="Scenario",ROUND(E945*G945*IFERROR(SUMIF('Pricing &amp; promotions'!$A$6:$A$8,L945,'Pricing &amp; promotions'!$B$6:$B$8)/100,0),2),J945)</f>
        <v>0.0</v>
      </c>
      <c r="I945" s="6">
        <f>ROUND((E945*G945-H945)/IF(OR(K945=TRUE,K945="TRUE",K945="YES",K945=1),1+'Settings'!$B$6/100,1),2)</f>
        <v>57.77</v>
      </c>
      <c r="J945" s="8">
        <v>0.0</v>
      </c>
      <c r="K945" s="3" t="inlineStr">
        <is>
          <t xml:space="preserve">TRUE</t>
        </is>
      </c>
      <c r="L945" s="3"/>
      <c r="M945" s="6">
        <f>ROUND(E945*G945-H945,2)</f>
        <v>69.9</v>
      </c>
      <c r="N945" s="5">
        <f>IF(COUNTIF($A$3:A945,A945)=1,1,0)</f>
        <v>1</v>
      </c>
      <c r="O945" s="6">
        <f>IF(N945=1,ROUND((SUMIFS($M$3:$M$1200,$A$3:$A$1200,A945)+'Settings'!$B$13)*'Settings'!$B$14/100+'Settings'!$B$15,2),0)</f>
        <v>2.53</v>
      </c>
    </row>
    <row r="946">
      <c r="A946" s="3" t="inlineStr">
        <is>
          <t xml:space="preserve">#1694</t>
        </is>
      </c>
      <c r="B946" s="3" t="inlineStr">
        <is>
          <t xml:space="preserve">2026-08-20</t>
        </is>
      </c>
      <c r="C946" s="3" t="inlineStr">
        <is>
          <t xml:space="preserve">SKU-D</t>
        </is>
      </c>
      <c r="D946" s="3" t="inlineStr">
        <is>
          <t xml:space="preserve">Daily Duo</t>
        </is>
      </c>
      <c r="E946" s="6">
        <f>IF('Settings'!$B$11="Scenario",IFERROR(INDEX('Catalogue'!$E$3:$E$100,MATCH(C946,'Catalogue'!$B$3:$B$100,0)),F946),F946)</f>
        <v>79</v>
      </c>
      <c r="F946" s="8">
        <v>79</v>
      </c>
      <c r="G946" s="3">
        <v>1</v>
      </c>
      <c r="H946" s="6">
        <f>IF('Settings'!$B$11="Scenario",ROUND(E946*G946*IFERROR(SUMIF('Pricing &amp; promotions'!$A$6:$A$8,L946,'Pricing &amp; promotions'!$B$6:$B$8)/100,0),2),J946)</f>
        <v>0.0</v>
      </c>
      <c r="I946" s="6">
        <f>ROUND((E946*G946-H946)/IF(OR(K946=TRUE,K946="TRUE",K946="YES",K946=1),1+'Settings'!$B$6/100,1),2)</f>
        <v>65.29</v>
      </c>
      <c r="J946" s="8">
        <v>0.0</v>
      </c>
      <c r="K946" s="3" t="inlineStr">
        <is>
          <t xml:space="preserve">TRUE</t>
        </is>
      </c>
      <c r="L946" s="3"/>
      <c r="M946" s="6">
        <f>ROUND(E946*G946-H946,2)</f>
        <v>79.0</v>
      </c>
      <c r="N946" s="5">
        <f>IF(COUNTIF($A$3:A946,A946)=1,1,0)</f>
        <v>0</v>
      </c>
      <c r="O946" s="6">
        <f>IF(N946=1,ROUND((SUMIFS($M$3:$M$1200,$A$3:$A$1200,A946)+'Settings'!$B$13)*'Settings'!$B$14/100+'Settings'!$B$15,2),0)</f>
        <v>0</v>
      </c>
    </row>
    <row r="947">
      <c r="A947" s="3" t="inlineStr">
        <is>
          <t xml:space="preserve">#1695</t>
        </is>
      </c>
      <c r="B947" s="3" t="inlineStr">
        <is>
          <t xml:space="preserve">2026-08-20</t>
        </is>
      </c>
      <c r="C947" s="3" t="inlineStr">
        <is>
          <t xml:space="preserve">SKU-A</t>
        </is>
      </c>
      <c r="D947" s="3" t="inlineStr">
        <is>
          <t xml:space="preserve">Renewal Serum</t>
        </is>
      </c>
      <c r="E947" s="6">
        <f>IF('Settings'!$B$11="Scenario",IFERROR(INDEX('Catalogue'!$E$3:$E$100,MATCH(C947,'Catalogue'!$B$3:$B$100,0)),F947),F947)</f>
        <v>69.9</v>
      </c>
      <c r="F947" s="8">
        <v>69.9</v>
      </c>
      <c r="G947" s="3">
        <v>1</v>
      </c>
      <c r="H947" s="6">
        <f>IF('Settings'!$B$11="Scenario",ROUND(E947*G947*IFERROR(SUMIF('Pricing &amp; promotions'!$A$6:$A$8,L947,'Pricing &amp; promotions'!$B$6:$B$8)/100,0),2),J947)</f>
        <v>6.99</v>
      </c>
      <c r="I947" s="6">
        <f>ROUND((E947*G947-H947)/IF(OR(K947=TRUE,K947="TRUE",K947="YES",K947=1),1+'Settings'!$B$6/100,1),2)</f>
        <v>51.99</v>
      </c>
      <c r="J947" s="8">
        <v>6.99</v>
      </c>
      <c r="K947" s="3" t="inlineStr">
        <is>
          <t xml:space="preserve">TRUE</t>
        </is>
      </c>
      <c r="L947" s="3" t="inlineStr">
        <is>
          <t xml:space="preserve">WELCOME10</t>
        </is>
      </c>
      <c r="M947" s="6">
        <f>ROUND(E947*G947-H947,2)</f>
        <v>62.91</v>
      </c>
      <c r="N947" s="5">
        <f>IF(COUNTIF($A$3:A947,A947)=1,1,0)</f>
        <v>1</v>
      </c>
      <c r="O947" s="6">
        <f>IF(N947=1,ROUND((SUMIFS($M$3:$M$1200,$A$3:$A$1200,A947)+'Settings'!$B$13)*'Settings'!$B$14/100+'Settings'!$B$15,2),0)</f>
        <v>1.24</v>
      </c>
    </row>
    <row r="948">
      <c r="A948" s="3" t="inlineStr">
        <is>
          <t xml:space="preserve">#1696</t>
        </is>
      </c>
      <c r="B948" s="3" t="inlineStr">
        <is>
          <t xml:space="preserve">2026-08-21</t>
        </is>
      </c>
      <c r="C948" s="3" t="inlineStr">
        <is>
          <t xml:space="preserve">SKU-E</t>
        </is>
      </c>
      <c r="D948" s="3" t="inlineStr">
        <is>
          <t xml:space="preserve">Complete Ritual</t>
        </is>
      </c>
      <c r="E948" s="6">
        <f>IF('Settings'!$B$11="Scenario",IFERROR(INDEX('Catalogue'!$E$3:$E$100,MATCH(C948,'Catalogue'!$B$3:$B$100,0)),F948),F948)</f>
        <v>89</v>
      </c>
      <c r="F948" s="8">
        <v>89</v>
      </c>
      <c r="G948" s="3">
        <v>1</v>
      </c>
      <c r="H948" s="6">
        <f>IF('Settings'!$B$11="Scenario",ROUND(E948*G948*IFERROR(SUMIF('Pricing &amp; promotions'!$A$6:$A$8,L948,'Pricing &amp; promotions'!$B$6:$B$8)/100,0),2),J948)</f>
        <v>0.0</v>
      </c>
      <c r="I948" s="6">
        <f>ROUND((E948*G948-H948)/IF(OR(K948=TRUE,K948="TRUE",K948="YES",K948=1),1+'Settings'!$B$6/100,1),2)</f>
        <v>73.55</v>
      </c>
      <c r="J948" s="8">
        <v>0.0</v>
      </c>
      <c r="K948" s="3" t="inlineStr">
        <is>
          <t xml:space="preserve">TRUE</t>
        </is>
      </c>
      <c r="L948" s="3"/>
      <c r="M948" s="6">
        <f>ROUND(E948*G948-H948,2)</f>
        <v>89.0</v>
      </c>
      <c r="N948" s="5">
        <f>IF(COUNTIF($A$3:A948,A948)=1,1,0)</f>
        <v>1</v>
      </c>
      <c r="O948" s="6">
        <f>IF(N948=1,ROUND((SUMIFS($M$3:$M$1200,$A$3:$A$1200,A948)+'Settings'!$B$13)*'Settings'!$B$14/100+'Settings'!$B$15,2),0)</f>
        <v>1.63</v>
      </c>
    </row>
    <row r="949">
      <c r="A949" s="3" t="inlineStr">
        <is>
          <t xml:space="preserve">#1697</t>
        </is>
      </c>
      <c r="B949" s="3" t="inlineStr">
        <is>
          <t xml:space="preserve">2026-08-21</t>
        </is>
      </c>
      <c r="C949" s="3" t="inlineStr">
        <is>
          <t xml:space="preserve">SKU-B</t>
        </is>
      </c>
      <c r="D949" s="3" t="inlineStr">
        <is>
          <t xml:space="preserve">Barrier Balm</t>
        </is>
      </c>
      <c r="E949" s="6">
        <f>IF('Settings'!$B$11="Scenario",IFERROR(INDEX('Catalogue'!$E$3:$E$100,MATCH(C949,'Catalogue'!$B$3:$B$100,0)),F949),F949)</f>
        <v>19</v>
      </c>
      <c r="F949" s="8">
        <v>19</v>
      </c>
      <c r="G949" s="3">
        <v>2</v>
      </c>
      <c r="H949" s="6">
        <f>IF('Settings'!$B$11="Scenario",ROUND(E949*G949*IFERROR(SUMIF('Pricing &amp; promotions'!$A$6:$A$8,L949,'Pricing &amp; promotions'!$B$6:$B$8)/100,0),2),J949)</f>
        <v>0.0</v>
      </c>
      <c r="I949" s="6">
        <f>ROUND((E949*G949-H949)/IF(OR(K949=TRUE,K949="TRUE",K949="YES",K949=1),1+'Settings'!$B$6/100,1),2)</f>
        <v>31.4</v>
      </c>
      <c r="J949" s="8">
        <v>0.0</v>
      </c>
      <c r="K949" s="3" t="inlineStr">
        <is>
          <t xml:space="preserve">TRUE</t>
        </is>
      </c>
      <c r="L949" s="3"/>
      <c r="M949" s="6">
        <f>ROUND(E949*G949-H949,2)</f>
        <v>38.0</v>
      </c>
      <c r="N949" s="5">
        <f>IF(COUNTIF($A$3:A949,A949)=1,1,0)</f>
        <v>1</v>
      </c>
      <c r="O949" s="6">
        <f>IF(N949=1,ROUND((SUMIFS($M$3:$M$1200,$A$3:$A$1200,A949)+'Settings'!$B$13)*'Settings'!$B$14/100+'Settings'!$B$15,2),0)</f>
        <v>0.86</v>
      </c>
    </row>
    <row r="950">
      <c r="A950" s="3" t="inlineStr">
        <is>
          <t xml:space="preserve">#1698</t>
        </is>
      </c>
      <c r="B950" s="3" t="inlineStr">
        <is>
          <t xml:space="preserve">2026-08-22</t>
        </is>
      </c>
      <c r="C950" s="3" t="inlineStr">
        <is>
          <t xml:space="preserve">SKU-E</t>
        </is>
      </c>
      <c r="D950" s="3" t="inlineStr">
        <is>
          <t xml:space="preserve">Complete Ritual</t>
        </is>
      </c>
      <c r="E950" s="6">
        <f>IF('Settings'!$B$11="Scenario",IFERROR(INDEX('Catalogue'!$E$3:$E$100,MATCH(C950,'Catalogue'!$B$3:$B$100,0)),F950),F950)</f>
        <v>89</v>
      </c>
      <c r="F950" s="8">
        <v>89</v>
      </c>
      <c r="G950" s="3">
        <v>1</v>
      </c>
      <c r="H950" s="6">
        <f>IF('Settings'!$B$11="Scenario",ROUND(E950*G950*IFERROR(SUMIF('Pricing &amp; promotions'!$A$6:$A$8,L950,'Pricing &amp; promotions'!$B$6:$B$8)/100,0),2),J950)</f>
        <v>13.35</v>
      </c>
      <c r="I950" s="6">
        <f>ROUND((E950*G950-H950)/IF(OR(K950=TRUE,K950="TRUE",K950="YES",K950=1),1+'Settings'!$B$6/100,1),2)</f>
        <v>62.52</v>
      </c>
      <c r="J950" s="8">
        <v>13.35</v>
      </c>
      <c r="K950" s="3" t="inlineStr">
        <is>
          <t xml:space="preserve">TRUE</t>
        </is>
      </c>
      <c r="L950" s="3" t="inlineStr">
        <is>
          <t xml:space="preserve">SUMMER15</t>
        </is>
      </c>
      <c r="M950" s="6">
        <f>ROUND(E950*G950-H950,2)</f>
        <v>75.65</v>
      </c>
      <c r="N950" s="5">
        <f>IF(COUNTIF($A$3:A950,A950)=1,1,0)</f>
        <v>1</v>
      </c>
      <c r="O950" s="6">
        <f>IF(N950=1,ROUND((SUMIFS($M$3:$M$1200,$A$3:$A$1200,A950)+'Settings'!$B$13)*'Settings'!$B$14/100+'Settings'!$B$15,2),0)</f>
        <v>2.32</v>
      </c>
    </row>
    <row r="951">
      <c r="A951" s="3" t="inlineStr">
        <is>
          <t xml:space="preserve">#1698</t>
        </is>
      </c>
      <c r="B951" s="3" t="inlineStr">
        <is>
          <t xml:space="preserve">2026-08-22</t>
        </is>
      </c>
      <c r="C951" s="3" t="inlineStr">
        <is>
          <t xml:space="preserve">SKU-A</t>
        </is>
      </c>
      <c r="D951" s="3" t="inlineStr">
        <is>
          <t xml:space="preserve">Renewal Serum</t>
        </is>
      </c>
      <c r="E951" s="6">
        <f>IF('Settings'!$B$11="Scenario",IFERROR(INDEX('Catalogue'!$E$3:$E$100,MATCH(C951,'Catalogue'!$B$3:$B$100,0)),F951),F951)</f>
        <v>69.9</v>
      </c>
      <c r="F951" s="8">
        <v>69.9</v>
      </c>
      <c r="G951" s="3">
        <v>1</v>
      </c>
      <c r="H951" s="6">
        <f>IF('Settings'!$B$11="Scenario",ROUND(E951*G951*IFERROR(SUMIF('Pricing &amp; promotions'!$A$6:$A$8,L951,'Pricing &amp; promotions'!$B$6:$B$8)/100,0),2),J951)</f>
        <v>10.49</v>
      </c>
      <c r="I951" s="6">
        <f>ROUND((E951*G951-H951)/IF(OR(K951=TRUE,K951="TRUE",K951="YES",K951=1),1+'Settings'!$B$6/100,1),2)</f>
        <v>49.1</v>
      </c>
      <c r="J951" s="8">
        <v>10.49</v>
      </c>
      <c r="K951" s="3" t="inlineStr">
        <is>
          <t xml:space="preserve">TRUE</t>
        </is>
      </c>
      <c r="L951" s="3" t="inlineStr">
        <is>
          <t xml:space="preserve">SUMMER15</t>
        </is>
      </c>
      <c r="M951" s="6">
        <f>ROUND(E951*G951-H951,2)</f>
        <v>59.41</v>
      </c>
      <c r="N951" s="5">
        <f>IF(COUNTIF($A$3:A951,A951)=1,1,0)</f>
        <v>0</v>
      </c>
      <c r="O951" s="6">
        <f>IF(N951=1,ROUND((SUMIFS($M$3:$M$1200,$A$3:$A$1200,A951)+'Settings'!$B$13)*'Settings'!$B$14/100+'Settings'!$B$15,2),0)</f>
        <v>0</v>
      </c>
    </row>
    <row r="952">
      <c r="A952" s="3" t="inlineStr">
        <is>
          <t xml:space="preserve">#1699</t>
        </is>
      </c>
      <c r="B952" s="3" t="inlineStr">
        <is>
          <t xml:space="preserve">2026-08-22</t>
        </is>
      </c>
      <c r="C952" s="3" t="inlineStr">
        <is>
          <t xml:space="preserve">SKU-E</t>
        </is>
      </c>
      <c r="D952" s="3" t="inlineStr">
        <is>
          <t xml:space="preserve">Complete Ritual</t>
        </is>
      </c>
      <c r="E952" s="6">
        <f>IF('Settings'!$B$11="Scenario",IFERROR(INDEX('Catalogue'!$E$3:$E$100,MATCH(C952,'Catalogue'!$B$3:$B$100,0)),F952),F952)</f>
        <v>89</v>
      </c>
      <c r="F952" s="8">
        <v>89</v>
      </c>
      <c r="G952" s="3">
        <v>1</v>
      </c>
      <c r="H952" s="6">
        <f>IF('Settings'!$B$11="Scenario",ROUND(E952*G952*IFERROR(SUMIF('Pricing &amp; promotions'!$A$6:$A$8,L952,'Pricing &amp; promotions'!$B$6:$B$8)/100,0),2),J952)</f>
        <v>0.0</v>
      </c>
      <c r="I952" s="6">
        <f>ROUND((E952*G952-H952)/IF(OR(K952=TRUE,K952="TRUE",K952="YES",K952=1),1+'Settings'!$B$6/100,1),2)</f>
        <v>73.55</v>
      </c>
      <c r="J952" s="8">
        <v>0.0</v>
      </c>
      <c r="K952" s="3" t="inlineStr">
        <is>
          <t xml:space="preserve">TRUE</t>
        </is>
      </c>
      <c r="L952" s="3"/>
      <c r="M952" s="6">
        <f>ROUND(E952*G952-H952,2)</f>
        <v>89.0</v>
      </c>
      <c r="N952" s="5">
        <f>IF(COUNTIF($A$3:A952,A952)=1,1,0)</f>
        <v>1</v>
      </c>
      <c r="O952" s="6">
        <f>IF(N952=1,ROUND((SUMIFS($M$3:$M$1200,$A$3:$A$1200,A952)+'Settings'!$B$13)*'Settings'!$B$14/100+'Settings'!$B$15,2),0)</f>
        <v>1.63</v>
      </c>
    </row>
    <row r="953">
      <c r="A953" s="3" t="inlineStr">
        <is>
          <t xml:space="preserve">#1700</t>
        </is>
      </c>
      <c r="B953" s="3" t="inlineStr">
        <is>
          <t xml:space="preserve">2026-08-22</t>
        </is>
      </c>
      <c r="C953" s="3" t="inlineStr">
        <is>
          <t xml:space="preserve">SKU-G</t>
        </is>
      </c>
      <c r="D953" s="3" t="inlineStr">
        <is>
          <t xml:space="preserve">Daily Reset Set</t>
        </is>
      </c>
      <c r="E953" s="6">
        <f>IF('Settings'!$B$11="Scenario",IFERROR(INDEX('Catalogue'!$E$3:$E$100,MATCH(C953,'Catalogue'!$B$3:$B$100,0)),F953),F953)</f>
        <v>69</v>
      </c>
      <c r="F953" s="8">
        <v>69</v>
      </c>
      <c r="G953" s="3">
        <v>1</v>
      </c>
      <c r="H953" s="6">
        <f>IF('Settings'!$B$11="Scenario",ROUND(E953*G953*IFERROR(SUMIF('Pricing &amp; promotions'!$A$6:$A$8,L953,'Pricing &amp; promotions'!$B$6:$B$8)/100,0),2),J953)</f>
        <v>0.0</v>
      </c>
      <c r="I953" s="6">
        <f>ROUND((E953*G953-H953)/IF(OR(K953=TRUE,K953="TRUE",K953="YES",K953=1),1+'Settings'!$B$6/100,1),2)</f>
        <v>57.02</v>
      </c>
      <c r="J953" s="8">
        <v>0.0</v>
      </c>
      <c r="K953" s="3" t="inlineStr">
        <is>
          <t xml:space="preserve">TRUE</t>
        </is>
      </c>
      <c r="L953" s="3"/>
      <c r="M953" s="6">
        <f>ROUND(E953*G953-H953,2)</f>
        <v>69.0</v>
      </c>
      <c r="N953" s="5">
        <f>IF(COUNTIF($A$3:A953,A953)=1,1,0)</f>
        <v>1</v>
      </c>
      <c r="O953" s="6">
        <f>IF(N953=1,ROUND((SUMIFS($M$3:$M$1200,$A$3:$A$1200,A953)+'Settings'!$B$13)*'Settings'!$B$14/100+'Settings'!$B$15,2),0)</f>
        <v>1.33</v>
      </c>
    </row>
    <row r="954">
      <c r="A954" s="3" t="inlineStr">
        <is>
          <t xml:space="preserve">#1701</t>
        </is>
      </c>
      <c r="B954" s="3" t="inlineStr">
        <is>
          <t xml:space="preserve">2026-08-22</t>
        </is>
      </c>
      <c r="C954" s="3" t="inlineStr">
        <is>
          <t xml:space="preserve">SKU-D</t>
        </is>
      </c>
      <c r="D954" s="3" t="inlineStr">
        <is>
          <t xml:space="preserve">Daily Duo</t>
        </is>
      </c>
      <c r="E954" s="6">
        <f>IF('Settings'!$B$11="Scenario",IFERROR(INDEX('Catalogue'!$E$3:$E$100,MATCH(C954,'Catalogue'!$B$3:$B$100,0)),F954),F954)</f>
        <v>79</v>
      </c>
      <c r="F954" s="8">
        <v>79</v>
      </c>
      <c r="G954" s="3">
        <v>1</v>
      </c>
      <c r="H954" s="6">
        <f>IF('Settings'!$B$11="Scenario",ROUND(E954*G954*IFERROR(SUMIF('Pricing &amp; promotions'!$A$6:$A$8,L954,'Pricing &amp; promotions'!$B$6:$B$8)/100,0),2),J954)</f>
        <v>0.0</v>
      </c>
      <c r="I954" s="6">
        <f>ROUND((E954*G954-H954)/IF(OR(K954=TRUE,K954="TRUE",K954="YES",K954=1),1+'Settings'!$B$6/100,1),2)</f>
        <v>65.29</v>
      </c>
      <c r="J954" s="8">
        <v>0.0</v>
      </c>
      <c r="K954" s="3" t="inlineStr">
        <is>
          <t xml:space="preserve">TRUE</t>
        </is>
      </c>
      <c r="L954" s="3"/>
      <c r="M954" s="6">
        <f>ROUND(E954*G954-H954,2)</f>
        <v>79.0</v>
      </c>
      <c r="N954" s="5">
        <f>IF(COUNTIF($A$3:A954,A954)=1,1,0)</f>
        <v>1</v>
      </c>
      <c r="O954" s="6">
        <f>IF(N954=1,ROUND((SUMIFS($M$3:$M$1200,$A$3:$A$1200,A954)+'Settings'!$B$13)*'Settings'!$B$14/100+'Settings'!$B$15,2),0)</f>
        <v>1.48</v>
      </c>
    </row>
    <row r="955">
      <c r="A955" s="3" t="inlineStr">
        <is>
          <t xml:space="preserve">#1702</t>
        </is>
      </c>
      <c r="B955" s="3" t="inlineStr">
        <is>
          <t xml:space="preserve">2026-08-23</t>
        </is>
      </c>
      <c r="C955" s="3" t="inlineStr">
        <is>
          <t xml:space="preserve">SKU-B</t>
        </is>
      </c>
      <c r="D955" s="3" t="inlineStr">
        <is>
          <t xml:space="preserve">Barrier Balm</t>
        </is>
      </c>
      <c r="E955" s="6">
        <f>IF('Settings'!$B$11="Scenario",IFERROR(INDEX('Catalogue'!$E$3:$E$100,MATCH(C955,'Catalogue'!$B$3:$B$100,0)),F955),F955)</f>
        <v>19</v>
      </c>
      <c r="F955" s="8">
        <v>19</v>
      </c>
      <c r="G955" s="3">
        <v>1</v>
      </c>
      <c r="H955" s="6">
        <f>IF('Settings'!$B$11="Scenario",ROUND(E955*G955*IFERROR(SUMIF('Pricing &amp; promotions'!$A$6:$A$8,L955,'Pricing &amp; promotions'!$B$6:$B$8)/100,0),2),J955)</f>
        <v>0.0</v>
      </c>
      <c r="I955" s="6">
        <f>ROUND((E955*G955-H955)/IF(OR(K955=TRUE,K955="TRUE",K955="YES",K955=1),1+'Settings'!$B$6/100,1),2)</f>
        <v>15.7</v>
      </c>
      <c r="J955" s="8">
        <v>0.0</v>
      </c>
      <c r="K955" s="3" t="inlineStr">
        <is>
          <t xml:space="preserve">TRUE</t>
        </is>
      </c>
      <c r="L955" s="3"/>
      <c r="M955" s="6">
        <f>ROUND(E955*G955-H955,2)</f>
        <v>19.0</v>
      </c>
      <c r="N955" s="5">
        <f>IF(COUNTIF($A$3:A955,A955)=1,1,0)</f>
        <v>1</v>
      </c>
      <c r="O955" s="6">
        <f>IF(N955=1,ROUND((SUMIFS($M$3:$M$1200,$A$3:$A$1200,A955)+'Settings'!$B$13)*'Settings'!$B$14/100+'Settings'!$B$15,2),0)</f>
        <v>1.61</v>
      </c>
    </row>
    <row r="956">
      <c r="A956" s="3" t="inlineStr">
        <is>
          <t xml:space="preserve">#1702</t>
        </is>
      </c>
      <c r="B956" s="3" t="inlineStr">
        <is>
          <t xml:space="preserve">2026-08-23</t>
        </is>
      </c>
      <c r="C956" s="3" t="inlineStr">
        <is>
          <t xml:space="preserve">SKU-G</t>
        </is>
      </c>
      <c r="D956" s="3" t="inlineStr">
        <is>
          <t xml:space="preserve">Daily Reset Set</t>
        </is>
      </c>
      <c r="E956" s="6">
        <f>IF('Settings'!$B$11="Scenario",IFERROR(INDEX('Catalogue'!$E$3:$E$100,MATCH(C956,'Catalogue'!$B$3:$B$100,0)),F956),F956)</f>
        <v>69</v>
      </c>
      <c r="F956" s="8">
        <v>69</v>
      </c>
      <c r="G956" s="3">
        <v>1</v>
      </c>
      <c r="H956" s="6">
        <f>IF('Settings'!$B$11="Scenario",ROUND(E956*G956*IFERROR(SUMIF('Pricing &amp; promotions'!$A$6:$A$8,L956,'Pricing &amp; promotions'!$B$6:$B$8)/100,0),2),J956)</f>
        <v>0.0</v>
      </c>
      <c r="I956" s="6">
        <f>ROUND((E956*G956-H956)/IF(OR(K956=TRUE,K956="TRUE",K956="YES",K956=1),1+'Settings'!$B$6/100,1),2)</f>
        <v>57.02</v>
      </c>
      <c r="J956" s="8">
        <v>0.0</v>
      </c>
      <c r="K956" s="3" t="inlineStr">
        <is>
          <t xml:space="preserve">TRUE</t>
        </is>
      </c>
      <c r="L956" s="3"/>
      <c r="M956" s="6">
        <f>ROUND(E956*G956-H956,2)</f>
        <v>69.0</v>
      </c>
      <c r="N956" s="5">
        <f>IF(COUNTIF($A$3:A956,A956)=1,1,0)</f>
        <v>0</v>
      </c>
      <c r="O956" s="6">
        <f>IF(N956=1,ROUND((SUMIFS($M$3:$M$1200,$A$3:$A$1200,A956)+'Settings'!$B$13)*'Settings'!$B$14/100+'Settings'!$B$15,2),0)</f>
        <v>0</v>
      </c>
    </row>
    <row r="957">
      <c r="A957" s="3" t="inlineStr">
        <is>
          <t xml:space="preserve">#1703</t>
        </is>
      </c>
      <c r="B957" s="3" t="inlineStr">
        <is>
          <t xml:space="preserve">2026-08-23</t>
        </is>
      </c>
      <c r="C957" s="3" t="inlineStr">
        <is>
          <t xml:space="preserve">SKU-D</t>
        </is>
      </c>
      <c r="D957" s="3" t="inlineStr">
        <is>
          <t xml:space="preserve">Daily Duo</t>
        </is>
      </c>
      <c r="E957" s="6">
        <f>IF('Settings'!$B$11="Scenario",IFERROR(INDEX('Catalogue'!$E$3:$E$100,MATCH(C957,'Catalogue'!$B$3:$B$100,0)),F957),F957)</f>
        <v>79</v>
      </c>
      <c r="F957" s="8">
        <v>79</v>
      </c>
      <c r="G957" s="3">
        <v>1</v>
      </c>
      <c r="H957" s="6">
        <f>IF('Settings'!$B$11="Scenario",ROUND(E957*G957*IFERROR(SUMIF('Pricing &amp; promotions'!$A$6:$A$8,L957,'Pricing &amp; promotions'!$B$6:$B$8)/100,0),2),J957)</f>
        <v>0.0</v>
      </c>
      <c r="I957" s="6">
        <f>ROUND((E957*G957-H957)/IF(OR(K957=TRUE,K957="TRUE",K957="YES",K957=1),1+'Settings'!$B$6/100,1),2)</f>
        <v>65.29</v>
      </c>
      <c r="J957" s="8">
        <v>0.0</v>
      </c>
      <c r="K957" s="3" t="inlineStr">
        <is>
          <t xml:space="preserve">TRUE</t>
        </is>
      </c>
      <c r="L957" s="3"/>
      <c r="M957" s="6">
        <f>ROUND(E957*G957-H957,2)</f>
        <v>79.0</v>
      </c>
      <c r="N957" s="5">
        <f>IF(COUNTIF($A$3:A957,A957)=1,1,0)</f>
        <v>1</v>
      </c>
      <c r="O957" s="6">
        <f>IF(N957=1,ROUND((SUMIFS($M$3:$M$1200,$A$3:$A$1200,A957)+'Settings'!$B$13)*'Settings'!$B$14/100+'Settings'!$B$15,2),0)</f>
        <v>1.48</v>
      </c>
    </row>
    <row r="958">
      <c r="A958" s="3" t="inlineStr">
        <is>
          <t xml:space="preserve">#1704</t>
        </is>
      </c>
      <c r="B958" s="3" t="inlineStr">
        <is>
          <t xml:space="preserve">2026-08-24</t>
        </is>
      </c>
      <c r="C958" s="3" t="inlineStr">
        <is>
          <t xml:space="preserve">SKU-A</t>
        </is>
      </c>
      <c r="D958" s="3" t="inlineStr">
        <is>
          <t xml:space="preserve">Renewal Serum</t>
        </is>
      </c>
      <c r="E958" s="6">
        <f>IF('Settings'!$B$11="Scenario",IFERROR(INDEX('Catalogue'!$E$3:$E$100,MATCH(C958,'Catalogue'!$B$3:$B$100,0)),F958),F958)</f>
        <v>69.9</v>
      </c>
      <c r="F958" s="8">
        <v>69.9</v>
      </c>
      <c r="G958" s="3">
        <v>2</v>
      </c>
      <c r="H958" s="6">
        <f>IF('Settings'!$B$11="Scenario",ROUND(E958*G958*IFERROR(SUMIF('Pricing &amp; promotions'!$A$6:$A$8,L958,'Pricing &amp; promotions'!$B$6:$B$8)/100,0),2),J958)</f>
        <v>13.98</v>
      </c>
      <c r="I958" s="6">
        <f>ROUND((E958*G958-H958)/IF(OR(K958=TRUE,K958="TRUE",K958="YES",K958=1),1+'Settings'!$B$6/100,1),2)</f>
        <v>103.98</v>
      </c>
      <c r="J958" s="8">
        <v>13.98</v>
      </c>
      <c r="K958" s="3" t="inlineStr">
        <is>
          <t xml:space="preserve">TRUE</t>
        </is>
      </c>
      <c r="L958" s="3" t="inlineStr">
        <is>
          <t xml:space="preserve">WELCOME10</t>
        </is>
      </c>
      <c r="M958" s="6">
        <f>ROUND(E958*G958-H958,2)</f>
        <v>125.82</v>
      </c>
      <c r="N958" s="5">
        <f>IF(COUNTIF($A$3:A958,A958)=1,1,0)</f>
        <v>1</v>
      </c>
      <c r="O958" s="6">
        <f>IF(N958=1,ROUND((SUMIFS($M$3:$M$1200,$A$3:$A$1200,A958)+'Settings'!$B$13)*'Settings'!$B$14/100+'Settings'!$B$15,2),0)</f>
        <v>2.18</v>
      </c>
    </row>
    <row r="959">
      <c r="A959" s="3" t="inlineStr">
        <is>
          <t xml:space="preserve">#1705</t>
        </is>
      </c>
      <c r="B959" s="3" t="inlineStr">
        <is>
          <t xml:space="preserve">2026-08-25</t>
        </is>
      </c>
      <c r="C959" s="3" t="inlineStr">
        <is>
          <t xml:space="preserve">SKU-C</t>
        </is>
      </c>
      <c r="D959" s="3" t="inlineStr">
        <is>
          <t xml:space="preserve">Contour Stone</t>
        </is>
      </c>
      <c r="E959" s="6">
        <f>IF('Settings'!$B$11="Scenario",IFERROR(INDEX('Catalogue'!$E$3:$E$100,MATCH(C959,'Catalogue'!$B$3:$B$100,0)),F959),F959)</f>
        <v>29</v>
      </c>
      <c r="F959" s="8">
        <v>29</v>
      </c>
      <c r="G959" s="3">
        <v>1</v>
      </c>
      <c r="H959" s="6">
        <f>IF('Settings'!$B$11="Scenario",ROUND(E959*G959*IFERROR(SUMIF('Pricing &amp; promotions'!$A$6:$A$8,L959,'Pricing &amp; promotions'!$B$6:$B$8)/100,0),2),J959)</f>
        <v>0.0</v>
      </c>
      <c r="I959" s="6">
        <f>ROUND((E959*G959-H959)/IF(OR(K959=TRUE,K959="TRUE",K959="YES",K959=1),1+'Settings'!$B$6/100,1),2)</f>
        <v>23.97</v>
      </c>
      <c r="J959" s="8">
        <v>0.0</v>
      </c>
      <c r="K959" s="3" t="inlineStr">
        <is>
          <t xml:space="preserve">TRUE</t>
        </is>
      </c>
      <c r="L959" s="3"/>
      <c r="M959" s="6">
        <f>ROUND(E959*G959-H959,2)</f>
        <v>29.0</v>
      </c>
      <c r="N959" s="5">
        <f>IF(COUNTIF($A$3:A959,A959)=1,1,0)</f>
        <v>1</v>
      </c>
      <c r="O959" s="6">
        <f>IF(N959=1,ROUND((SUMIFS($M$3:$M$1200,$A$3:$A$1200,A959)+'Settings'!$B$13)*'Settings'!$B$14/100+'Settings'!$B$15,2),0)</f>
        <v>0.73</v>
      </c>
    </row>
    <row r="960">
      <c r="A960" s="3" t="inlineStr">
        <is>
          <t xml:space="preserve">#1706</t>
        </is>
      </c>
      <c r="B960" s="3" t="inlineStr">
        <is>
          <t xml:space="preserve">2026-08-25</t>
        </is>
      </c>
      <c r="C960" s="3" t="inlineStr">
        <is>
          <t xml:space="preserve">SKU-A</t>
        </is>
      </c>
      <c r="D960" s="3" t="inlineStr">
        <is>
          <t xml:space="preserve">Renewal Serum</t>
        </is>
      </c>
      <c r="E960" s="6">
        <f>IF('Settings'!$B$11="Scenario",IFERROR(INDEX('Catalogue'!$E$3:$E$100,MATCH(C960,'Catalogue'!$B$3:$B$100,0)),F960),F960)</f>
        <v>69.9</v>
      </c>
      <c r="F960" s="8">
        <v>69.9</v>
      </c>
      <c r="G960" s="3">
        <v>1</v>
      </c>
      <c r="H960" s="6">
        <f>IF('Settings'!$B$11="Scenario",ROUND(E960*G960*IFERROR(SUMIF('Pricing &amp; promotions'!$A$6:$A$8,L960,'Pricing &amp; promotions'!$B$6:$B$8)/100,0),2),J960)</f>
        <v>0.0</v>
      </c>
      <c r="I960" s="6">
        <f>ROUND((E960*G960-H960)/IF(OR(K960=TRUE,K960="TRUE",K960="YES",K960=1),1+'Settings'!$B$6/100,1),2)</f>
        <v>57.77</v>
      </c>
      <c r="J960" s="8">
        <v>0.0</v>
      </c>
      <c r="K960" s="3" t="inlineStr">
        <is>
          <t xml:space="preserve">TRUE</t>
        </is>
      </c>
      <c r="L960" s="3"/>
      <c r="M960" s="6">
        <f>ROUND(E960*G960-H960,2)</f>
        <v>69.9</v>
      </c>
      <c r="N960" s="5">
        <f>IF(COUNTIF($A$3:A960,A960)=1,1,0)</f>
        <v>1</v>
      </c>
      <c r="O960" s="6">
        <f>IF(N960=1,ROUND((SUMIFS($M$3:$M$1200,$A$3:$A$1200,A960)+'Settings'!$B$13)*'Settings'!$B$14/100+'Settings'!$B$15,2),0)</f>
        <v>1.34</v>
      </c>
    </row>
    <row r="961">
      <c r="A961" s="3" t="inlineStr">
        <is>
          <t xml:space="preserve">#1707</t>
        </is>
      </c>
      <c r="B961" s="3" t="inlineStr">
        <is>
          <t xml:space="preserve">2026-08-26</t>
        </is>
      </c>
      <c r="C961" s="3" t="inlineStr">
        <is>
          <t xml:space="preserve">SKU-B</t>
        </is>
      </c>
      <c r="D961" s="3" t="inlineStr">
        <is>
          <t xml:space="preserve">Barrier Balm</t>
        </is>
      </c>
      <c r="E961" s="6">
        <f>IF('Settings'!$B$11="Scenario",IFERROR(INDEX('Catalogue'!$E$3:$E$100,MATCH(C961,'Catalogue'!$B$3:$B$100,0)),F961),F961)</f>
        <v>19</v>
      </c>
      <c r="F961" s="8">
        <v>19</v>
      </c>
      <c r="G961" s="3">
        <v>1</v>
      </c>
      <c r="H961" s="6">
        <f>IF('Settings'!$B$11="Scenario",ROUND(E961*G961*IFERROR(SUMIF('Pricing &amp; promotions'!$A$6:$A$8,L961,'Pricing &amp; promotions'!$B$6:$B$8)/100,0),2),J961)</f>
        <v>0.0</v>
      </c>
      <c r="I961" s="6">
        <f>ROUND((E961*G961-H961)/IF(OR(K961=TRUE,K961="TRUE",K961="YES",K961=1),1+'Settings'!$B$6/100,1),2)</f>
        <v>15.7</v>
      </c>
      <c r="J961" s="8">
        <v>0.0</v>
      </c>
      <c r="K961" s="3" t="inlineStr">
        <is>
          <t xml:space="preserve">TRUE</t>
        </is>
      </c>
      <c r="L961" s="3"/>
      <c r="M961" s="6">
        <f>ROUND(E961*G961-H961,2)</f>
        <v>19.0</v>
      </c>
      <c r="N961" s="5">
        <f>IF(COUNTIF($A$3:A961,A961)=1,1,0)</f>
        <v>1</v>
      </c>
      <c r="O961" s="6">
        <f>IF(N961=1,ROUND((SUMIFS($M$3:$M$1200,$A$3:$A$1200,A961)+'Settings'!$B$13)*'Settings'!$B$14/100+'Settings'!$B$15,2),0)</f>
        <v>0.58</v>
      </c>
    </row>
    <row r="962">
      <c r="A962" s="3" t="inlineStr">
        <is>
          <t xml:space="preserve">#1708</t>
        </is>
      </c>
      <c r="B962" s="3" t="inlineStr">
        <is>
          <t xml:space="preserve">2026-08-27</t>
        </is>
      </c>
      <c r="C962" s="3" t="inlineStr">
        <is>
          <t xml:space="preserve">SKU-A</t>
        </is>
      </c>
      <c r="D962" s="3" t="inlineStr">
        <is>
          <t xml:space="preserve">Renewal Serum</t>
        </is>
      </c>
      <c r="E962" s="6">
        <f>IF('Settings'!$B$11="Scenario",IFERROR(INDEX('Catalogue'!$E$3:$E$100,MATCH(C962,'Catalogue'!$B$3:$B$100,0)),F962),F962)</f>
        <v>69.9</v>
      </c>
      <c r="F962" s="8">
        <v>69.9</v>
      </c>
      <c r="G962" s="3">
        <v>1</v>
      </c>
      <c r="H962" s="6">
        <f>IF('Settings'!$B$11="Scenario",ROUND(E962*G962*IFERROR(SUMIF('Pricing &amp; promotions'!$A$6:$A$8,L962,'Pricing &amp; promotions'!$B$6:$B$8)/100,0),2),J962)</f>
        <v>6.99</v>
      </c>
      <c r="I962" s="6">
        <f>ROUND((E962*G962-H962)/IF(OR(K962=TRUE,K962="TRUE",K962="YES",K962=1),1+'Settings'!$B$6/100,1),2)</f>
        <v>51.99</v>
      </c>
      <c r="J962" s="8">
        <v>6.99</v>
      </c>
      <c r="K962" s="3" t="inlineStr">
        <is>
          <t xml:space="preserve">TRUE</t>
        </is>
      </c>
      <c r="L962" s="3" t="inlineStr">
        <is>
          <t xml:space="preserve">WELCOME10</t>
        </is>
      </c>
      <c r="M962" s="6">
        <f>ROUND(E962*G962-H962,2)</f>
        <v>62.91</v>
      </c>
      <c r="N962" s="5">
        <f>IF(COUNTIF($A$3:A962,A962)=1,1,0)</f>
        <v>1</v>
      </c>
      <c r="O962" s="6">
        <f>IF(N962=1,ROUND((SUMIFS($M$3:$M$1200,$A$3:$A$1200,A962)+'Settings'!$B$13)*'Settings'!$B$14/100+'Settings'!$B$15,2),0)</f>
        <v>1.24</v>
      </c>
    </row>
    <row r="963">
      <c r="A963" s="3" t="inlineStr">
        <is>
          <t xml:space="preserve">#1709</t>
        </is>
      </c>
      <c r="B963" s="3" t="inlineStr">
        <is>
          <t xml:space="preserve">2026-08-27</t>
        </is>
      </c>
      <c r="C963" s="3" t="inlineStr">
        <is>
          <t xml:space="preserve">SKU-E</t>
        </is>
      </c>
      <c r="D963" s="3" t="inlineStr">
        <is>
          <t xml:space="preserve">Complete Ritual</t>
        </is>
      </c>
      <c r="E963" s="6">
        <f>IF('Settings'!$B$11="Scenario",IFERROR(INDEX('Catalogue'!$E$3:$E$100,MATCH(C963,'Catalogue'!$B$3:$B$100,0)),F963),F963)</f>
        <v>89</v>
      </c>
      <c r="F963" s="8">
        <v>89</v>
      </c>
      <c r="G963" s="3">
        <v>1</v>
      </c>
      <c r="H963" s="6">
        <f>IF('Settings'!$B$11="Scenario",ROUND(E963*G963*IFERROR(SUMIF('Pricing &amp; promotions'!$A$6:$A$8,L963,'Pricing &amp; promotions'!$B$6:$B$8)/100,0),2),J963)</f>
        <v>8.9</v>
      </c>
      <c r="I963" s="6">
        <f>ROUND((E963*G963-H963)/IF(OR(K963=TRUE,K963="TRUE",K963="YES",K963=1),1+'Settings'!$B$6/100,1),2)</f>
        <v>66.2</v>
      </c>
      <c r="J963" s="8">
        <v>8.9</v>
      </c>
      <c r="K963" s="3" t="inlineStr">
        <is>
          <t xml:space="preserve">TRUE</t>
        </is>
      </c>
      <c r="L963" s="3" t="inlineStr">
        <is>
          <t xml:space="preserve">WELCOME10</t>
        </is>
      </c>
      <c r="M963" s="6">
        <f>ROUND(E963*G963-H963,2)</f>
        <v>80.1</v>
      </c>
      <c r="N963" s="5">
        <f>IF(COUNTIF($A$3:A963,A963)=1,1,0)</f>
        <v>1</v>
      </c>
      <c r="O963" s="6">
        <f>IF(N963=1,ROUND((SUMIFS($M$3:$M$1200,$A$3:$A$1200,A963)+'Settings'!$B$13)*'Settings'!$B$14/100+'Settings'!$B$15,2),0)</f>
        <v>1.5</v>
      </c>
    </row>
    <row r="964">
      <c r="A964" s="3" t="inlineStr">
        <is>
          <t xml:space="preserve">#1710</t>
        </is>
      </c>
      <c r="B964" s="3" t="inlineStr">
        <is>
          <t xml:space="preserve">2026-08-27</t>
        </is>
      </c>
      <c r="C964" s="3" t="inlineStr">
        <is>
          <t xml:space="preserve">SKU-E</t>
        </is>
      </c>
      <c r="D964" s="3" t="inlineStr">
        <is>
          <t xml:space="preserve">Complete Ritual</t>
        </is>
      </c>
      <c r="E964" s="6">
        <f>IF('Settings'!$B$11="Scenario",IFERROR(INDEX('Catalogue'!$E$3:$E$100,MATCH(C964,'Catalogue'!$B$3:$B$100,0)),F964),F964)</f>
        <v>89</v>
      </c>
      <c r="F964" s="8">
        <v>89</v>
      </c>
      <c r="G964" s="3">
        <v>1</v>
      </c>
      <c r="H964" s="6">
        <f>IF('Settings'!$B$11="Scenario",ROUND(E964*G964*IFERROR(SUMIF('Pricing &amp; promotions'!$A$6:$A$8,L964,'Pricing &amp; promotions'!$B$6:$B$8)/100,0),2),J964)</f>
        <v>0.0</v>
      </c>
      <c r="I964" s="6">
        <f>ROUND((E964*G964-H964)/IF(OR(K964=TRUE,K964="TRUE",K964="YES",K964=1),1+'Settings'!$B$6/100,1),2)</f>
        <v>73.55</v>
      </c>
      <c r="J964" s="8">
        <v>0.0</v>
      </c>
      <c r="K964" s="3" t="inlineStr">
        <is>
          <t xml:space="preserve">TRUE</t>
        </is>
      </c>
      <c r="L964" s="3"/>
      <c r="M964" s="6">
        <f>ROUND(E964*G964-H964,2)</f>
        <v>89.0</v>
      </c>
      <c r="N964" s="5">
        <f>IF(COUNTIF($A$3:A964,A964)=1,1,0)</f>
        <v>1</v>
      </c>
      <c r="O964" s="6">
        <f>IF(N964=1,ROUND((SUMIFS($M$3:$M$1200,$A$3:$A$1200,A964)+'Settings'!$B$13)*'Settings'!$B$14/100+'Settings'!$B$15,2),0)</f>
        <v>1.63</v>
      </c>
    </row>
    <row r="965">
      <c r="A965" s="3" t="inlineStr">
        <is>
          <t xml:space="preserve">#1711</t>
        </is>
      </c>
      <c r="B965" s="3" t="inlineStr">
        <is>
          <t xml:space="preserve">2026-08-27</t>
        </is>
      </c>
      <c r="C965" s="3" t="inlineStr">
        <is>
          <t xml:space="preserve">SKU-E</t>
        </is>
      </c>
      <c r="D965" s="3" t="inlineStr">
        <is>
          <t xml:space="preserve">Complete Ritual</t>
        </is>
      </c>
      <c r="E965" s="6">
        <f>IF('Settings'!$B$11="Scenario",IFERROR(INDEX('Catalogue'!$E$3:$E$100,MATCH(C965,'Catalogue'!$B$3:$B$100,0)),F965),F965)</f>
        <v>89</v>
      </c>
      <c r="F965" s="8">
        <v>89</v>
      </c>
      <c r="G965" s="3">
        <v>1</v>
      </c>
      <c r="H965" s="6">
        <f>IF('Settings'!$B$11="Scenario",ROUND(E965*G965*IFERROR(SUMIF('Pricing &amp; promotions'!$A$6:$A$8,L965,'Pricing &amp; promotions'!$B$6:$B$8)/100,0),2),J965)</f>
        <v>8.9</v>
      </c>
      <c r="I965" s="6">
        <f>ROUND((E965*G965-H965)/IF(OR(K965=TRUE,K965="TRUE",K965="YES",K965=1),1+'Settings'!$B$6/100,1),2)</f>
        <v>66.2</v>
      </c>
      <c r="J965" s="8">
        <v>8.9</v>
      </c>
      <c r="K965" s="3" t="inlineStr">
        <is>
          <t xml:space="preserve">TRUE</t>
        </is>
      </c>
      <c r="L965" s="3" t="inlineStr">
        <is>
          <t xml:space="preserve">WELCOME10</t>
        </is>
      </c>
      <c r="M965" s="6">
        <f>ROUND(E965*G965-H965,2)</f>
        <v>80.1</v>
      </c>
      <c r="N965" s="5">
        <f>IF(COUNTIF($A$3:A965,A965)=1,1,0)</f>
        <v>1</v>
      </c>
      <c r="O965" s="6">
        <f>IF(N965=1,ROUND((SUMIFS($M$3:$M$1200,$A$3:$A$1200,A965)+'Settings'!$B$13)*'Settings'!$B$14/100+'Settings'!$B$15,2),0)</f>
        <v>1.75</v>
      </c>
    </row>
    <row r="966">
      <c r="A966" s="3" t="inlineStr">
        <is>
          <t xml:space="preserve">#1711</t>
        </is>
      </c>
      <c r="B966" s="3" t="inlineStr">
        <is>
          <t xml:space="preserve">2026-08-27</t>
        </is>
      </c>
      <c r="C966" s="3" t="inlineStr">
        <is>
          <t xml:space="preserve">SKU-B</t>
        </is>
      </c>
      <c r="D966" s="3" t="inlineStr">
        <is>
          <t xml:space="preserve">Barrier Balm</t>
        </is>
      </c>
      <c r="E966" s="6">
        <f>IF('Settings'!$B$11="Scenario",IFERROR(INDEX('Catalogue'!$E$3:$E$100,MATCH(C966,'Catalogue'!$B$3:$B$100,0)),F966),F966)</f>
        <v>19</v>
      </c>
      <c r="F966" s="8">
        <v>19</v>
      </c>
      <c r="G966" s="3">
        <v>1</v>
      </c>
      <c r="H966" s="6">
        <f>IF('Settings'!$B$11="Scenario",ROUND(E966*G966*IFERROR(SUMIF('Pricing &amp; promotions'!$A$6:$A$8,L966,'Pricing &amp; promotions'!$B$6:$B$8)/100,0),2),J966)</f>
        <v>1.9</v>
      </c>
      <c r="I966" s="6">
        <f>ROUND((E966*G966-H966)/IF(OR(K966=TRUE,K966="TRUE",K966="YES",K966=1),1+'Settings'!$B$6/100,1),2)</f>
        <v>14.13</v>
      </c>
      <c r="J966" s="8">
        <v>1.9</v>
      </c>
      <c r="K966" s="3" t="inlineStr">
        <is>
          <t xml:space="preserve">TRUE</t>
        </is>
      </c>
      <c r="L966" s="3" t="inlineStr">
        <is>
          <t xml:space="preserve">WELCOME10</t>
        </is>
      </c>
      <c r="M966" s="6">
        <f>ROUND(E966*G966-H966,2)</f>
        <v>17.1</v>
      </c>
      <c r="N966" s="5">
        <f>IF(COUNTIF($A$3:A966,A966)=1,1,0)</f>
        <v>0</v>
      </c>
      <c r="O966" s="6">
        <f>IF(N966=1,ROUND((SUMIFS($M$3:$M$1200,$A$3:$A$1200,A966)+'Settings'!$B$13)*'Settings'!$B$14/100+'Settings'!$B$15,2),0)</f>
        <v>0</v>
      </c>
    </row>
    <row r="967">
      <c r="A967" s="3" t="inlineStr">
        <is>
          <t xml:space="preserve">#1712</t>
        </is>
      </c>
      <c r="B967" s="3" t="inlineStr">
        <is>
          <t xml:space="preserve">2026-08-28</t>
        </is>
      </c>
      <c r="C967" s="3" t="inlineStr">
        <is>
          <t xml:space="preserve">SKU-C</t>
        </is>
      </c>
      <c r="D967" s="3" t="inlineStr">
        <is>
          <t xml:space="preserve">Contour Stone</t>
        </is>
      </c>
      <c r="E967" s="6">
        <f>IF('Settings'!$B$11="Scenario",IFERROR(INDEX('Catalogue'!$E$3:$E$100,MATCH(C967,'Catalogue'!$B$3:$B$100,0)),F967),F967)</f>
        <v>29</v>
      </c>
      <c r="F967" s="8">
        <v>29</v>
      </c>
      <c r="G967" s="3">
        <v>1</v>
      </c>
      <c r="H967" s="6">
        <f>IF('Settings'!$B$11="Scenario",ROUND(E967*G967*IFERROR(SUMIF('Pricing &amp; promotions'!$A$6:$A$8,L967,'Pricing &amp; promotions'!$B$6:$B$8)/100,0),2),J967)</f>
        <v>0.0</v>
      </c>
      <c r="I967" s="6">
        <f>ROUND((E967*G967-H967)/IF(OR(K967=TRUE,K967="TRUE",K967="YES",K967=1),1+'Settings'!$B$6/100,1),2)</f>
        <v>23.97</v>
      </c>
      <c r="J967" s="8">
        <v>0.0</v>
      </c>
      <c r="K967" s="3" t="inlineStr">
        <is>
          <t xml:space="preserve">TRUE</t>
        </is>
      </c>
      <c r="L967" s="3"/>
      <c r="M967" s="6">
        <f>ROUND(E967*G967-H967,2)</f>
        <v>29.0</v>
      </c>
      <c r="N967" s="5">
        <f>IF(COUNTIF($A$3:A967,A967)=1,1,0)</f>
        <v>1</v>
      </c>
      <c r="O967" s="6">
        <f>IF(N967=1,ROUND((SUMIFS($M$3:$M$1200,$A$3:$A$1200,A967)+'Settings'!$B$13)*'Settings'!$B$14/100+'Settings'!$B$15,2),0)</f>
        <v>0.73</v>
      </c>
    </row>
    <row r="968">
      <c r="A968" s="3" t="inlineStr">
        <is>
          <t xml:space="preserve">#1713</t>
        </is>
      </c>
      <c r="B968" s="3" t="inlineStr">
        <is>
          <t xml:space="preserve">2026-08-28</t>
        </is>
      </c>
      <c r="C968" s="3" t="inlineStr">
        <is>
          <t xml:space="preserve">SKU-B</t>
        </is>
      </c>
      <c r="D968" s="3" t="inlineStr">
        <is>
          <t xml:space="preserve">Barrier Balm</t>
        </is>
      </c>
      <c r="E968" s="6">
        <f>IF('Settings'!$B$11="Scenario",IFERROR(INDEX('Catalogue'!$E$3:$E$100,MATCH(C968,'Catalogue'!$B$3:$B$100,0)),F968),F968)</f>
        <v>19</v>
      </c>
      <c r="F968" s="8">
        <v>19</v>
      </c>
      <c r="G968" s="3">
        <v>1</v>
      </c>
      <c r="H968" s="6">
        <f>IF('Settings'!$B$11="Scenario",ROUND(E968*G968*IFERROR(SUMIF('Pricing &amp; promotions'!$A$6:$A$8,L968,'Pricing &amp; promotions'!$B$6:$B$8)/100,0),2),J968)</f>
        <v>1.9</v>
      </c>
      <c r="I968" s="6">
        <f>ROUND((E968*G968-H968)/IF(OR(K968=TRUE,K968="TRUE",K968="YES",K968=1),1+'Settings'!$B$6/100,1),2)</f>
        <v>14.13</v>
      </c>
      <c r="J968" s="8">
        <v>1.9</v>
      </c>
      <c r="K968" s="3" t="inlineStr">
        <is>
          <t xml:space="preserve">TRUE</t>
        </is>
      </c>
      <c r="L968" s="3" t="inlineStr">
        <is>
          <t xml:space="preserve">WELCOME10</t>
        </is>
      </c>
      <c r="M968" s="6">
        <f>ROUND(E968*G968-H968,2)</f>
        <v>17.1</v>
      </c>
      <c r="N968" s="5">
        <f>IF(COUNTIF($A$3:A968,A968)=1,1,0)</f>
        <v>1</v>
      </c>
      <c r="O968" s="6">
        <f>IF(N968=1,ROUND((SUMIFS($M$3:$M$1200,$A$3:$A$1200,A968)+'Settings'!$B$13)*'Settings'!$B$14/100+'Settings'!$B$15,2),0)</f>
        <v>1.75</v>
      </c>
    </row>
    <row r="969">
      <c r="A969" s="3" t="inlineStr">
        <is>
          <t xml:space="preserve">#1713</t>
        </is>
      </c>
      <c r="B969" s="3" t="inlineStr">
        <is>
          <t xml:space="preserve">2026-08-28</t>
        </is>
      </c>
      <c r="C969" s="3" t="inlineStr">
        <is>
          <t xml:space="preserve">SKU-E</t>
        </is>
      </c>
      <c r="D969" s="3" t="inlineStr">
        <is>
          <t xml:space="preserve">Complete Ritual</t>
        </is>
      </c>
      <c r="E969" s="6">
        <f>IF('Settings'!$B$11="Scenario",IFERROR(INDEX('Catalogue'!$E$3:$E$100,MATCH(C969,'Catalogue'!$B$3:$B$100,0)),F969),F969)</f>
        <v>89</v>
      </c>
      <c r="F969" s="8">
        <v>89</v>
      </c>
      <c r="G969" s="3">
        <v>1</v>
      </c>
      <c r="H969" s="6">
        <f>IF('Settings'!$B$11="Scenario",ROUND(E969*G969*IFERROR(SUMIF('Pricing &amp; promotions'!$A$6:$A$8,L969,'Pricing &amp; promotions'!$B$6:$B$8)/100,0),2),J969)</f>
        <v>8.9</v>
      </c>
      <c r="I969" s="6">
        <f>ROUND((E969*G969-H969)/IF(OR(K969=TRUE,K969="TRUE",K969="YES",K969=1),1+'Settings'!$B$6/100,1),2)</f>
        <v>66.2</v>
      </c>
      <c r="J969" s="8">
        <v>8.9</v>
      </c>
      <c r="K969" s="3" t="inlineStr">
        <is>
          <t xml:space="preserve">TRUE</t>
        </is>
      </c>
      <c r="L969" s="3" t="inlineStr">
        <is>
          <t xml:space="preserve">WELCOME10</t>
        </is>
      </c>
      <c r="M969" s="6">
        <f>ROUND(E969*G969-H969,2)</f>
        <v>80.1</v>
      </c>
      <c r="N969" s="5">
        <f>IF(COUNTIF($A$3:A969,A969)=1,1,0)</f>
        <v>0</v>
      </c>
      <c r="O969" s="6">
        <f>IF(N969=1,ROUND((SUMIFS($M$3:$M$1200,$A$3:$A$1200,A969)+'Settings'!$B$13)*'Settings'!$B$14/100+'Settings'!$B$15,2),0)</f>
        <v>0</v>
      </c>
    </row>
    <row r="970">
      <c r="A970" s="3" t="inlineStr">
        <is>
          <t xml:space="preserve">#1714</t>
        </is>
      </c>
      <c r="B970" s="3" t="inlineStr">
        <is>
          <t xml:space="preserve">2026-08-28</t>
        </is>
      </c>
      <c r="C970" s="3" t="inlineStr">
        <is>
          <t xml:space="preserve">SKU-A</t>
        </is>
      </c>
      <c r="D970" s="3" t="inlineStr">
        <is>
          <t xml:space="preserve">Renewal Serum</t>
        </is>
      </c>
      <c r="E970" s="6">
        <f>IF('Settings'!$B$11="Scenario",IFERROR(INDEX('Catalogue'!$E$3:$E$100,MATCH(C970,'Catalogue'!$B$3:$B$100,0)),F970),F970)</f>
        <v>69.9</v>
      </c>
      <c r="F970" s="8">
        <v>69.9</v>
      </c>
      <c r="G970" s="3">
        <v>1</v>
      </c>
      <c r="H970" s="6">
        <f>IF('Settings'!$B$11="Scenario",ROUND(E970*G970*IFERROR(SUMIF('Pricing &amp; promotions'!$A$6:$A$8,L970,'Pricing &amp; promotions'!$B$6:$B$8)/100,0),2),J970)</f>
        <v>6.99</v>
      </c>
      <c r="I970" s="6">
        <f>ROUND((E970*G970-H970)/IF(OR(K970=TRUE,K970="TRUE",K970="YES",K970=1),1+'Settings'!$B$6/100,1),2)</f>
        <v>51.99</v>
      </c>
      <c r="J970" s="8">
        <v>6.99</v>
      </c>
      <c r="K970" s="3" t="inlineStr">
        <is>
          <t xml:space="preserve">TRUE</t>
        </is>
      </c>
      <c r="L970" s="3" t="inlineStr">
        <is>
          <t xml:space="preserve">WELCOME10</t>
        </is>
      </c>
      <c r="M970" s="6">
        <f>ROUND(E970*G970-H970,2)</f>
        <v>62.91</v>
      </c>
      <c r="N970" s="5">
        <f>IF(COUNTIF($A$3:A970,A970)=1,1,0)</f>
        <v>1</v>
      </c>
      <c r="O970" s="6">
        <f>IF(N970=1,ROUND((SUMIFS($M$3:$M$1200,$A$3:$A$1200,A970)+'Settings'!$B$13)*'Settings'!$B$14/100+'Settings'!$B$15,2),0)</f>
        <v>1.24</v>
      </c>
    </row>
    <row r="971">
      <c r="A971" s="3" t="inlineStr">
        <is>
          <t xml:space="preserve">#1715</t>
        </is>
      </c>
      <c r="B971" s="3" t="inlineStr">
        <is>
          <t xml:space="preserve">2026-08-29</t>
        </is>
      </c>
      <c r="C971" s="3" t="inlineStr">
        <is>
          <t xml:space="preserve">SKU-G</t>
        </is>
      </c>
      <c r="D971" s="3" t="inlineStr">
        <is>
          <t xml:space="preserve">Daily Reset Set</t>
        </is>
      </c>
      <c r="E971" s="6">
        <f>IF('Settings'!$B$11="Scenario",IFERROR(INDEX('Catalogue'!$E$3:$E$100,MATCH(C971,'Catalogue'!$B$3:$B$100,0)),F971),F971)</f>
        <v>69</v>
      </c>
      <c r="F971" s="8">
        <v>69</v>
      </c>
      <c r="G971" s="3">
        <v>1</v>
      </c>
      <c r="H971" s="6">
        <f>IF('Settings'!$B$11="Scenario",ROUND(E971*G971*IFERROR(SUMIF('Pricing &amp; promotions'!$A$6:$A$8,L971,'Pricing &amp; promotions'!$B$6:$B$8)/100,0),2),J971)</f>
        <v>13.8</v>
      </c>
      <c r="I971" s="6">
        <f>ROUND((E971*G971-H971)/IF(OR(K971=TRUE,K971="TRUE",K971="YES",K971=1),1+'Settings'!$B$6/100,1),2)</f>
        <v>45.62</v>
      </c>
      <c r="J971" s="8">
        <v>13.8</v>
      </c>
      <c r="K971" s="3" t="inlineStr">
        <is>
          <t xml:space="preserve">TRUE</t>
        </is>
      </c>
      <c r="L971" s="3" t="inlineStr">
        <is>
          <t xml:space="preserve">VIP20</t>
        </is>
      </c>
      <c r="M971" s="6">
        <f>ROUND(E971*G971-H971,2)</f>
        <v>55.2</v>
      </c>
      <c r="N971" s="5">
        <f>IF(COUNTIF($A$3:A971,A971)=1,1,0)</f>
        <v>1</v>
      </c>
      <c r="O971" s="6">
        <f>IF(N971=1,ROUND((SUMIFS($M$3:$M$1200,$A$3:$A$1200,A971)+'Settings'!$B$13)*'Settings'!$B$14/100+'Settings'!$B$15,2),0)</f>
        <v>1.12</v>
      </c>
    </row>
    <row r="972">
      <c r="A972" s="3" t="inlineStr">
        <is>
          <t xml:space="preserve">#1716</t>
        </is>
      </c>
      <c r="B972" s="3" t="inlineStr">
        <is>
          <t xml:space="preserve">2026-08-30</t>
        </is>
      </c>
      <c r="C972" s="3" t="inlineStr">
        <is>
          <t xml:space="preserve">SKU-B</t>
        </is>
      </c>
      <c r="D972" s="3" t="inlineStr">
        <is>
          <t xml:space="preserve">Barrier Balm</t>
        </is>
      </c>
      <c r="E972" s="6">
        <f>IF('Settings'!$B$11="Scenario",IFERROR(INDEX('Catalogue'!$E$3:$E$100,MATCH(C972,'Catalogue'!$B$3:$B$100,0)),F972),F972)</f>
        <v>19</v>
      </c>
      <c r="F972" s="8">
        <v>19</v>
      </c>
      <c r="G972" s="3">
        <v>1</v>
      </c>
      <c r="H972" s="6">
        <f>IF('Settings'!$B$11="Scenario",ROUND(E972*G972*IFERROR(SUMIF('Pricing &amp; promotions'!$A$6:$A$8,L972,'Pricing &amp; promotions'!$B$6:$B$8)/100,0),2),J972)</f>
        <v>0.0</v>
      </c>
      <c r="I972" s="6">
        <f>ROUND((E972*G972-H972)/IF(OR(K972=TRUE,K972="TRUE",K972="YES",K972=1),1+'Settings'!$B$6/100,1),2)</f>
        <v>15.7</v>
      </c>
      <c r="J972" s="8">
        <v>0.0</v>
      </c>
      <c r="K972" s="3" t="inlineStr">
        <is>
          <t xml:space="preserve">TRUE</t>
        </is>
      </c>
      <c r="L972" s="3"/>
      <c r="M972" s="6">
        <f>ROUND(E972*G972-H972,2)</f>
        <v>19.0</v>
      </c>
      <c r="N972" s="5">
        <f>IF(COUNTIF($A$3:A972,A972)=1,1,0)</f>
        <v>1</v>
      </c>
      <c r="O972" s="6">
        <f>IF(N972=1,ROUND((SUMIFS($M$3:$M$1200,$A$3:$A$1200,A972)+'Settings'!$B$13)*'Settings'!$B$14/100+'Settings'!$B$15,2),0)</f>
        <v>1.63</v>
      </c>
    </row>
    <row r="973">
      <c r="A973" s="3" t="inlineStr">
        <is>
          <t xml:space="preserve">#1716</t>
        </is>
      </c>
      <c r="B973" s="3" t="inlineStr">
        <is>
          <t xml:space="preserve">2026-08-30</t>
        </is>
      </c>
      <c r="C973" s="3" t="inlineStr">
        <is>
          <t xml:space="preserve">SKU-A</t>
        </is>
      </c>
      <c r="D973" s="3" t="inlineStr">
        <is>
          <t xml:space="preserve">Renewal Serum</t>
        </is>
      </c>
      <c r="E973" s="6">
        <f>IF('Settings'!$B$11="Scenario",IFERROR(INDEX('Catalogue'!$E$3:$E$100,MATCH(C973,'Catalogue'!$B$3:$B$100,0)),F973),F973)</f>
        <v>69.9</v>
      </c>
      <c r="F973" s="8">
        <v>69.9</v>
      </c>
      <c r="G973" s="3">
        <v>1</v>
      </c>
      <c r="H973" s="6">
        <f>IF('Settings'!$B$11="Scenario",ROUND(E973*G973*IFERROR(SUMIF('Pricing &amp; promotions'!$A$6:$A$8,L973,'Pricing &amp; promotions'!$B$6:$B$8)/100,0),2),J973)</f>
        <v>0.0</v>
      </c>
      <c r="I973" s="6">
        <f>ROUND((E973*G973-H973)/IF(OR(K973=TRUE,K973="TRUE",K973="YES",K973=1),1+'Settings'!$B$6/100,1),2)</f>
        <v>57.77</v>
      </c>
      <c r="J973" s="8">
        <v>0.0</v>
      </c>
      <c r="K973" s="3" t="inlineStr">
        <is>
          <t xml:space="preserve">TRUE</t>
        </is>
      </c>
      <c r="L973" s="3"/>
      <c r="M973" s="6">
        <f>ROUND(E973*G973-H973,2)</f>
        <v>69.9</v>
      </c>
      <c r="N973" s="5">
        <f>IF(COUNTIF($A$3:A973,A973)=1,1,0)</f>
        <v>0</v>
      </c>
      <c r="O973" s="6">
        <f>IF(N973=1,ROUND((SUMIFS($M$3:$M$1200,$A$3:$A$1200,A973)+'Settings'!$B$13)*'Settings'!$B$14/100+'Settings'!$B$15,2),0)</f>
        <v>0</v>
      </c>
    </row>
    <row r="974">
      <c r="A974" s="3" t="inlineStr">
        <is>
          <t xml:space="preserve">#1717</t>
        </is>
      </c>
      <c r="B974" s="3" t="inlineStr">
        <is>
          <t xml:space="preserve">2026-08-31</t>
        </is>
      </c>
      <c r="C974" s="3" t="inlineStr">
        <is>
          <t xml:space="preserve">SKU-D</t>
        </is>
      </c>
      <c r="D974" s="3" t="inlineStr">
        <is>
          <t xml:space="preserve">Daily Duo</t>
        </is>
      </c>
      <c r="E974" s="6">
        <f>IF('Settings'!$B$11="Scenario",IFERROR(INDEX('Catalogue'!$E$3:$E$100,MATCH(C974,'Catalogue'!$B$3:$B$100,0)),F974),F974)</f>
        <v>79</v>
      </c>
      <c r="F974" s="8">
        <v>79</v>
      </c>
      <c r="G974" s="3">
        <v>1</v>
      </c>
      <c r="H974" s="6">
        <f>IF('Settings'!$B$11="Scenario",ROUND(E974*G974*IFERROR(SUMIF('Pricing &amp; promotions'!$A$6:$A$8,L974,'Pricing &amp; promotions'!$B$6:$B$8)/100,0),2),J974)</f>
        <v>7.9</v>
      </c>
      <c r="I974" s="6">
        <f>ROUND((E974*G974-H974)/IF(OR(K974=TRUE,K974="TRUE",K974="YES",K974=1),1+'Settings'!$B$6/100,1),2)</f>
        <v>58.76</v>
      </c>
      <c r="J974" s="8">
        <v>7.9</v>
      </c>
      <c r="K974" s="3" t="inlineStr">
        <is>
          <t xml:space="preserve">TRUE</t>
        </is>
      </c>
      <c r="L974" s="3" t="inlineStr">
        <is>
          <t xml:space="preserve">WELCOME10</t>
        </is>
      </c>
      <c r="M974" s="6">
        <f>ROUND(E974*G974-H974,2)</f>
        <v>71.1</v>
      </c>
      <c r="N974" s="5">
        <f>IF(COUNTIF($A$3:A974,A974)=1,1,0)</f>
        <v>1</v>
      </c>
      <c r="O974" s="6">
        <f>IF(N974=1,ROUND((SUMIFS($M$3:$M$1200,$A$3:$A$1200,A974)+'Settings'!$B$13)*'Settings'!$B$14/100+'Settings'!$B$15,2),0)</f>
        <v>2.3</v>
      </c>
    </row>
    <row r="975">
      <c r="A975" s="3" t="inlineStr">
        <is>
          <t xml:space="preserve">#1717</t>
        </is>
      </c>
      <c r="B975" s="3" t="inlineStr">
        <is>
          <t xml:space="preserve">2026-08-31</t>
        </is>
      </c>
      <c r="C975" s="3" t="inlineStr">
        <is>
          <t xml:space="preserve">SKU-A</t>
        </is>
      </c>
      <c r="D975" s="3" t="inlineStr">
        <is>
          <t xml:space="preserve">Renewal Serum</t>
        </is>
      </c>
      <c r="E975" s="6">
        <f>IF('Settings'!$B$11="Scenario",IFERROR(INDEX('Catalogue'!$E$3:$E$100,MATCH(C975,'Catalogue'!$B$3:$B$100,0)),F975),F975)</f>
        <v>69.9</v>
      </c>
      <c r="F975" s="8">
        <v>69.9</v>
      </c>
      <c r="G975" s="3">
        <v>1</v>
      </c>
      <c r="H975" s="6">
        <f>IF('Settings'!$B$11="Scenario",ROUND(E975*G975*IFERROR(SUMIF('Pricing &amp; promotions'!$A$6:$A$8,L975,'Pricing &amp; promotions'!$B$6:$B$8)/100,0),2),J975)</f>
        <v>6.99</v>
      </c>
      <c r="I975" s="6">
        <f>ROUND((E975*G975-H975)/IF(OR(K975=TRUE,K975="TRUE",K975="YES",K975=1),1+'Settings'!$B$6/100,1),2)</f>
        <v>51.99</v>
      </c>
      <c r="J975" s="8">
        <v>6.99</v>
      </c>
      <c r="K975" s="3" t="inlineStr">
        <is>
          <t xml:space="preserve">TRUE</t>
        </is>
      </c>
      <c r="L975" s="3" t="inlineStr">
        <is>
          <t xml:space="preserve">WELCOME10</t>
        </is>
      </c>
      <c r="M975" s="6">
        <f>ROUND(E975*G975-H975,2)</f>
        <v>62.91</v>
      </c>
      <c r="N975" s="5">
        <f>IF(COUNTIF($A$3:A975,A975)=1,1,0)</f>
        <v>0</v>
      </c>
      <c r="O975" s="6">
        <f>IF(N975=1,ROUND((SUMIFS($M$3:$M$1200,$A$3:$A$1200,A975)+'Settings'!$B$13)*'Settings'!$B$14/100+'Settings'!$B$15,2),0)</f>
        <v>0</v>
      </c>
    </row>
    <row r="976">
      <c r="A976" s="3" t="inlineStr">
        <is>
          <t xml:space="preserve">#1718</t>
        </is>
      </c>
      <c r="B976" s="3" t="inlineStr">
        <is>
          <t xml:space="preserve">2026-09-01</t>
        </is>
      </c>
      <c r="C976" s="3" t="inlineStr">
        <is>
          <t xml:space="preserve">SKU-G</t>
        </is>
      </c>
      <c r="D976" s="3" t="inlineStr">
        <is>
          <t xml:space="preserve">Daily Reset Set</t>
        </is>
      </c>
      <c r="E976" s="6">
        <f>IF('Settings'!$B$11="Scenario",IFERROR(INDEX('Catalogue'!$E$3:$E$100,MATCH(C976,'Catalogue'!$B$3:$B$100,0)),F976),F976)</f>
        <v>69</v>
      </c>
      <c r="F976" s="8">
        <v>69</v>
      </c>
      <c r="G976" s="3">
        <v>1</v>
      </c>
      <c r="H976" s="6">
        <f>IF('Settings'!$B$11="Scenario",ROUND(E976*G976*IFERROR(SUMIF('Pricing &amp; promotions'!$A$6:$A$8,L976,'Pricing &amp; promotions'!$B$6:$B$8)/100,0),2),J976)</f>
        <v>0.0</v>
      </c>
      <c r="I976" s="6">
        <f>ROUND((E976*G976-H976)/IF(OR(K976=TRUE,K976="TRUE",K976="YES",K976=1),1+'Settings'!$B$6/100,1),2)</f>
        <v>57.02</v>
      </c>
      <c r="J976" s="8">
        <v>0.0</v>
      </c>
      <c r="K976" s="3" t="inlineStr">
        <is>
          <t xml:space="preserve">TRUE</t>
        </is>
      </c>
      <c r="L976" s="3"/>
      <c r="M976" s="6">
        <f>ROUND(E976*G976-H976,2)</f>
        <v>69.0</v>
      </c>
      <c r="N976" s="5">
        <f>IF(COUNTIF($A$3:A976,A976)=1,1,0)</f>
        <v>1</v>
      </c>
      <c r="O976" s="6">
        <f>IF(N976=1,ROUND((SUMIFS($M$3:$M$1200,$A$3:$A$1200,A976)+'Settings'!$B$13)*'Settings'!$B$14/100+'Settings'!$B$15,2),0)</f>
        <v>2.05</v>
      </c>
    </row>
    <row r="977">
      <c r="A977" s="3" t="inlineStr">
        <is>
          <t xml:space="preserve">#1718</t>
        </is>
      </c>
      <c r="B977" s="3" t="inlineStr">
        <is>
          <t xml:space="preserve">2026-09-01</t>
        </is>
      </c>
      <c r="C977" s="3" t="inlineStr">
        <is>
          <t xml:space="preserve">SKU-B</t>
        </is>
      </c>
      <c r="D977" s="3" t="inlineStr">
        <is>
          <t xml:space="preserve">Barrier Balm</t>
        </is>
      </c>
      <c r="E977" s="6">
        <f>IF('Settings'!$B$11="Scenario",IFERROR(INDEX('Catalogue'!$E$3:$E$100,MATCH(C977,'Catalogue'!$B$3:$B$100,0)),F977),F977)</f>
        <v>19</v>
      </c>
      <c r="F977" s="8">
        <v>19</v>
      </c>
      <c r="G977" s="3">
        <v>1</v>
      </c>
      <c r="H977" s="6">
        <f>IF('Settings'!$B$11="Scenario",ROUND(E977*G977*IFERROR(SUMIF('Pricing &amp; promotions'!$A$6:$A$8,L977,'Pricing &amp; promotions'!$B$6:$B$8)/100,0),2),J977)</f>
        <v>0.0</v>
      </c>
      <c r="I977" s="6">
        <f>ROUND((E977*G977-H977)/IF(OR(K977=TRUE,K977="TRUE",K977="YES",K977=1),1+'Settings'!$B$6/100,1),2)</f>
        <v>15.7</v>
      </c>
      <c r="J977" s="8">
        <v>0.0</v>
      </c>
      <c r="K977" s="3" t="inlineStr">
        <is>
          <t xml:space="preserve">TRUE</t>
        </is>
      </c>
      <c r="L977" s="3"/>
      <c r="M977" s="6">
        <f>ROUND(E977*G977-H977,2)</f>
        <v>19.0</v>
      </c>
      <c r="N977" s="5">
        <f>IF(COUNTIF($A$3:A977,A977)=1,1,0)</f>
        <v>0</v>
      </c>
      <c r="O977" s="6">
        <f>IF(N977=1,ROUND((SUMIFS($M$3:$M$1200,$A$3:$A$1200,A977)+'Settings'!$B$13)*'Settings'!$B$14/100+'Settings'!$B$15,2),0)</f>
        <v>0</v>
      </c>
    </row>
    <row r="978">
      <c r="A978" s="3" t="inlineStr">
        <is>
          <t xml:space="preserve">#1718</t>
        </is>
      </c>
      <c r="B978" s="3" t="inlineStr">
        <is>
          <t xml:space="preserve">2026-09-01</t>
        </is>
      </c>
      <c r="C978" s="3" t="inlineStr">
        <is>
          <t xml:space="preserve">SKU-C</t>
        </is>
      </c>
      <c r="D978" s="3" t="inlineStr">
        <is>
          <t xml:space="preserve">Contour Stone</t>
        </is>
      </c>
      <c r="E978" s="6">
        <f>IF('Settings'!$B$11="Scenario",IFERROR(INDEX('Catalogue'!$E$3:$E$100,MATCH(C978,'Catalogue'!$B$3:$B$100,0)),F978),F978)</f>
        <v>29</v>
      </c>
      <c r="F978" s="8">
        <v>29</v>
      </c>
      <c r="G978" s="3">
        <v>1</v>
      </c>
      <c r="H978" s="6">
        <f>IF('Settings'!$B$11="Scenario",ROUND(E978*G978*IFERROR(SUMIF('Pricing &amp; promotions'!$A$6:$A$8,L978,'Pricing &amp; promotions'!$B$6:$B$8)/100,0),2),J978)</f>
        <v>0.0</v>
      </c>
      <c r="I978" s="6">
        <f>ROUND((E978*G978-H978)/IF(OR(K978=TRUE,K978="TRUE",K978="YES",K978=1),1+'Settings'!$B$6/100,1),2)</f>
        <v>23.97</v>
      </c>
      <c r="J978" s="8">
        <v>0.0</v>
      </c>
      <c r="K978" s="3" t="inlineStr">
        <is>
          <t xml:space="preserve">TRUE</t>
        </is>
      </c>
      <c r="L978" s="3"/>
      <c r="M978" s="6">
        <f>ROUND(E978*G978-H978,2)</f>
        <v>29.0</v>
      </c>
      <c r="N978" s="5">
        <f>IF(COUNTIF($A$3:A978,A978)=1,1,0)</f>
        <v>0</v>
      </c>
      <c r="O978" s="6">
        <f>IF(N978=1,ROUND((SUMIFS($M$3:$M$1200,$A$3:$A$1200,A978)+'Settings'!$B$13)*'Settings'!$B$14/100+'Settings'!$B$15,2),0)</f>
        <v>0</v>
      </c>
    </row>
    <row r="979">
      <c r="A979" s="3" t="inlineStr">
        <is>
          <t xml:space="preserve">#1719</t>
        </is>
      </c>
      <c r="B979" s="3" t="inlineStr">
        <is>
          <t xml:space="preserve">2026-09-01</t>
        </is>
      </c>
      <c r="C979" s="3" t="inlineStr">
        <is>
          <t xml:space="preserve">SKU-D</t>
        </is>
      </c>
      <c r="D979" s="3" t="inlineStr">
        <is>
          <t xml:space="preserve">Daily Duo</t>
        </is>
      </c>
      <c r="E979" s="6">
        <f>IF('Settings'!$B$11="Scenario",IFERROR(INDEX('Catalogue'!$E$3:$E$100,MATCH(C979,'Catalogue'!$B$3:$B$100,0)),F979),F979)</f>
        <v>79</v>
      </c>
      <c r="F979" s="8">
        <v>79</v>
      </c>
      <c r="G979" s="3">
        <v>1</v>
      </c>
      <c r="H979" s="6">
        <f>IF('Settings'!$B$11="Scenario",ROUND(E979*G979*IFERROR(SUMIF('Pricing &amp; promotions'!$A$6:$A$8,L979,'Pricing &amp; promotions'!$B$6:$B$8)/100,0),2),J979)</f>
        <v>0.0</v>
      </c>
      <c r="I979" s="6">
        <f>ROUND((E979*G979-H979)/IF(OR(K979=TRUE,K979="TRUE",K979="YES",K979=1),1+'Settings'!$B$6/100,1),2)</f>
        <v>65.29</v>
      </c>
      <c r="J979" s="8">
        <v>0.0</v>
      </c>
      <c r="K979" s="3" t="inlineStr">
        <is>
          <t xml:space="preserve">TRUE</t>
        </is>
      </c>
      <c r="L979" s="3"/>
      <c r="M979" s="6">
        <f>ROUND(E979*G979-H979,2)</f>
        <v>79.0</v>
      </c>
      <c r="N979" s="5">
        <f>IF(COUNTIF($A$3:A979,A979)=1,1,0)</f>
        <v>1</v>
      </c>
      <c r="O979" s="6">
        <f>IF(N979=1,ROUND((SUMIFS($M$3:$M$1200,$A$3:$A$1200,A979)+'Settings'!$B$13)*'Settings'!$B$14/100+'Settings'!$B$15,2),0)</f>
        <v>1.48</v>
      </c>
    </row>
    <row r="980">
      <c r="A980" s="3" t="inlineStr">
        <is>
          <t xml:space="preserve">#1720</t>
        </is>
      </c>
      <c r="B980" s="3" t="inlineStr">
        <is>
          <t xml:space="preserve">2026-09-01</t>
        </is>
      </c>
      <c r="C980" s="3" t="inlineStr">
        <is>
          <t xml:space="preserve">SKU-D</t>
        </is>
      </c>
      <c r="D980" s="3" t="inlineStr">
        <is>
          <t xml:space="preserve">Daily Duo</t>
        </is>
      </c>
      <c r="E980" s="6">
        <f>IF('Settings'!$B$11="Scenario",IFERROR(INDEX('Catalogue'!$E$3:$E$100,MATCH(C980,'Catalogue'!$B$3:$B$100,0)),F980),F980)</f>
        <v>79</v>
      </c>
      <c r="F980" s="8">
        <v>79</v>
      </c>
      <c r="G980" s="3">
        <v>1</v>
      </c>
      <c r="H980" s="6">
        <f>IF('Settings'!$B$11="Scenario",ROUND(E980*G980*IFERROR(SUMIF('Pricing &amp; promotions'!$A$6:$A$8,L980,'Pricing &amp; promotions'!$B$6:$B$8)/100,0),2),J980)</f>
        <v>0.0</v>
      </c>
      <c r="I980" s="6">
        <f>ROUND((E980*G980-H980)/IF(OR(K980=TRUE,K980="TRUE",K980="YES",K980=1),1+'Settings'!$B$6/100,1),2)</f>
        <v>65.29</v>
      </c>
      <c r="J980" s="8">
        <v>0.0</v>
      </c>
      <c r="K980" s="3" t="inlineStr">
        <is>
          <t xml:space="preserve">TRUE</t>
        </is>
      </c>
      <c r="L980" s="3"/>
      <c r="M980" s="6">
        <f>ROUND(E980*G980-H980,2)</f>
        <v>79.0</v>
      </c>
      <c r="N980" s="5">
        <f>IF(COUNTIF($A$3:A980,A980)=1,1,0)</f>
        <v>1</v>
      </c>
      <c r="O980" s="6">
        <f>IF(N980=1,ROUND((SUMIFS($M$3:$M$1200,$A$3:$A$1200,A980)+'Settings'!$B$13)*'Settings'!$B$14/100+'Settings'!$B$15,2),0)</f>
        <v>1.76</v>
      </c>
    </row>
    <row r="981">
      <c r="A981" s="3" t="inlineStr">
        <is>
          <t xml:space="preserve">#1720</t>
        </is>
      </c>
      <c r="B981" s="3" t="inlineStr">
        <is>
          <t xml:space="preserve">2026-09-01</t>
        </is>
      </c>
      <c r="C981" s="3" t="inlineStr">
        <is>
          <t xml:space="preserve">SKU-B</t>
        </is>
      </c>
      <c r="D981" s="3" t="inlineStr">
        <is>
          <t xml:space="preserve">Barrier Balm</t>
        </is>
      </c>
      <c r="E981" s="6">
        <f>IF('Settings'!$B$11="Scenario",IFERROR(INDEX('Catalogue'!$E$3:$E$100,MATCH(C981,'Catalogue'!$B$3:$B$100,0)),F981),F981)</f>
        <v>19</v>
      </c>
      <c r="F981" s="8">
        <v>19</v>
      </c>
      <c r="G981" s="3">
        <v>1</v>
      </c>
      <c r="H981" s="6">
        <f>IF('Settings'!$B$11="Scenario",ROUND(E981*G981*IFERROR(SUMIF('Pricing &amp; promotions'!$A$6:$A$8,L981,'Pricing &amp; promotions'!$B$6:$B$8)/100,0),2),J981)</f>
        <v>0.0</v>
      </c>
      <c r="I981" s="6">
        <f>ROUND((E981*G981-H981)/IF(OR(K981=TRUE,K981="TRUE",K981="YES",K981=1),1+'Settings'!$B$6/100,1),2)</f>
        <v>15.7</v>
      </c>
      <c r="J981" s="8">
        <v>0.0</v>
      </c>
      <c r="K981" s="3" t="inlineStr">
        <is>
          <t xml:space="preserve">TRUE</t>
        </is>
      </c>
      <c r="L981" s="3"/>
      <c r="M981" s="6">
        <f>ROUND(E981*G981-H981,2)</f>
        <v>19.0</v>
      </c>
      <c r="N981" s="5">
        <f>IF(COUNTIF($A$3:A981,A981)=1,1,0)</f>
        <v>0</v>
      </c>
      <c r="O981" s="6">
        <f>IF(N981=1,ROUND((SUMIFS($M$3:$M$1200,$A$3:$A$1200,A981)+'Settings'!$B$13)*'Settings'!$B$14/100+'Settings'!$B$15,2),0)</f>
        <v>0</v>
      </c>
    </row>
    <row r="982">
      <c r="A982" s="3" t="inlineStr">
        <is>
          <t xml:space="preserve">#1721</t>
        </is>
      </c>
      <c r="B982" s="3" t="inlineStr">
        <is>
          <t xml:space="preserve">2026-09-02</t>
        </is>
      </c>
      <c r="C982" s="3" t="inlineStr">
        <is>
          <t xml:space="preserve">SKU-E</t>
        </is>
      </c>
      <c r="D982" s="3" t="inlineStr">
        <is>
          <t xml:space="preserve">Complete Ritual</t>
        </is>
      </c>
      <c r="E982" s="6">
        <f>IF('Settings'!$B$11="Scenario",IFERROR(INDEX('Catalogue'!$E$3:$E$100,MATCH(C982,'Catalogue'!$B$3:$B$100,0)),F982),F982)</f>
        <v>89</v>
      </c>
      <c r="F982" s="8">
        <v>89</v>
      </c>
      <c r="G982" s="3">
        <v>1</v>
      </c>
      <c r="H982" s="6">
        <f>IF('Settings'!$B$11="Scenario",ROUND(E982*G982*IFERROR(SUMIF('Pricing &amp; promotions'!$A$6:$A$8,L982,'Pricing &amp; promotions'!$B$6:$B$8)/100,0),2),J982)</f>
        <v>17.8</v>
      </c>
      <c r="I982" s="6">
        <f>ROUND((E982*G982-H982)/IF(OR(K982=TRUE,K982="TRUE",K982="YES",K982=1),1+'Settings'!$B$6/100,1),2)</f>
        <v>58.84</v>
      </c>
      <c r="J982" s="8">
        <v>17.8</v>
      </c>
      <c r="K982" s="3" t="inlineStr">
        <is>
          <t xml:space="preserve">TRUE</t>
        </is>
      </c>
      <c r="L982" s="3" t="inlineStr">
        <is>
          <t xml:space="preserve">VIP20</t>
        </is>
      </c>
      <c r="M982" s="6">
        <f>ROUND(E982*G982-H982,2)</f>
        <v>71.2</v>
      </c>
      <c r="N982" s="5">
        <f>IF(COUNTIF($A$3:A982,A982)=1,1,0)</f>
        <v>1</v>
      </c>
      <c r="O982" s="6">
        <f>IF(N982=1,ROUND((SUMIFS($M$3:$M$1200,$A$3:$A$1200,A982)+'Settings'!$B$13)*'Settings'!$B$14/100+'Settings'!$B$15,2),0)</f>
        <v>1.36</v>
      </c>
    </row>
    <row r="983">
      <c r="A983" s="3" t="inlineStr">
        <is>
          <t xml:space="preserve">#1722</t>
        </is>
      </c>
      <c r="B983" s="3" t="inlineStr">
        <is>
          <t xml:space="preserve">2026-09-03</t>
        </is>
      </c>
      <c r="C983" s="3" t="inlineStr">
        <is>
          <t xml:space="preserve">SKU-A</t>
        </is>
      </c>
      <c r="D983" s="3" t="inlineStr">
        <is>
          <t xml:space="preserve">Renewal Serum</t>
        </is>
      </c>
      <c r="E983" s="6">
        <f>IF('Settings'!$B$11="Scenario",IFERROR(INDEX('Catalogue'!$E$3:$E$100,MATCH(C983,'Catalogue'!$B$3:$B$100,0)),F983),F983)</f>
        <v>69.9</v>
      </c>
      <c r="F983" s="8">
        <v>69.9</v>
      </c>
      <c r="G983" s="3">
        <v>2</v>
      </c>
      <c r="H983" s="6">
        <f>IF('Settings'!$B$11="Scenario",ROUND(E983*G983*IFERROR(SUMIF('Pricing &amp; promotions'!$A$6:$A$8,L983,'Pricing &amp; promotions'!$B$6:$B$8)/100,0),2),J983)</f>
        <v>0.0</v>
      </c>
      <c r="I983" s="6">
        <f>ROUND((E983*G983-H983)/IF(OR(K983=TRUE,K983="TRUE",K983="YES",K983=1),1+'Settings'!$B$6/100,1),2)</f>
        <v>115.54</v>
      </c>
      <c r="J983" s="8">
        <v>0.0</v>
      </c>
      <c r="K983" s="3" t="inlineStr">
        <is>
          <t xml:space="preserve">TRUE</t>
        </is>
      </c>
      <c r="L983" s="3"/>
      <c r="M983" s="6">
        <f>ROUND(E983*G983-H983,2)</f>
        <v>139.8</v>
      </c>
      <c r="N983" s="5">
        <f>IF(COUNTIF($A$3:A983,A983)=1,1,0)</f>
        <v>1</v>
      </c>
      <c r="O983" s="6">
        <f>IF(N983=1,ROUND((SUMIFS($M$3:$M$1200,$A$3:$A$1200,A983)+'Settings'!$B$13)*'Settings'!$B$14/100+'Settings'!$B$15,2),0)</f>
        <v>3.73</v>
      </c>
    </row>
    <row r="984">
      <c r="A984" s="3" t="inlineStr">
        <is>
          <t xml:space="preserve">#1722</t>
        </is>
      </c>
      <c r="B984" s="3" t="inlineStr">
        <is>
          <t xml:space="preserve">2026-09-03</t>
        </is>
      </c>
      <c r="C984" s="3" t="inlineStr">
        <is>
          <t xml:space="preserve">SKU-E</t>
        </is>
      </c>
      <c r="D984" s="3" t="inlineStr">
        <is>
          <t xml:space="preserve">Complete Ritual</t>
        </is>
      </c>
      <c r="E984" s="6">
        <f>IF('Settings'!$B$11="Scenario",IFERROR(INDEX('Catalogue'!$E$3:$E$100,MATCH(C984,'Catalogue'!$B$3:$B$100,0)),F984),F984)</f>
        <v>89</v>
      </c>
      <c r="F984" s="8">
        <v>89</v>
      </c>
      <c r="G984" s="3">
        <v>1</v>
      </c>
      <c r="H984" s="6">
        <f>IF('Settings'!$B$11="Scenario",ROUND(E984*G984*IFERROR(SUMIF('Pricing &amp; promotions'!$A$6:$A$8,L984,'Pricing &amp; promotions'!$B$6:$B$8)/100,0),2),J984)</f>
        <v>0.0</v>
      </c>
      <c r="I984" s="6">
        <f>ROUND((E984*G984-H984)/IF(OR(K984=TRUE,K984="TRUE",K984="YES",K984=1),1+'Settings'!$B$6/100,1),2)</f>
        <v>73.55</v>
      </c>
      <c r="J984" s="8">
        <v>0.0</v>
      </c>
      <c r="K984" s="3" t="inlineStr">
        <is>
          <t xml:space="preserve">TRUE</t>
        </is>
      </c>
      <c r="L984" s="3"/>
      <c r="M984" s="6">
        <f>ROUND(E984*G984-H984,2)</f>
        <v>89.0</v>
      </c>
      <c r="N984" s="5">
        <f>IF(COUNTIF($A$3:A984,A984)=1,1,0)</f>
        <v>0</v>
      </c>
      <c r="O984" s="6">
        <f>IF(N984=1,ROUND((SUMIFS($M$3:$M$1200,$A$3:$A$1200,A984)+'Settings'!$B$13)*'Settings'!$B$14/100+'Settings'!$B$15,2),0)</f>
        <v>0</v>
      </c>
    </row>
    <row r="985">
      <c r="A985" s="3" t="inlineStr">
        <is>
          <t xml:space="preserve">#1723</t>
        </is>
      </c>
      <c r="B985" s="3" t="inlineStr">
        <is>
          <t xml:space="preserve">2026-09-03</t>
        </is>
      </c>
      <c r="C985" s="3" t="inlineStr">
        <is>
          <t xml:space="preserve">SKU-G</t>
        </is>
      </c>
      <c r="D985" s="3" t="inlineStr">
        <is>
          <t xml:space="preserve">Daily Reset Set</t>
        </is>
      </c>
      <c r="E985" s="6">
        <f>IF('Settings'!$B$11="Scenario",IFERROR(INDEX('Catalogue'!$E$3:$E$100,MATCH(C985,'Catalogue'!$B$3:$B$100,0)),F985),F985)</f>
        <v>69</v>
      </c>
      <c r="F985" s="8">
        <v>69</v>
      </c>
      <c r="G985" s="3">
        <v>1</v>
      </c>
      <c r="H985" s="6">
        <f>IF('Settings'!$B$11="Scenario",ROUND(E985*G985*IFERROR(SUMIF('Pricing &amp; promotions'!$A$6:$A$8,L985,'Pricing &amp; promotions'!$B$6:$B$8)/100,0),2),J985)</f>
        <v>0.0</v>
      </c>
      <c r="I985" s="6">
        <f>ROUND((E985*G985-H985)/IF(OR(K985=TRUE,K985="TRUE",K985="YES",K985=1),1+'Settings'!$B$6/100,1),2)</f>
        <v>57.02</v>
      </c>
      <c r="J985" s="8">
        <v>0.0</v>
      </c>
      <c r="K985" s="3" t="inlineStr">
        <is>
          <t xml:space="preserve">TRUE</t>
        </is>
      </c>
      <c r="L985" s="3"/>
      <c r="M985" s="6">
        <f>ROUND(E985*G985-H985,2)</f>
        <v>69.0</v>
      </c>
      <c r="N985" s="5">
        <f>IF(COUNTIF($A$3:A985,A985)=1,1,0)</f>
        <v>1</v>
      </c>
      <c r="O985" s="6">
        <f>IF(N985=1,ROUND((SUMIFS($M$3:$M$1200,$A$3:$A$1200,A985)+'Settings'!$B$13)*'Settings'!$B$14/100+'Settings'!$B$15,2),0)</f>
        <v>1.33</v>
      </c>
    </row>
    <row r="986">
      <c r="A986" s="3" t="inlineStr">
        <is>
          <t xml:space="preserve">#1724</t>
        </is>
      </c>
      <c r="B986" s="3" t="inlineStr">
        <is>
          <t xml:space="preserve">2026-09-04</t>
        </is>
      </c>
      <c r="C986" s="3" t="inlineStr">
        <is>
          <t xml:space="preserve">SKU-A</t>
        </is>
      </c>
      <c r="D986" s="3" t="inlineStr">
        <is>
          <t xml:space="preserve">Renewal Serum</t>
        </is>
      </c>
      <c r="E986" s="6">
        <f>IF('Settings'!$B$11="Scenario",IFERROR(INDEX('Catalogue'!$E$3:$E$100,MATCH(C986,'Catalogue'!$B$3:$B$100,0)),F986),F986)</f>
        <v>69.9</v>
      </c>
      <c r="F986" s="8">
        <v>69.9</v>
      </c>
      <c r="G986" s="3">
        <v>1</v>
      </c>
      <c r="H986" s="6">
        <f>IF('Settings'!$B$11="Scenario",ROUND(E986*G986*IFERROR(SUMIF('Pricing &amp; promotions'!$A$6:$A$8,L986,'Pricing &amp; promotions'!$B$6:$B$8)/100,0),2),J986)</f>
        <v>6.99</v>
      </c>
      <c r="I986" s="6">
        <f>ROUND((E986*G986-H986)/IF(OR(K986=TRUE,K986="TRUE",K986="YES",K986=1),1+'Settings'!$B$6/100,1),2)</f>
        <v>51.99</v>
      </c>
      <c r="J986" s="8">
        <v>6.99</v>
      </c>
      <c r="K986" s="3" t="inlineStr">
        <is>
          <t xml:space="preserve">TRUE</t>
        </is>
      </c>
      <c r="L986" s="3" t="inlineStr">
        <is>
          <t xml:space="preserve">WELCOME10</t>
        </is>
      </c>
      <c r="M986" s="6">
        <f>ROUND(E986*G986-H986,2)</f>
        <v>62.91</v>
      </c>
      <c r="N986" s="5">
        <f>IF(COUNTIF($A$3:A986,A986)=1,1,0)</f>
        <v>1</v>
      </c>
      <c r="O986" s="6">
        <f>IF(N986=1,ROUND((SUMIFS($M$3:$M$1200,$A$3:$A$1200,A986)+'Settings'!$B$13)*'Settings'!$B$14/100+'Settings'!$B$15,2),0)</f>
        <v>1.24</v>
      </c>
    </row>
    <row r="987">
      <c r="A987" s="3" t="inlineStr">
        <is>
          <t xml:space="preserve">#1725</t>
        </is>
      </c>
      <c r="B987" s="3" t="inlineStr">
        <is>
          <t xml:space="preserve">2026-09-04</t>
        </is>
      </c>
      <c r="C987" s="3" t="inlineStr">
        <is>
          <t xml:space="preserve">SKU-A</t>
        </is>
      </c>
      <c r="D987" s="3" t="inlineStr">
        <is>
          <t xml:space="preserve">Renewal Serum</t>
        </is>
      </c>
      <c r="E987" s="6">
        <f>IF('Settings'!$B$11="Scenario",IFERROR(INDEX('Catalogue'!$E$3:$E$100,MATCH(C987,'Catalogue'!$B$3:$B$100,0)),F987),F987)</f>
        <v>69.9</v>
      </c>
      <c r="F987" s="8">
        <v>69.9</v>
      </c>
      <c r="G987" s="3">
        <v>1</v>
      </c>
      <c r="H987" s="6">
        <f>IF('Settings'!$B$11="Scenario",ROUND(E987*G987*IFERROR(SUMIF('Pricing &amp; promotions'!$A$6:$A$8,L987,'Pricing &amp; promotions'!$B$6:$B$8)/100,0),2),J987)</f>
        <v>6.99</v>
      </c>
      <c r="I987" s="6">
        <f>ROUND((E987*G987-H987)/IF(OR(K987=TRUE,K987="TRUE",K987="YES",K987=1),1+'Settings'!$B$6/100,1),2)</f>
        <v>51.99</v>
      </c>
      <c r="J987" s="8">
        <v>6.99</v>
      </c>
      <c r="K987" s="3" t="inlineStr">
        <is>
          <t xml:space="preserve">TRUE</t>
        </is>
      </c>
      <c r="L987" s="3" t="inlineStr">
        <is>
          <t xml:space="preserve">WELCOME10</t>
        </is>
      </c>
      <c r="M987" s="6">
        <f>ROUND(E987*G987-H987,2)</f>
        <v>62.91</v>
      </c>
      <c r="N987" s="5">
        <f>IF(COUNTIF($A$3:A987,A987)=1,1,0)</f>
        <v>1</v>
      </c>
      <c r="O987" s="6">
        <f>IF(N987=1,ROUND((SUMIFS($M$3:$M$1200,$A$3:$A$1200,A987)+'Settings'!$B$13)*'Settings'!$B$14/100+'Settings'!$B$15,2),0)</f>
        <v>1.24</v>
      </c>
    </row>
    <row r="988">
      <c r="A988" s="3" t="inlineStr">
        <is>
          <t xml:space="preserve">#1726</t>
        </is>
      </c>
      <c r="B988" s="3" t="inlineStr">
        <is>
          <t xml:space="preserve">2026-09-04</t>
        </is>
      </c>
      <c r="C988" s="3" t="inlineStr">
        <is>
          <t xml:space="preserve">SKU-A</t>
        </is>
      </c>
      <c r="D988" s="3" t="inlineStr">
        <is>
          <t xml:space="preserve">Renewal Serum</t>
        </is>
      </c>
      <c r="E988" s="6">
        <f>IF('Settings'!$B$11="Scenario",IFERROR(INDEX('Catalogue'!$E$3:$E$100,MATCH(C988,'Catalogue'!$B$3:$B$100,0)),F988),F988)</f>
        <v>69.9</v>
      </c>
      <c r="F988" s="8">
        <v>69.9</v>
      </c>
      <c r="G988" s="3">
        <v>1</v>
      </c>
      <c r="H988" s="6">
        <f>IF('Settings'!$B$11="Scenario",ROUND(E988*G988*IFERROR(SUMIF('Pricing &amp; promotions'!$A$6:$A$8,L988,'Pricing &amp; promotions'!$B$6:$B$8)/100,0),2),J988)</f>
        <v>6.99</v>
      </c>
      <c r="I988" s="6">
        <f>ROUND((E988*G988-H988)/IF(OR(K988=TRUE,K988="TRUE",K988="YES",K988=1),1+'Settings'!$B$6/100,1),2)</f>
        <v>51.99</v>
      </c>
      <c r="J988" s="8">
        <v>6.99</v>
      </c>
      <c r="K988" s="3" t="inlineStr">
        <is>
          <t xml:space="preserve">TRUE</t>
        </is>
      </c>
      <c r="L988" s="3" t="inlineStr">
        <is>
          <t xml:space="preserve">WELCOME10</t>
        </is>
      </c>
      <c r="M988" s="6">
        <f>ROUND(E988*G988-H988,2)</f>
        <v>62.91</v>
      </c>
      <c r="N988" s="5">
        <f>IF(COUNTIF($A$3:A988,A988)=1,1,0)</f>
        <v>1</v>
      </c>
      <c r="O988" s="6">
        <f>IF(N988=1,ROUND((SUMIFS($M$3:$M$1200,$A$3:$A$1200,A988)+'Settings'!$B$13)*'Settings'!$B$14/100+'Settings'!$B$15,2),0)</f>
        <v>2.17</v>
      </c>
    </row>
    <row r="989">
      <c r="A989" s="3" t="inlineStr">
        <is>
          <t xml:space="preserve">#1726</t>
        </is>
      </c>
      <c r="B989" s="3" t="inlineStr">
        <is>
          <t xml:space="preserve">2026-09-04</t>
        </is>
      </c>
      <c r="C989" s="3" t="inlineStr">
        <is>
          <t xml:space="preserve">SKU-G</t>
        </is>
      </c>
      <c r="D989" s="3" t="inlineStr">
        <is>
          <t xml:space="preserve">Daily Reset Set</t>
        </is>
      </c>
      <c r="E989" s="6">
        <f>IF('Settings'!$B$11="Scenario",IFERROR(INDEX('Catalogue'!$E$3:$E$100,MATCH(C989,'Catalogue'!$B$3:$B$100,0)),F989),F989)</f>
        <v>69</v>
      </c>
      <c r="F989" s="8">
        <v>69</v>
      </c>
      <c r="G989" s="3">
        <v>1</v>
      </c>
      <c r="H989" s="6">
        <f>IF('Settings'!$B$11="Scenario",ROUND(E989*G989*IFERROR(SUMIF('Pricing &amp; promotions'!$A$6:$A$8,L989,'Pricing &amp; promotions'!$B$6:$B$8)/100,0),2),J989)</f>
        <v>6.9</v>
      </c>
      <c r="I989" s="6">
        <f>ROUND((E989*G989-H989)/IF(OR(K989=TRUE,K989="TRUE",K989="YES",K989=1),1+'Settings'!$B$6/100,1),2)</f>
        <v>51.32</v>
      </c>
      <c r="J989" s="8">
        <v>6.9</v>
      </c>
      <c r="K989" s="3" t="inlineStr">
        <is>
          <t xml:space="preserve">TRUE</t>
        </is>
      </c>
      <c r="L989" s="3" t="inlineStr">
        <is>
          <t xml:space="preserve">WELCOME10</t>
        </is>
      </c>
      <c r="M989" s="6">
        <f>ROUND(E989*G989-H989,2)</f>
        <v>62.1</v>
      </c>
      <c r="N989" s="5">
        <f>IF(COUNTIF($A$3:A989,A989)=1,1,0)</f>
        <v>0</v>
      </c>
      <c r="O989" s="6">
        <f>IF(N989=1,ROUND((SUMIFS($M$3:$M$1200,$A$3:$A$1200,A989)+'Settings'!$B$13)*'Settings'!$B$14/100+'Settings'!$B$15,2),0)</f>
        <v>0</v>
      </c>
    </row>
    <row r="990">
      <c r="A990" s="3" t="inlineStr">
        <is>
          <t xml:space="preserve">#1727</t>
        </is>
      </c>
      <c r="B990" s="3" t="inlineStr">
        <is>
          <t xml:space="preserve">2026-09-04</t>
        </is>
      </c>
      <c r="C990" s="3" t="inlineStr">
        <is>
          <t xml:space="preserve">SKU-E</t>
        </is>
      </c>
      <c r="D990" s="3" t="inlineStr">
        <is>
          <t xml:space="preserve">Complete Ritual</t>
        </is>
      </c>
      <c r="E990" s="6">
        <f>IF('Settings'!$B$11="Scenario",IFERROR(INDEX('Catalogue'!$E$3:$E$100,MATCH(C990,'Catalogue'!$B$3:$B$100,0)),F990),F990)</f>
        <v>89</v>
      </c>
      <c r="F990" s="8">
        <v>89</v>
      </c>
      <c r="G990" s="3">
        <v>1</v>
      </c>
      <c r="H990" s="6">
        <f>IF('Settings'!$B$11="Scenario",ROUND(E990*G990*IFERROR(SUMIF('Pricing &amp; promotions'!$A$6:$A$8,L990,'Pricing &amp; promotions'!$B$6:$B$8)/100,0),2),J990)</f>
        <v>13.35</v>
      </c>
      <c r="I990" s="6">
        <f>ROUND((E990*G990-H990)/IF(OR(K990=TRUE,K990="TRUE",K990="YES",K990=1),1+'Settings'!$B$6/100,1),2)</f>
        <v>62.52</v>
      </c>
      <c r="J990" s="8">
        <v>13.35</v>
      </c>
      <c r="K990" s="3" t="inlineStr">
        <is>
          <t xml:space="preserve">TRUE</t>
        </is>
      </c>
      <c r="L990" s="3" t="inlineStr">
        <is>
          <t xml:space="preserve">SUMMER15</t>
        </is>
      </c>
      <c r="M990" s="6">
        <f>ROUND(E990*G990-H990,2)</f>
        <v>75.65</v>
      </c>
      <c r="N990" s="5">
        <f>IF(COUNTIF($A$3:A990,A990)=1,1,0)</f>
        <v>1</v>
      </c>
      <c r="O990" s="6">
        <f>IF(N990=1,ROUND((SUMIFS($M$3:$M$1200,$A$3:$A$1200,A990)+'Settings'!$B$13)*'Settings'!$B$14/100+'Settings'!$B$15,2),0)</f>
        <v>2.44</v>
      </c>
    </row>
    <row r="991">
      <c r="A991" s="3" t="inlineStr">
        <is>
          <t xml:space="preserve">#1727</t>
        </is>
      </c>
      <c r="B991" s="3" t="inlineStr">
        <is>
          <t xml:space="preserve">2026-09-04</t>
        </is>
      </c>
      <c r="C991" s="3" t="inlineStr">
        <is>
          <t xml:space="preserve">SKU-D</t>
        </is>
      </c>
      <c r="D991" s="3" t="inlineStr">
        <is>
          <t xml:space="preserve">Daily Duo</t>
        </is>
      </c>
      <c r="E991" s="6">
        <f>IF('Settings'!$B$11="Scenario",IFERROR(INDEX('Catalogue'!$E$3:$E$100,MATCH(C991,'Catalogue'!$B$3:$B$100,0)),F991),F991)</f>
        <v>79</v>
      </c>
      <c r="F991" s="8">
        <v>79</v>
      </c>
      <c r="G991" s="3">
        <v>1</v>
      </c>
      <c r="H991" s="6">
        <f>IF('Settings'!$B$11="Scenario",ROUND(E991*G991*IFERROR(SUMIF('Pricing &amp; promotions'!$A$6:$A$8,L991,'Pricing &amp; promotions'!$B$6:$B$8)/100,0),2),J991)</f>
        <v>11.85</v>
      </c>
      <c r="I991" s="6">
        <f>ROUND((E991*G991-H991)/IF(OR(K991=TRUE,K991="TRUE",K991="YES",K991=1),1+'Settings'!$B$6/100,1),2)</f>
        <v>55.5</v>
      </c>
      <c r="J991" s="8">
        <v>11.85</v>
      </c>
      <c r="K991" s="3" t="inlineStr">
        <is>
          <t xml:space="preserve">TRUE</t>
        </is>
      </c>
      <c r="L991" s="3" t="inlineStr">
        <is>
          <t xml:space="preserve">SUMMER15</t>
        </is>
      </c>
      <c r="M991" s="6">
        <f>ROUND(E991*G991-H991,2)</f>
        <v>67.15</v>
      </c>
      <c r="N991" s="5">
        <f>IF(COUNTIF($A$3:A991,A991)=1,1,0)</f>
        <v>0</v>
      </c>
      <c r="O991" s="6">
        <f>IF(N991=1,ROUND((SUMIFS($M$3:$M$1200,$A$3:$A$1200,A991)+'Settings'!$B$13)*'Settings'!$B$14/100+'Settings'!$B$15,2),0)</f>
        <v>0</v>
      </c>
    </row>
    <row r="992">
      <c r="A992" s="3" t="inlineStr">
        <is>
          <t xml:space="preserve">#1728</t>
        </is>
      </c>
      <c r="B992" s="3" t="inlineStr">
        <is>
          <t xml:space="preserve">2026-09-05</t>
        </is>
      </c>
      <c r="C992" s="3" t="inlineStr">
        <is>
          <t xml:space="preserve">SKU-A</t>
        </is>
      </c>
      <c r="D992" s="3" t="inlineStr">
        <is>
          <t xml:space="preserve">Renewal Serum</t>
        </is>
      </c>
      <c r="E992" s="6">
        <f>IF('Settings'!$B$11="Scenario",IFERROR(INDEX('Catalogue'!$E$3:$E$100,MATCH(C992,'Catalogue'!$B$3:$B$100,0)),F992),F992)</f>
        <v>69.9</v>
      </c>
      <c r="F992" s="8">
        <v>69.9</v>
      </c>
      <c r="G992" s="3">
        <v>2</v>
      </c>
      <c r="H992" s="6">
        <f>IF('Settings'!$B$11="Scenario",ROUND(E992*G992*IFERROR(SUMIF('Pricing &amp; promotions'!$A$6:$A$8,L992,'Pricing &amp; promotions'!$B$6:$B$8)/100,0),2),J992)</f>
        <v>27.96</v>
      </c>
      <c r="I992" s="6">
        <f>ROUND((E992*G992-H992)/IF(OR(K992=TRUE,K992="TRUE",K992="YES",K992=1),1+'Settings'!$B$6/100,1),2)</f>
        <v>92.43</v>
      </c>
      <c r="J992" s="8">
        <v>27.96</v>
      </c>
      <c r="K992" s="3" t="inlineStr">
        <is>
          <t xml:space="preserve">TRUE</t>
        </is>
      </c>
      <c r="L992" s="3" t="inlineStr">
        <is>
          <t xml:space="preserve">VIP20</t>
        </is>
      </c>
      <c r="M992" s="6">
        <f>ROUND(E992*G992-H992,2)</f>
        <v>111.84</v>
      </c>
      <c r="N992" s="5">
        <f>IF(COUNTIF($A$3:A992,A992)=1,1,0)</f>
        <v>1</v>
      </c>
      <c r="O992" s="6">
        <f>IF(N992=1,ROUND((SUMIFS($M$3:$M$1200,$A$3:$A$1200,A992)+'Settings'!$B$13)*'Settings'!$B$14/100+'Settings'!$B$15,2),0)</f>
        <v>1.97</v>
      </c>
    </row>
    <row r="993">
      <c r="A993" s="3" t="inlineStr">
        <is>
          <t xml:space="preserve">#1729</t>
        </is>
      </c>
      <c r="B993" s="3" t="inlineStr">
        <is>
          <t xml:space="preserve">2026-09-05</t>
        </is>
      </c>
      <c r="C993" s="3" t="inlineStr">
        <is>
          <t xml:space="preserve">SKU-G</t>
        </is>
      </c>
      <c r="D993" s="3" t="inlineStr">
        <is>
          <t xml:space="preserve">Daily Reset Set</t>
        </is>
      </c>
      <c r="E993" s="6">
        <f>IF('Settings'!$B$11="Scenario",IFERROR(INDEX('Catalogue'!$E$3:$E$100,MATCH(C993,'Catalogue'!$B$3:$B$100,0)),F993),F993)</f>
        <v>69</v>
      </c>
      <c r="F993" s="8">
        <v>69</v>
      </c>
      <c r="G993" s="3">
        <v>1</v>
      </c>
      <c r="H993" s="6">
        <f>IF('Settings'!$B$11="Scenario",ROUND(E993*G993*IFERROR(SUMIF('Pricing &amp; promotions'!$A$6:$A$8,L993,'Pricing &amp; promotions'!$B$6:$B$8)/100,0),2),J993)</f>
        <v>0.0</v>
      </c>
      <c r="I993" s="6">
        <f>ROUND((E993*G993-H993)/IF(OR(K993=TRUE,K993="TRUE",K993="YES",K993=1),1+'Settings'!$B$6/100,1),2)</f>
        <v>57.02</v>
      </c>
      <c r="J993" s="8">
        <v>0.0</v>
      </c>
      <c r="K993" s="3" t="inlineStr">
        <is>
          <t xml:space="preserve">TRUE</t>
        </is>
      </c>
      <c r="L993" s="3"/>
      <c r="M993" s="6">
        <f>ROUND(E993*G993-H993,2)</f>
        <v>69.0</v>
      </c>
      <c r="N993" s="5">
        <f>IF(COUNTIF($A$3:A993,A993)=1,1,0)</f>
        <v>1</v>
      </c>
      <c r="O993" s="6">
        <f>IF(N993=1,ROUND((SUMIFS($M$3:$M$1200,$A$3:$A$1200,A993)+'Settings'!$B$13)*'Settings'!$B$14/100+'Settings'!$B$15,2),0)</f>
        <v>2.66</v>
      </c>
    </row>
    <row r="994">
      <c r="A994" s="3" t="inlineStr">
        <is>
          <t xml:space="preserve">#1729</t>
        </is>
      </c>
      <c r="B994" s="3" t="inlineStr">
        <is>
          <t xml:space="preserve">2026-09-05</t>
        </is>
      </c>
      <c r="C994" s="3" t="inlineStr">
        <is>
          <t xml:space="preserve">SKU-E</t>
        </is>
      </c>
      <c r="D994" s="3" t="inlineStr">
        <is>
          <t xml:space="preserve">Complete Ritual</t>
        </is>
      </c>
      <c r="E994" s="6">
        <f>IF('Settings'!$B$11="Scenario",IFERROR(INDEX('Catalogue'!$E$3:$E$100,MATCH(C994,'Catalogue'!$B$3:$B$100,0)),F994),F994)</f>
        <v>89</v>
      </c>
      <c r="F994" s="8">
        <v>89</v>
      </c>
      <c r="G994" s="3">
        <v>1</v>
      </c>
      <c r="H994" s="6">
        <f>IF('Settings'!$B$11="Scenario",ROUND(E994*G994*IFERROR(SUMIF('Pricing &amp; promotions'!$A$6:$A$8,L994,'Pricing &amp; promotions'!$B$6:$B$8)/100,0),2),J994)</f>
        <v>0.0</v>
      </c>
      <c r="I994" s="6">
        <f>ROUND((E994*G994-H994)/IF(OR(K994=TRUE,K994="TRUE",K994="YES",K994=1),1+'Settings'!$B$6/100,1),2)</f>
        <v>73.55</v>
      </c>
      <c r="J994" s="8">
        <v>0.0</v>
      </c>
      <c r="K994" s="3" t="inlineStr">
        <is>
          <t xml:space="preserve">TRUE</t>
        </is>
      </c>
      <c r="L994" s="3"/>
      <c r="M994" s="6">
        <f>ROUND(E994*G994-H994,2)</f>
        <v>89.0</v>
      </c>
      <c r="N994" s="5">
        <f>IF(COUNTIF($A$3:A994,A994)=1,1,0)</f>
        <v>0</v>
      </c>
      <c r="O994" s="6">
        <f>IF(N994=1,ROUND((SUMIFS($M$3:$M$1200,$A$3:$A$1200,A994)+'Settings'!$B$13)*'Settings'!$B$14/100+'Settings'!$B$15,2),0)</f>
        <v>0</v>
      </c>
    </row>
    <row r="995">
      <c r="A995" s="3" t="inlineStr">
        <is>
          <t xml:space="preserve">#1730</t>
        </is>
      </c>
      <c r="B995" s="3" t="inlineStr">
        <is>
          <t xml:space="preserve">2026-09-05</t>
        </is>
      </c>
      <c r="C995" s="3" t="inlineStr">
        <is>
          <t xml:space="preserve">SKU-E</t>
        </is>
      </c>
      <c r="D995" s="3" t="inlineStr">
        <is>
          <t xml:space="preserve">Complete Ritual</t>
        </is>
      </c>
      <c r="E995" s="6">
        <f>IF('Settings'!$B$11="Scenario",IFERROR(INDEX('Catalogue'!$E$3:$E$100,MATCH(C995,'Catalogue'!$B$3:$B$100,0)),F995),F995)</f>
        <v>89</v>
      </c>
      <c r="F995" s="8">
        <v>89</v>
      </c>
      <c r="G995" s="3">
        <v>1</v>
      </c>
      <c r="H995" s="6">
        <f>IF('Settings'!$B$11="Scenario",ROUND(E995*G995*IFERROR(SUMIF('Pricing &amp; promotions'!$A$6:$A$8,L995,'Pricing &amp; promotions'!$B$6:$B$8)/100,0),2),J995)</f>
        <v>8.9</v>
      </c>
      <c r="I995" s="6">
        <f>ROUND((E995*G995-H995)/IF(OR(K995=TRUE,K995="TRUE",K995="YES",K995=1),1+'Settings'!$B$6/100,1),2)</f>
        <v>66.2</v>
      </c>
      <c r="J995" s="8">
        <v>8.9</v>
      </c>
      <c r="K995" s="3" t="inlineStr">
        <is>
          <t xml:space="preserve">TRUE</t>
        </is>
      </c>
      <c r="L995" s="3" t="inlineStr">
        <is>
          <t xml:space="preserve">WELCOME10</t>
        </is>
      </c>
      <c r="M995" s="6">
        <f>ROUND(E995*G995-H995,2)</f>
        <v>80.1</v>
      </c>
      <c r="N995" s="5">
        <f>IF(COUNTIF($A$3:A995,A995)=1,1,0)</f>
        <v>1</v>
      </c>
      <c r="O995" s="6">
        <f>IF(N995=1,ROUND((SUMIFS($M$3:$M$1200,$A$3:$A$1200,A995)+'Settings'!$B$13)*'Settings'!$B$14/100+'Settings'!$B$15,2),0)</f>
        <v>1.5</v>
      </c>
    </row>
    <row r="996">
      <c r="A996" s="3" t="inlineStr">
        <is>
          <t xml:space="preserve">#1731</t>
        </is>
      </c>
      <c r="B996" s="3" t="inlineStr">
        <is>
          <t xml:space="preserve">2026-09-05</t>
        </is>
      </c>
      <c r="C996" s="3" t="inlineStr">
        <is>
          <t xml:space="preserve">SKU-A</t>
        </is>
      </c>
      <c r="D996" s="3" t="inlineStr">
        <is>
          <t xml:space="preserve">Renewal Serum</t>
        </is>
      </c>
      <c r="E996" s="6">
        <f>IF('Settings'!$B$11="Scenario",IFERROR(INDEX('Catalogue'!$E$3:$E$100,MATCH(C996,'Catalogue'!$B$3:$B$100,0)),F996),F996)</f>
        <v>69.9</v>
      </c>
      <c r="F996" s="8">
        <v>69.9</v>
      </c>
      <c r="G996" s="3">
        <v>1</v>
      </c>
      <c r="H996" s="6">
        <f>IF('Settings'!$B$11="Scenario",ROUND(E996*G996*IFERROR(SUMIF('Pricing &amp; promotions'!$A$6:$A$8,L996,'Pricing &amp; promotions'!$B$6:$B$8)/100,0),2),J996)</f>
        <v>0.0</v>
      </c>
      <c r="I996" s="6">
        <f>ROUND((E996*G996-H996)/IF(OR(K996=TRUE,K996="TRUE",K996="YES",K996=1),1+'Settings'!$B$6/100,1),2)</f>
        <v>57.77</v>
      </c>
      <c r="J996" s="8">
        <v>0.0</v>
      </c>
      <c r="K996" s="3" t="inlineStr">
        <is>
          <t xml:space="preserve">TRUE</t>
        </is>
      </c>
      <c r="L996" s="3"/>
      <c r="M996" s="6">
        <f>ROUND(E996*G996-H996,2)</f>
        <v>69.9</v>
      </c>
      <c r="N996" s="5">
        <f>IF(COUNTIF($A$3:A996,A996)=1,1,0)</f>
        <v>1</v>
      </c>
      <c r="O996" s="6">
        <f>IF(N996=1,ROUND((SUMIFS($M$3:$M$1200,$A$3:$A$1200,A996)+'Settings'!$B$13)*'Settings'!$B$14/100+'Settings'!$B$15,2),0)</f>
        <v>2.38</v>
      </c>
    </row>
    <row r="997">
      <c r="A997" s="3" t="inlineStr">
        <is>
          <t xml:space="preserve">#1731</t>
        </is>
      </c>
      <c r="B997" s="3" t="inlineStr">
        <is>
          <t xml:space="preserve">2026-09-05</t>
        </is>
      </c>
      <c r="C997" s="3" t="inlineStr">
        <is>
          <t xml:space="preserve">SKU-G</t>
        </is>
      </c>
      <c r="D997" s="3" t="inlineStr">
        <is>
          <t xml:space="preserve">Daily Reset Set</t>
        </is>
      </c>
      <c r="E997" s="6">
        <f>IF('Settings'!$B$11="Scenario",IFERROR(INDEX('Catalogue'!$E$3:$E$100,MATCH(C997,'Catalogue'!$B$3:$B$100,0)),F997),F997)</f>
        <v>69</v>
      </c>
      <c r="F997" s="8">
        <v>69</v>
      </c>
      <c r="G997" s="3">
        <v>1</v>
      </c>
      <c r="H997" s="6">
        <f>IF('Settings'!$B$11="Scenario",ROUND(E997*G997*IFERROR(SUMIF('Pricing &amp; promotions'!$A$6:$A$8,L997,'Pricing &amp; promotions'!$B$6:$B$8)/100,0),2),J997)</f>
        <v>0.0</v>
      </c>
      <c r="I997" s="6">
        <f>ROUND((E997*G997-H997)/IF(OR(K997=TRUE,K997="TRUE",K997="YES",K997=1),1+'Settings'!$B$6/100,1),2)</f>
        <v>57.02</v>
      </c>
      <c r="J997" s="8">
        <v>0.0</v>
      </c>
      <c r="K997" s="3" t="inlineStr">
        <is>
          <t xml:space="preserve">TRUE</t>
        </is>
      </c>
      <c r="L997" s="3"/>
      <c r="M997" s="6">
        <f>ROUND(E997*G997-H997,2)</f>
        <v>69.0</v>
      </c>
      <c r="N997" s="5">
        <f>IF(COUNTIF($A$3:A997,A997)=1,1,0)</f>
        <v>0</v>
      </c>
      <c r="O997" s="6">
        <f>IF(N997=1,ROUND((SUMIFS($M$3:$M$1200,$A$3:$A$1200,A997)+'Settings'!$B$13)*'Settings'!$B$14/100+'Settings'!$B$15,2),0)</f>
        <v>0</v>
      </c>
    </row>
    <row r="998">
      <c r="A998" s="3" t="inlineStr">
        <is>
          <t xml:space="preserve">#1732</t>
        </is>
      </c>
      <c r="B998" s="3" t="inlineStr">
        <is>
          <t xml:space="preserve">2026-09-06</t>
        </is>
      </c>
      <c r="C998" s="3" t="inlineStr">
        <is>
          <t xml:space="preserve">SKU-A</t>
        </is>
      </c>
      <c r="D998" s="3" t="inlineStr">
        <is>
          <t xml:space="preserve">Renewal Serum</t>
        </is>
      </c>
      <c r="E998" s="6">
        <f>IF('Settings'!$B$11="Scenario",IFERROR(INDEX('Catalogue'!$E$3:$E$100,MATCH(C998,'Catalogue'!$B$3:$B$100,0)),F998),F998)</f>
        <v>69.9</v>
      </c>
      <c r="F998" s="8">
        <v>69.9</v>
      </c>
      <c r="G998" s="3">
        <v>2</v>
      </c>
      <c r="H998" s="6">
        <f>IF('Settings'!$B$11="Scenario",ROUND(E998*G998*IFERROR(SUMIF('Pricing &amp; promotions'!$A$6:$A$8,L998,'Pricing &amp; promotions'!$B$6:$B$8)/100,0),2),J998)</f>
        <v>27.96</v>
      </c>
      <c r="I998" s="6">
        <f>ROUND((E998*G998-H998)/IF(OR(K998=TRUE,K998="TRUE",K998="YES",K998=1),1+'Settings'!$B$6/100,1),2)</f>
        <v>92.43</v>
      </c>
      <c r="J998" s="8">
        <v>27.96</v>
      </c>
      <c r="K998" s="3" t="inlineStr">
        <is>
          <t xml:space="preserve">TRUE</t>
        </is>
      </c>
      <c r="L998" s="3" t="inlineStr">
        <is>
          <t xml:space="preserve">VIP20</t>
        </is>
      </c>
      <c r="M998" s="6">
        <f>ROUND(E998*G998-H998,2)</f>
        <v>111.84</v>
      </c>
      <c r="N998" s="5">
        <f>IF(COUNTIF($A$3:A998,A998)=1,1,0)</f>
        <v>1</v>
      </c>
      <c r="O998" s="6">
        <f>IF(N998=1,ROUND((SUMIFS($M$3:$M$1200,$A$3:$A$1200,A998)+'Settings'!$B$13)*'Settings'!$B$14/100+'Settings'!$B$15,2),0)</f>
        <v>1.97</v>
      </c>
    </row>
    <row r="999">
      <c r="A999" s="3" t="inlineStr">
        <is>
          <t xml:space="preserve">#1733</t>
        </is>
      </c>
      <c r="B999" s="3" t="inlineStr">
        <is>
          <t xml:space="preserve">2026-09-06</t>
        </is>
      </c>
      <c r="C999" s="3" t="inlineStr">
        <is>
          <t xml:space="preserve">SKU-C</t>
        </is>
      </c>
      <c r="D999" s="3" t="inlineStr">
        <is>
          <t xml:space="preserve">Contour Stone</t>
        </is>
      </c>
      <c r="E999" s="6">
        <f>IF('Settings'!$B$11="Scenario",IFERROR(INDEX('Catalogue'!$E$3:$E$100,MATCH(C999,'Catalogue'!$B$3:$B$100,0)),F999),F999)</f>
        <v>29</v>
      </c>
      <c r="F999" s="8">
        <v>29</v>
      </c>
      <c r="G999" s="3">
        <v>1</v>
      </c>
      <c r="H999" s="6">
        <f>IF('Settings'!$B$11="Scenario",ROUND(E999*G999*IFERROR(SUMIF('Pricing &amp; promotions'!$A$6:$A$8,L999,'Pricing &amp; promotions'!$B$6:$B$8)/100,0),2),J999)</f>
        <v>0.0</v>
      </c>
      <c r="I999" s="6">
        <f>ROUND((E999*G999-H999)/IF(OR(K999=TRUE,K999="TRUE",K999="YES",K999=1),1+'Settings'!$B$6/100,1),2)</f>
        <v>23.97</v>
      </c>
      <c r="J999" s="8">
        <v>0.0</v>
      </c>
      <c r="K999" s="3" t="inlineStr">
        <is>
          <t xml:space="preserve">TRUE</t>
        </is>
      </c>
      <c r="L999" s="3"/>
      <c r="M999" s="6">
        <f>ROUND(E999*G999-H999,2)</f>
        <v>29.0</v>
      </c>
      <c r="N999" s="5">
        <f>IF(COUNTIF($A$3:A999,A999)=1,1,0)</f>
        <v>1</v>
      </c>
      <c r="O999" s="6">
        <f>IF(N999=1,ROUND((SUMIFS($M$3:$M$1200,$A$3:$A$1200,A999)+'Settings'!$B$13)*'Settings'!$B$14/100+'Settings'!$B$15,2),0)</f>
        <v>0.73</v>
      </c>
    </row>
    <row r="1000">
      <c r="A1000" s="3" t="inlineStr">
        <is>
          <t xml:space="preserve">#1734</t>
        </is>
      </c>
      <c r="B1000" s="3" t="inlineStr">
        <is>
          <t xml:space="preserve">2026-09-06</t>
        </is>
      </c>
      <c r="C1000" s="3" t="inlineStr">
        <is>
          <t xml:space="preserve">SKU-D</t>
        </is>
      </c>
      <c r="D1000" s="3" t="inlineStr">
        <is>
          <t xml:space="preserve">Daily Duo</t>
        </is>
      </c>
      <c r="E1000" s="6">
        <f>IF('Settings'!$B$11="Scenario",IFERROR(INDEX('Catalogue'!$E$3:$E$100,MATCH(C1000,'Catalogue'!$B$3:$B$100,0)),F1000),F1000)</f>
        <v>79</v>
      </c>
      <c r="F1000" s="8">
        <v>79</v>
      </c>
      <c r="G1000" s="3">
        <v>1</v>
      </c>
      <c r="H1000" s="6">
        <f>IF('Settings'!$B$11="Scenario",ROUND(E1000*G1000*IFERROR(SUMIF('Pricing &amp; promotions'!$A$6:$A$8,L1000,'Pricing &amp; promotions'!$B$6:$B$8)/100,0),2),J1000)</f>
        <v>0.0</v>
      </c>
      <c r="I1000" s="6">
        <f>ROUND((E1000*G1000-H1000)/IF(OR(K1000=TRUE,K1000="TRUE",K1000="YES",K1000=1),1+'Settings'!$B$6/100,1),2)</f>
        <v>65.29</v>
      </c>
      <c r="J1000" s="8">
        <v>0.0</v>
      </c>
      <c r="K1000" s="3" t="inlineStr">
        <is>
          <t xml:space="preserve">TRUE</t>
        </is>
      </c>
      <c r="L1000" s="3"/>
      <c r="M1000" s="6">
        <f>ROUND(E1000*G1000-H1000,2)</f>
        <v>79.0</v>
      </c>
      <c r="N1000" s="5">
        <f>IF(COUNTIF($A$3:A1000,A1000)=1,1,0)</f>
        <v>1</v>
      </c>
      <c r="O1000" s="6">
        <f>IF(N1000=1,ROUND((SUMIFS($M$3:$M$1200,$A$3:$A$1200,A1000)+'Settings'!$B$13)*'Settings'!$B$14/100+'Settings'!$B$15,2),0)</f>
        <v>1.48</v>
      </c>
    </row>
    <row r="1001">
      <c r="A1001" s="3" t="inlineStr">
        <is>
          <t xml:space="preserve">#1735</t>
        </is>
      </c>
      <c r="B1001" s="3" t="inlineStr">
        <is>
          <t xml:space="preserve">2026-09-07</t>
        </is>
      </c>
      <c r="C1001" s="3" t="inlineStr">
        <is>
          <t xml:space="preserve">SKU-A</t>
        </is>
      </c>
      <c r="D1001" s="3" t="inlineStr">
        <is>
          <t xml:space="preserve">Renewal Serum</t>
        </is>
      </c>
      <c r="E1001" s="6">
        <f>IF('Settings'!$B$11="Scenario",IFERROR(INDEX('Catalogue'!$E$3:$E$100,MATCH(C1001,'Catalogue'!$B$3:$B$100,0)),F1001),F1001)</f>
        <v>69.9</v>
      </c>
      <c r="F1001" s="8">
        <v>69.9</v>
      </c>
      <c r="G1001" s="3">
        <v>1</v>
      </c>
      <c r="H1001" s="6">
        <f>IF('Settings'!$B$11="Scenario",ROUND(E1001*G1001*IFERROR(SUMIF('Pricing &amp; promotions'!$A$6:$A$8,L1001,'Pricing &amp; promotions'!$B$6:$B$8)/100,0),2),J1001)</f>
        <v>0.0</v>
      </c>
      <c r="I1001" s="6">
        <f>ROUND((E1001*G1001-H1001)/IF(OR(K1001=TRUE,K1001="TRUE",K1001="YES",K1001=1),1+'Settings'!$B$6/100,1),2)</f>
        <v>57.77</v>
      </c>
      <c r="J1001" s="8">
        <v>0.0</v>
      </c>
      <c r="K1001" s="3" t="inlineStr">
        <is>
          <t xml:space="preserve">TRUE</t>
        </is>
      </c>
      <c r="L1001" s="3"/>
      <c r="M1001" s="6">
        <f>ROUND(E1001*G1001-H1001,2)</f>
        <v>69.9</v>
      </c>
      <c r="N1001" s="5">
        <f>IF(COUNTIF($A$3:A1001,A1001)=1,1,0)</f>
        <v>1</v>
      </c>
      <c r="O1001" s="6">
        <f>IF(N1001=1,ROUND((SUMIFS($M$3:$M$1200,$A$3:$A$1200,A1001)+'Settings'!$B$13)*'Settings'!$B$14/100+'Settings'!$B$15,2),0)</f>
        <v>1.34</v>
      </c>
    </row>
    <row r="1002">
      <c r="A1002" s="3" t="inlineStr">
        <is>
          <t xml:space="preserve">#1736</t>
        </is>
      </c>
      <c r="B1002" s="3" t="inlineStr">
        <is>
          <t xml:space="preserve">2026-09-07</t>
        </is>
      </c>
      <c r="C1002" s="3" t="inlineStr">
        <is>
          <t xml:space="preserve">SKU-A</t>
        </is>
      </c>
      <c r="D1002" s="3" t="inlineStr">
        <is>
          <t xml:space="preserve">Renewal Serum</t>
        </is>
      </c>
      <c r="E1002" s="6">
        <f>IF('Settings'!$B$11="Scenario",IFERROR(INDEX('Catalogue'!$E$3:$E$100,MATCH(C1002,'Catalogue'!$B$3:$B$100,0)),F1002),F1002)</f>
        <v>69.9</v>
      </c>
      <c r="F1002" s="8">
        <v>69.9</v>
      </c>
      <c r="G1002" s="3">
        <v>1</v>
      </c>
      <c r="H1002" s="6">
        <f>IF('Settings'!$B$11="Scenario",ROUND(E1002*G1002*IFERROR(SUMIF('Pricing &amp; promotions'!$A$6:$A$8,L1002,'Pricing &amp; promotions'!$B$6:$B$8)/100,0),2),J1002)</f>
        <v>10.49</v>
      </c>
      <c r="I1002" s="6">
        <f>ROUND((E1002*G1002-H1002)/IF(OR(K1002=TRUE,K1002="TRUE",K1002="YES",K1002=1),1+'Settings'!$B$6/100,1),2)</f>
        <v>49.1</v>
      </c>
      <c r="J1002" s="8">
        <v>10.49</v>
      </c>
      <c r="K1002" s="3" t="inlineStr">
        <is>
          <t xml:space="preserve">TRUE</t>
        </is>
      </c>
      <c r="L1002" s="3" t="inlineStr">
        <is>
          <t xml:space="preserve">SUMMER15</t>
        </is>
      </c>
      <c r="M1002" s="6">
        <f>ROUND(E1002*G1002-H1002,2)</f>
        <v>59.41</v>
      </c>
      <c r="N1002" s="5">
        <f>IF(COUNTIF($A$3:A1002,A1002)=1,1,0)</f>
        <v>1</v>
      </c>
      <c r="O1002" s="6">
        <f>IF(N1002=1,ROUND((SUMIFS($M$3:$M$1200,$A$3:$A$1200,A1002)+'Settings'!$B$13)*'Settings'!$B$14/100+'Settings'!$B$15,2),0)</f>
        <v>1.19</v>
      </c>
    </row>
    <row r="1003">
      <c r="A1003" s="3" t="inlineStr">
        <is>
          <t xml:space="preserve">#1737</t>
        </is>
      </c>
      <c r="B1003" s="3" t="inlineStr">
        <is>
          <t xml:space="preserve">2026-09-08</t>
        </is>
      </c>
      <c r="C1003" s="3" t="inlineStr">
        <is>
          <t xml:space="preserve">SKU-F</t>
        </is>
      </c>
      <c r="D1003" s="3" t="inlineStr">
        <is>
          <t xml:space="preserve">Cloud Cleanser</t>
        </is>
      </c>
      <c r="E1003" s="6">
        <f>IF('Settings'!$B$11="Scenario",IFERROR(INDEX('Catalogue'!$E$3:$E$100,MATCH(C1003,'Catalogue'!$B$3:$B$100,0)),F1003),F1003)</f>
        <v>34</v>
      </c>
      <c r="F1003" s="8">
        <v>34</v>
      </c>
      <c r="G1003" s="3">
        <v>1</v>
      </c>
      <c r="H1003" s="6">
        <f>IF('Settings'!$B$11="Scenario",ROUND(E1003*G1003*IFERROR(SUMIF('Pricing &amp; promotions'!$A$6:$A$8,L1003,'Pricing &amp; promotions'!$B$6:$B$8)/100,0),2),J1003)</f>
        <v>0.0</v>
      </c>
      <c r="I1003" s="6">
        <f>ROUND((E1003*G1003-H1003)/IF(OR(K1003=TRUE,K1003="TRUE",K1003="YES",K1003=1),1+'Settings'!$B$6/100,1),2)</f>
        <v>28.1</v>
      </c>
      <c r="J1003" s="8">
        <v>0.0</v>
      </c>
      <c r="K1003" s="3" t="inlineStr">
        <is>
          <t xml:space="preserve">TRUE</t>
        </is>
      </c>
      <c r="L1003" s="3"/>
      <c r="M1003" s="6">
        <f>ROUND(E1003*G1003-H1003,2)</f>
        <v>34.0</v>
      </c>
      <c r="N1003" s="5">
        <f>IF(COUNTIF($A$3:A1003,A1003)=1,1,0)</f>
        <v>1</v>
      </c>
      <c r="O1003" s="6">
        <f>IF(N1003=1,ROUND((SUMIFS($M$3:$M$1200,$A$3:$A$1200,A1003)+'Settings'!$B$13)*'Settings'!$B$14/100+'Settings'!$B$15,2),0)</f>
        <v>0.8</v>
      </c>
    </row>
    <row r="1004">
      <c r="A1004" s="3" t="inlineStr">
        <is>
          <t xml:space="preserve">#1738</t>
        </is>
      </c>
      <c r="B1004" s="3" t="inlineStr">
        <is>
          <t xml:space="preserve">2026-09-08</t>
        </is>
      </c>
      <c r="C1004" s="3" t="inlineStr">
        <is>
          <t xml:space="preserve">SKU-D</t>
        </is>
      </c>
      <c r="D1004" s="3" t="inlineStr">
        <is>
          <t xml:space="preserve">Daily Duo</t>
        </is>
      </c>
      <c r="E1004" s="6">
        <f>IF('Settings'!$B$11="Scenario",IFERROR(INDEX('Catalogue'!$E$3:$E$100,MATCH(C1004,'Catalogue'!$B$3:$B$100,0)),F1004),F1004)</f>
        <v>79</v>
      </c>
      <c r="F1004" s="8">
        <v>79</v>
      </c>
      <c r="G1004" s="3">
        <v>1</v>
      </c>
      <c r="H1004" s="6">
        <f>IF('Settings'!$B$11="Scenario",ROUND(E1004*G1004*IFERROR(SUMIF('Pricing &amp; promotions'!$A$6:$A$8,L1004,'Pricing &amp; promotions'!$B$6:$B$8)/100,0),2),J1004)</f>
        <v>0.0</v>
      </c>
      <c r="I1004" s="6">
        <f>ROUND((E1004*G1004-H1004)/IF(OR(K1004=TRUE,K1004="TRUE",K1004="YES",K1004=1),1+'Settings'!$B$6/100,1),2)</f>
        <v>65.29</v>
      </c>
      <c r="J1004" s="8">
        <v>0.0</v>
      </c>
      <c r="K1004" s="3" t="inlineStr">
        <is>
          <t xml:space="preserve">TRUE</t>
        </is>
      </c>
      <c r="L1004" s="3"/>
      <c r="M1004" s="6">
        <f>ROUND(E1004*G1004-H1004,2)</f>
        <v>79.0</v>
      </c>
      <c r="N1004" s="5">
        <f>IF(COUNTIF($A$3:A1004,A1004)=1,1,0)</f>
        <v>1</v>
      </c>
      <c r="O1004" s="6">
        <f>IF(N1004=1,ROUND((SUMIFS($M$3:$M$1200,$A$3:$A$1200,A1004)+'Settings'!$B$13)*'Settings'!$B$14/100+'Settings'!$B$15,2),0)</f>
        <v>3.56</v>
      </c>
    </row>
    <row r="1005">
      <c r="A1005" s="3" t="inlineStr">
        <is>
          <t xml:space="preserve">#1738</t>
        </is>
      </c>
      <c r="B1005" s="3" t="inlineStr">
        <is>
          <t xml:space="preserve">2026-09-08</t>
        </is>
      </c>
      <c r="C1005" s="3" t="inlineStr">
        <is>
          <t xml:space="preserve">SKU-G</t>
        </is>
      </c>
      <c r="D1005" s="3" t="inlineStr">
        <is>
          <t xml:space="preserve">Daily Reset Set</t>
        </is>
      </c>
      <c r="E1005" s="6">
        <f>IF('Settings'!$B$11="Scenario",IFERROR(INDEX('Catalogue'!$E$3:$E$100,MATCH(C1005,'Catalogue'!$B$3:$B$100,0)),F1005),F1005)</f>
        <v>69</v>
      </c>
      <c r="F1005" s="8">
        <v>69</v>
      </c>
      <c r="G1005" s="3">
        <v>1</v>
      </c>
      <c r="H1005" s="6">
        <f>IF('Settings'!$B$11="Scenario",ROUND(E1005*G1005*IFERROR(SUMIF('Pricing &amp; promotions'!$A$6:$A$8,L1005,'Pricing &amp; promotions'!$B$6:$B$8)/100,0),2),J1005)</f>
        <v>0.0</v>
      </c>
      <c r="I1005" s="6">
        <f>ROUND((E1005*G1005-H1005)/IF(OR(K1005=TRUE,K1005="TRUE",K1005="YES",K1005=1),1+'Settings'!$B$6/100,1),2)</f>
        <v>57.02</v>
      </c>
      <c r="J1005" s="8">
        <v>0.0</v>
      </c>
      <c r="K1005" s="3" t="inlineStr">
        <is>
          <t xml:space="preserve">TRUE</t>
        </is>
      </c>
      <c r="L1005" s="3"/>
      <c r="M1005" s="6">
        <f>ROUND(E1005*G1005-H1005,2)</f>
        <v>69.0</v>
      </c>
      <c r="N1005" s="5">
        <f>IF(COUNTIF($A$3:A1005,A1005)=1,1,0)</f>
        <v>0</v>
      </c>
      <c r="O1005" s="6">
        <f>IF(N1005=1,ROUND((SUMIFS($M$3:$M$1200,$A$3:$A$1200,A1005)+'Settings'!$B$13)*'Settings'!$B$14/100+'Settings'!$B$15,2),0)</f>
        <v>0</v>
      </c>
    </row>
    <row r="1006">
      <c r="A1006" s="3" t="inlineStr">
        <is>
          <t xml:space="preserve">#1738</t>
        </is>
      </c>
      <c r="B1006" s="3" t="inlineStr">
        <is>
          <t xml:space="preserve">2026-09-08</t>
        </is>
      </c>
      <c r="C1006" s="3" t="inlineStr">
        <is>
          <t xml:space="preserve">SKU-A</t>
        </is>
      </c>
      <c r="D1006" s="3" t="inlineStr">
        <is>
          <t xml:space="preserve">Renewal Serum</t>
        </is>
      </c>
      <c r="E1006" s="6">
        <f>IF('Settings'!$B$11="Scenario",IFERROR(INDEX('Catalogue'!$E$3:$E$100,MATCH(C1006,'Catalogue'!$B$3:$B$100,0)),F1006),F1006)</f>
        <v>69.9</v>
      </c>
      <c r="F1006" s="8">
        <v>69.9</v>
      </c>
      <c r="G1006" s="3">
        <v>1</v>
      </c>
      <c r="H1006" s="6">
        <f>IF('Settings'!$B$11="Scenario",ROUND(E1006*G1006*IFERROR(SUMIF('Pricing &amp; promotions'!$A$6:$A$8,L1006,'Pricing &amp; promotions'!$B$6:$B$8)/100,0),2),J1006)</f>
        <v>0.0</v>
      </c>
      <c r="I1006" s="6">
        <f>ROUND((E1006*G1006-H1006)/IF(OR(K1006=TRUE,K1006="TRUE",K1006="YES",K1006=1),1+'Settings'!$B$6/100,1),2)</f>
        <v>57.77</v>
      </c>
      <c r="J1006" s="8">
        <v>0.0</v>
      </c>
      <c r="K1006" s="3" t="inlineStr">
        <is>
          <t xml:space="preserve">TRUE</t>
        </is>
      </c>
      <c r="L1006" s="3"/>
      <c r="M1006" s="6">
        <f>ROUND(E1006*G1006-H1006,2)</f>
        <v>69.9</v>
      </c>
      <c r="N1006" s="5">
        <f>IF(COUNTIF($A$3:A1006,A1006)=1,1,0)</f>
        <v>0</v>
      </c>
      <c r="O1006" s="6">
        <f>IF(N1006=1,ROUND((SUMIFS($M$3:$M$1200,$A$3:$A$1200,A1006)+'Settings'!$B$13)*'Settings'!$B$14/100+'Settings'!$B$15,2),0)</f>
        <v>0</v>
      </c>
    </row>
    <row r="1007">
      <c r="A1007" s="3" t="inlineStr">
        <is>
          <t xml:space="preserve">#1739</t>
        </is>
      </c>
      <c r="B1007" s="3" t="inlineStr">
        <is>
          <t xml:space="preserve">2026-09-09</t>
        </is>
      </c>
      <c r="C1007" s="3" t="inlineStr">
        <is>
          <t xml:space="preserve">SKU-E</t>
        </is>
      </c>
      <c r="D1007" s="3" t="inlineStr">
        <is>
          <t xml:space="preserve">Complete Ritual</t>
        </is>
      </c>
      <c r="E1007" s="6">
        <f>IF('Settings'!$B$11="Scenario",IFERROR(INDEX('Catalogue'!$E$3:$E$100,MATCH(C1007,'Catalogue'!$B$3:$B$100,0)),F1007),F1007)</f>
        <v>89</v>
      </c>
      <c r="F1007" s="8">
        <v>89</v>
      </c>
      <c r="G1007" s="3">
        <v>1</v>
      </c>
      <c r="H1007" s="6">
        <f>IF('Settings'!$B$11="Scenario",ROUND(E1007*G1007*IFERROR(SUMIF('Pricing &amp; promotions'!$A$6:$A$8,L1007,'Pricing &amp; promotions'!$B$6:$B$8)/100,0),2),J1007)</f>
        <v>0.0</v>
      </c>
      <c r="I1007" s="6">
        <f>ROUND((E1007*G1007-H1007)/IF(OR(K1007=TRUE,K1007="TRUE",K1007="YES",K1007=1),1+'Settings'!$B$6/100,1),2)</f>
        <v>73.55</v>
      </c>
      <c r="J1007" s="8">
        <v>0.0</v>
      </c>
      <c r="K1007" s="3" t="inlineStr">
        <is>
          <t xml:space="preserve">TRUE</t>
        </is>
      </c>
      <c r="L1007" s="3"/>
      <c r="M1007" s="6">
        <f>ROUND(E1007*G1007-H1007,2)</f>
        <v>89.0</v>
      </c>
      <c r="N1007" s="5">
        <f>IF(COUNTIF($A$3:A1007,A1007)=1,1,0)</f>
        <v>1</v>
      </c>
      <c r="O1007" s="6">
        <f>IF(N1007=1,ROUND((SUMIFS($M$3:$M$1200,$A$3:$A$1200,A1007)+'Settings'!$B$13)*'Settings'!$B$14/100+'Settings'!$B$15,2),0)</f>
        <v>2.06</v>
      </c>
    </row>
    <row r="1008">
      <c r="A1008" s="3" t="inlineStr">
        <is>
          <t xml:space="preserve">#1739</t>
        </is>
      </c>
      <c r="B1008" s="3" t="inlineStr">
        <is>
          <t xml:space="preserve">2026-09-09</t>
        </is>
      </c>
      <c r="C1008" s="3" t="inlineStr">
        <is>
          <t xml:space="preserve">SKU-C</t>
        </is>
      </c>
      <c r="D1008" s="3" t="inlineStr">
        <is>
          <t xml:space="preserve">Contour Stone</t>
        </is>
      </c>
      <c r="E1008" s="6">
        <f>IF('Settings'!$B$11="Scenario",IFERROR(INDEX('Catalogue'!$E$3:$E$100,MATCH(C1008,'Catalogue'!$B$3:$B$100,0)),F1008),F1008)</f>
        <v>29</v>
      </c>
      <c r="F1008" s="8">
        <v>29</v>
      </c>
      <c r="G1008" s="3">
        <v>1</v>
      </c>
      <c r="H1008" s="6">
        <f>IF('Settings'!$B$11="Scenario",ROUND(E1008*G1008*IFERROR(SUMIF('Pricing &amp; promotions'!$A$6:$A$8,L1008,'Pricing &amp; promotions'!$B$6:$B$8)/100,0),2),J1008)</f>
        <v>0.0</v>
      </c>
      <c r="I1008" s="6">
        <f>ROUND((E1008*G1008-H1008)/IF(OR(K1008=TRUE,K1008="TRUE",K1008="YES",K1008=1),1+'Settings'!$B$6/100,1),2)</f>
        <v>23.97</v>
      </c>
      <c r="J1008" s="8">
        <v>0.0</v>
      </c>
      <c r="K1008" s="3" t="inlineStr">
        <is>
          <t xml:space="preserve">TRUE</t>
        </is>
      </c>
      <c r="L1008" s="3"/>
      <c r="M1008" s="6">
        <f>ROUND(E1008*G1008-H1008,2)</f>
        <v>29.0</v>
      </c>
      <c r="N1008" s="5">
        <f>IF(COUNTIF($A$3:A1008,A1008)=1,1,0)</f>
        <v>0</v>
      </c>
      <c r="O1008" s="6">
        <f>IF(N1008=1,ROUND((SUMIFS($M$3:$M$1200,$A$3:$A$1200,A1008)+'Settings'!$B$13)*'Settings'!$B$14/100+'Settings'!$B$15,2),0)</f>
        <v>0</v>
      </c>
    </row>
    <row r="1009">
      <c r="A1009" s="3" t="inlineStr">
        <is>
          <t xml:space="preserve">#1740</t>
        </is>
      </c>
      <c r="B1009" s="3" t="inlineStr">
        <is>
          <t xml:space="preserve">2026-09-09</t>
        </is>
      </c>
      <c r="C1009" s="3" t="inlineStr">
        <is>
          <t xml:space="preserve">SKU-A</t>
        </is>
      </c>
      <c r="D1009" s="3" t="inlineStr">
        <is>
          <t xml:space="preserve">Renewal Serum</t>
        </is>
      </c>
      <c r="E1009" s="6">
        <f>IF('Settings'!$B$11="Scenario",IFERROR(INDEX('Catalogue'!$E$3:$E$100,MATCH(C1009,'Catalogue'!$B$3:$B$100,0)),F1009),F1009)</f>
        <v>69.9</v>
      </c>
      <c r="F1009" s="8">
        <v>69.9</v>
      </c>
      <c r="G1009" s="3">
        <v>1</v>
      </c>
      <c r="H1009" s="6">
        <f>IF('Settings'!$B$11="Scenario",ROUND(E1009*G1009*IFERROR(SUMIF('Pricing &amp; promotions'!$A$6:$A$8,L1009,'Pricing &amp; promotions'!$B$6:$B$8)/100,0),2),J1009)</f>
        <v>10.49</v>
      </c>
      <c r="I1009" s="6">
        <f>ROUND((E1009*G1009-H1009)/IF(OR(K1009=TRUE,K1009="TRUE",K1009="YES",K1009=1),1+'Settings'!$B$6/100,1),2)</f>
        <v>49.1</v>
      </c>
      <c r="J1009" s="8">
        <v>10.49</v>
      </c>
      <c r="K1009" s="3" t="inlineStr">
        <is>
          <t xml:space="preserve">TRUE</t>
        </is>
      </c>
      <c r="L1009" s="3" t="inlineStr">
        <is>
          <t xml:space="preserve">SUMMER15</t>
        </is>
      </c>
      <c r="M1009" s="6">
        <f>ROUND(E1009*G1009-H1009,2)</f>
        <v>59.41</v>
      </c>
      <c r="N1009" s="5">
        <f>IF(COUNTIF($A$3:A1009,A1009)=1,1,0)</f>
        <v>1</v>
      </c>
      <c r="O1009" s="6">
        <f>IF(N1009=1,ROUND((SUMIFS($M$3:$M$1200,$A$3:$A$1200,A1009)+'Settings'!$B$13)*'Settings'!$B$14/100+'Settings'!$B$15,2),0)</f>
        <v>1.19</v>
      </c>
    </row>
    <row r="1010">
      <c r="A1010" s="3" t="inlineStr">
        <is>
          <t xml:space="preserve">#1741</t>
        </is>
      </c>
      <c r="B1010" s="3" t="inlineStr">
        <is>
          <t xml:space="preserve">2026-09-09</t>
        </is>
      </c>
      <c r="C1010" s="3" t="inlineStr">
        <is>
          <t xml:space="preserve">SKU-E</t>
        </is>
      </c>
      <c r="D1010" s="3" t="inlineStr">
        <is>
          <t xml:space="preserve">Complete Ritual</t>
        </is>
      </c>
      <c r="E1010" s="6">
        <f>IF('Settings'!$B$11="Scenario",IFERROR(INDEX('Catalogue'!$E$3:$E$100,MATCH(C1010,'Catalogue'!$B$3:$B$100,0)),F1010),F1010)</f>
        <v>89</v>
      </c>
      <c r="F1010" s="8">
        <v>89</v>
      </c>
      <c r="G1010" s="3">
        <v>1</v>
      </c>
      <c r="H1010" s="6">
        <f>IF('Settings'!$B$11="Scenario",ROUND(E1010*G1010*IFERROR(SUMIF('Pricing &amp; promotions'!$A$6:$A$8,L1010,'Pricing &amp; promotions'!$B$6:$B$8)/100,0),2),J1010)</f>
        <v>0.0</v>
      </c>
      <c r="I1010" s="6">
        <f>ROUND((E1010*G1010-H1010)/IF(OR(K1010=TRUE,K1010="TRUE",K1010="YES",K1010=1),1+'Settings'!$B$6/100,1),2)</f>
        <v>73.55</v>
      </c>
      <c r="J1010" s="8">
        <v>0.0</v>
      </c>
      <c r="K1010" s="3" t="inlineStr">
        <is>
          <t xml:space="preserve">TRUE</t>
        </is>
      </c>
      <c r="L1010" s="3"/>
      <c r="M1010" s="6">
        <f>ROUND(E1010*G1010-H1010,2)</f>
        <v>89.0</v>
      </c>
      <c r="N1010" s="5">
        <f>IF(COUNTIF($A$3:A1010,A1010)=1,1,0)</f>
        <v>1</v>
      </c>
      <c r="O1010" s="6">
        <f>IF(N1010=1,ROUND((SUMIFS($M$3:$M$1200,$A$3:$A$1200,A1010)+'Settings'!$B$13)*'Settings'!$B$14/100+'Settings'!$B$15,2),0)</f>
        <v>1.63</v>
      </c>
    </row>
    <row r="1011">
      <c r="A1011" s="3" t="inlineStr">
        <is>
          <t xml:space="preserve">#1742</t>
        </is>
      </c>
      <c r="B1011" s="3" t="inlineStr">
        <is>
          <t xml:space="preserve">2026-09-09</t>
        </is>
      </c>
      <c r="C1011" s="3" t="inlineStr">
        <is>
          <t xml:space="preserve">SKU-F</t>
        </is>
      </c>
      <c r="D1011" s="3" t="inlineStr">
        <is>
          <t xml:space="preserve">Cloud Cleanser</t>
        </is>
      </c>
      <c r="E1011" s="6">
        <f>IF('Settings'!$B$11="Scenario",IFERROR(INDEX('Catalogue'!$E$3:$E$100,MATCH(C1011,'Catalogue'!$B$3:$B$100,0)),F1011),F1011)</f>
        <v>34</v>
      </c>
      <c r="F1011" s="8">
        <v>34</v>
      </c>
      <c r="G1011" s="3">
        <v>1</v>
      </c>
      <c r="H1011" s="6">
        <f>IF('Settings'!$B$11="Scenario",ROUND(E1011*G1011*IFERROR(SUMIF('Pricing &amp; promotions'!$A$6:$A$8,L1011,'Pricing &amp; promotions'!$B$6:$B$8)/100,0),2),J1011)</f>
        <v>3.4</v>
      </c>
      <c r="I1011" s="6">
        <f>ROUND((E1011*G1011-H1011)/IF(OR(K1011=TRUE,K1011="TRUE",K1011="YES",K1011=1),1+'Settings'!$B$6/100,1),2)</f>
        <v>25.29</v>
      </c>
      <c r="J1011" s="8">
        <v>3.4</v>
      </c>
      <c r="K1011" s="3" t="inlineStr">
        <is>
          <t xml:space="preserve">TRUE</t>
        </is>
      </c>
      <c r="L1011" s="3" t="inlineStr">
        <is>
          <t xml:space="preserve">WELCOME10</t>
        </is>
      </c>
      <c r="M1011" s="6">
        <f>ROUND(E1011*G1011-H1011,2)</f>
        <v>30.6</v>
      </c>
      <c r="N1011" s="5">
        <f>IF(COUNTIF($A$3:A1011,A1011)=1,1,0)</f>
        <v>1</v>
      </c>
      <c r="O1011" s="6">
        <f>IF(N1011=1,ROUND((SUMIFS($M$3:$M$1200,$A$3:$A$1200,A1011)+'Settings'!$B$13)*'Settings'!$B$14/100+'Settings'!$B$15,2),0)</f>
        <v>0.75</v>
      </c>
    </row>
    <row r="1012">
      <c r="A1012" s="3" t="inlineStr">
        <is>
          <t xml:space="preserve">#1743</t>
        </is>
      </c>
      <c r="B1012" s="3" t="inlineStr">
        <is>
          <t xml:space="preserve">2026-09-10</t>
        </is>
      </c>
      <c r="C1012" s="3" t="inlineStr">
        <is>
          <t xml:space="preserve">SKU-A</t>
        </is>
      </c>
      <c r="D1012" s="3" t="inlineStr">
        <is>
          <t xml:space="preserve">Renewal Serum</t>
        </is>
      </c>
      <c r="E1012" s="6">
        <f>IF('Settings'!$B$11="Scenario",IFERROR(INDEX('Catalogue'!$E$3:$E$100,MATCH(C1012,'Catalogue'!$B$3:$B$100,0)),F1012),F1012)</f>
        <v>69.9</v>
      </c>
      <c r="F1012" s="8">
        <v>69.9</v>
      </c>
      <c r="G1012" s="3">
        <v>1</v>
      </c>
      <c r="H1012" s="6">
        <f>IF('Settings'!$B$11="Scenario",ROUND(E1012*G1012*IFERROR(SUMIF('Pricing &amp; promotions'!$A$6:$A$8,L1012,'Pricing &amp; promotions'!$B$6:$B$8)/100,0),2),J1012)</f>
        <v>6.99</v>
      </c>
      <c r="I1012" s="6">
        <f>ROUND((E1012*G1012-H1012)/IF(OR(K1012=TRUE,K1012="TRUE",K1012="YES",K1012=1),1+'Settings'!$B$6/100,1),2)</f>
        <v>51.99</v>
      </c>
      <c r="J1012" s="8">
        <v>6.99</v>
      </c>
      <c r="K1012" s="3" t="inlineStr">
        <is>
          <t xml:space="preserve">TRUE</t>
        </is>
      </c>
      <c r="L1012" s="3" t="inlineStr">
        <is>
          <t xml:space="preserve">WELCOME10</t>
        </is>
      </c>
      <c r="M1012" s="6">
        <f>ROUND(E1012*G1012-H1012,2)</f>
        <v>62.91</v>
      </c>
      <c r="N1012" s="5">
        <f>IF(COUNTIF($A$3:A1012,A1012)=1,1,0)</f>
        <v>1</v>
      </c>
      <c r="O1012" s="6">
        <f>IF(N1012=1,ROUND((SUMIFS($M$3:$M$1200,$A$3:$A$1200,A1012)+'Settings'!$B$13)*'Settings'!$B$14/100+'Settings'!$B$15,2),0)</f>
        <v>1.24</v>
      </c>
    </row>
    <row r="1013">
      <c r="A1013" s="3" t="inlineStr">
        <is>
          <t xml:space="preserve">#1744</t>
        </is>
      </c>
      <c r="B1013" s="3" t="inlineStr">
        <is>
          <t xml:space="preserve">2026-09-11</t>
        </is>
      </c>
      <c r="C1013" s="3" t="inlineStr">
        <is>
          <t xml:space="preserve">SKU-F</t>
        </is>
      </c>
      <c r="D1013" s="3" t="inlineStr">
        <is>
          <t xml:space="preserve">Cloud Cleanser</t>
        </is>
      </c>
      <c r="E1013" s="6">
        <f>IF('Settings'!$B$11="Scenario",IFERROR(INDEX('Catalogue'!$E$3:$E$100,MATCH(C1013,'Catalogue'!$B$3:$B$100,0)),F1013),F1013)</f>
        <v>34</v>
      </c>
      <c r="F1013" s="8">
        <v>34</v>
      </c>
      <c r="G1013" s="3">
        <v>1</v>
      </c>
      <c r="H1013" s="6">
        <f>IF('Settings'!$B$11="Scenario",ROUND(E1013*G1013*IFERROR(SUMIF('Pricing &amp; promotions'!$A$6:$A$8,L1013,'Pricing &amp; promotions'!$B$6:$B$8)/100,0),2),J1013)</f>
        <v>0.0</v>
      </c>
      <c r="I1013" s="6">
        <f>ROUND((E1013*G1013-H1013)/IF(OR(K1013=TRUE,K1013="TRUE",K1013="YES",K1013=1),1+'Settings'!$B$6/100,1),2)</f>
        <v>28.1</v>
      </c>
      <c r="J1013" s="8">
        <v>0.0</v>
      </c>
      <c r="K1013" s="3" t="inlineStr">
        <is>
          <t xml:space="preserve">TRUE</t>
        </is>
      </c>
      <c r="L1013" s="3"/>
      <c r="M1013" s="6">
        <f>ROUND(E1013*G1013-H1013,2)</f>
        <v>34.0</v>
      </c>
      <c r="N1013" s="5">
        <f>IF(COUNTIF($A$3:A1013,A1013)=1,1,0)</f>
        <v>1</v>
      </c>
      <c r="O1013" s="6">
        <f>IF(N1013=1,ROUND((SUMIFS($M$3:$M$1200,$A$3:$A$1200,A1013)+'Settings'!$B$13)*'Settings'!$B$14/100+'Settings'!$B$15,2),0)</f>
        <v>0.8</v>
      </c>
    </row>
    <row r="1014">
      <c r="A1014" s="3" t="inlineStr">
        <is>
          <t xml:space="preserve">#1745</t>
        </is>
      </c>
      <c r="B1014" s="3" t="inlineStr">
        <is>
          <t xml:space="preserve">2026-09-12</t>
        </is>
      </c>
      <c r="C1014" s="3" t="inlineStr">
        <is>
          <t xml:space="preserve">SKU-D</t>
        </is>
      </c>
      <c r="D1014" s="3" t="inlineStr">
        <is>
          <t xml:space="preserve">Daily Duo</t>
        </is>
      </c>
      <c r="E1014" s="6">
        <f>IF('Settings'!$B$11="Scenario",IFERROR(INDEX('Catalogue'!$E$3:$E$100,MATCH(C1014,'Catalogue'!$B$3:$B$100,0)),F1014),F1014)</f>
        <v>79</v>
      </c>
      <c r="F1014" s="8">
        <v>79</v>
      </c>
      <c r="G1014" s="3">
        <v>1</v>
      </c>
      <c r="H1014" s="6">
        <f>IF('Settings'!$B$11="Scenario",ROUND(E1014*G1014*IFERROR(SUMIF('Pricing &amp; promotions'!$A$6:$A$8,L1014,'Pricing &amp; promotions'!$B$6:$B$8)/100,0),2),J1014)</f>
        <v>0.0</v>
      </c>
      <c r="I1014" s="6">
        <f>ROUND((E1014*G1014-H1014)/IF(OR(K1014=TRUE,K1014="TRUE",K1014="YES",K1014=1),1+'Settings'!$B$6/100,1),2)</f>
        <v>65.29</v>
      </c>
      <c r="J1014" s="8">
        <v>0.0</v>
      </c>
      <c r="K1014" s="3" t="inlineStr">
        <is>
          <t xml:space="preserve">TRUE</t>
        </is>
      </c>
      <c r="L1014" s="3"/>
      <c r="M1014" s="6">
        <f>ROUND(E1014*G1014-H1014,2)</f>
        <v>79.0</v>
      </c>
      <c r="N1014" s="5">
        <f>IF(COUNTIF($A$3:A1014,A1014)=1,1,0)</f>
        <v>1</v>
      </c>
      <c r="O1014" s="6">
        <f>IF(N1014=1,ROUND((SUMIFS($M$3:$M$1200,$A$3:$A$1200,A1014)+'Settings'!$B$13)*'Settings'!$B$14/100+'Settings'!$B$15,2),0)</f>
        <v>2.51</v>
      </c>
    </row>
    <row r="1015">
      <c r="A1015" s="3" t="inlineStr">
        <is>
          <t xml:space="preserve">#1745</t>
        </is>
      </c>
      <c r="B1015" s="3" t="inlineStr">
        <is>
          <t xml:space="preserve">2026-09-12</t>
        </is>
      </c>
      <c r="C1015" s="3" t="inlineStr">
        <is>
          <t xml:space="preserve">SKU-G</t>
        </is>
      </c>
      <c r="D1015" s="3" t="inlineStr">
        <is>
          <t xml:space="preserve">Daily Reset Set</t>
        </is>
      </c>
      <c r="E1015" s="6">
        <f>IF('Settings'!$B$11="Scenario",IFERROR(INDEX('Catalogue'!$E$3:$E$100,MATCH(C1015,'Catalogue'!$B$3:$B$100,0)),F1015),F1015)</f>
        <v>69</v>
      </c>
      <c r="F1015" s="8">
        <v>69</v>
      </c>
      <c r="G1015" s="3">
        <v>1</v>
      </c>
      <c r="H1015" s="6">
        <f>IF('Settings'!$B$11="Scenario",ROUND(E1015*G1015*IFERROR(SUMIF('Pricing &amp; promotions'!$A$6:$A$8,L1015,'Pricing &amp; promotions'!$B$6:$B$8)/100,0),2),J1015)</f>
        <v>0.0</v>
      </c>
      <c r="I1015" s="6">
        <f>ROUND((E1015*G1015-H1015)/IF(OR(K1015=TRUE,K1015="TRUE",K1015="YES",K1015=1),1+'Settings'!$B$6/100,1),2)</f>
        <v>57.02</v>
      </c>
      <c r="J1015" s="8">
        <v>0.0</v>
      </c>
      <c r="K1015" s="3" t="inlineStr">
        <is>
          <t xml:space="preserve">TRUE</t>
        </is>
      </c>
      <c r="L1015" s="3"/>
      <c r="M1015" s="6">
        <f>ROUND(E1015*G1015-H1015,2)</f>
        <v>69.0</v>
      </c>
      <c r="N1015" s="5">
        <f>IF(COUNTIF($A$3:A1015,A1015)=1,1,0)</f>
        <v>0</v>
      </c>
      <c r="O1015" s="6">
        <f>IF(N1015=1,ROUND((SUMIFS($M$3:$M$1200,$A$3:$A$1200,A1015)+'Settings'!$B$13)*'Settings'!$B$14/100+'Settings'!$B$15,2),0)</f>
        <v>0</v>
      </c>
    </row>
    <row r="1016">
      <c r="A1016" s="3" t="inlineStr">
        <is>
          <t xml:space="preserve">#1746</t>
        </is>
      </c>
      <c r="B1016" s="3" t="inlineStr">
        <is>
          <t xml:space="preserve">2026-09-13</t>
        </is>
      </c>
      <c r="C1016" s="3" t="inlineStr">
        <is>
          <t xml:space="preserve">SKU-A</t>
        </is>
      </c>
      <c r="D1016" s="3" t="inlineStr">
        <is>
          <t xml:space="preserve">Renewal Serum</t>
        </is>
      </c>
      <c r="E1016" s="6">
        <f>IF('Settings'!$B$11="Scenario",IFERROR(INDEX('Catalogue'!$E$3:$E$100,MATCH(C1016,'Catalogue'!$B$3:$B$100,0)),F1016),F1016)</f>
        <v>69.9</v>
      </c>
      <c r="F1016" s="8">
        <v>69.9</v>
      </c>
      <c r="G1016" s="3">
        <v>1</v>
      </c>
      <c r="H1016" s="6">
        <f>IF('Settings'!$B$11="Scenario",ROUND(E1016*G1016*IFERROR(SUMIF('Pricing &amp; promotions'!$A$6:$A$8,L1016,'Pricing &amp; promotions'!$B$6:$B$8)/100,0),2),J1016)</f>
        <v>0.0</v>
      </c>
      <c r="I1016" s="6">
        <f>ROUND((E1016*G1016-H1016)/IF(OR(K1016=TRUE,K1016="TRUE",K1016="YES",K1016=1),1+'Settings'!$B$6/100,1),2)</f>
        <v>57.77</v>
      </c>
      <c r="J1016" s="8">
        <v>0.0</v>
      </c>
      <c r="K1016" s="3" t="inlineStr">
        <is>
          <t xml:space="preserve">TRUE</t>
        </is>
      </c>
      <c r="L1016" s="3"/>
      <c r="M1016" s="6">
        <f>ROUND(E1016*G1016-H1016,2)</f>
        <v>69.9</v>
      </c>
      <c r="N1016" s="5">
        <f>IF(COUNTIF($A$3:A1016,A1016)=1,1,0)</f>
        <v>1</v>
      </c>
      <c r="O1016" s="6">
        <f>IF(N1016=1,ROUND((SUMIFS($M$3:$M$1200,$A$3:$A$1200,A1016)+'Settings'!$B$13)*'Settings'!$B$14/100+'Settings'!$B$15,2),0)</f>
        <v>1.34</v>
      </c>
    </row>
    <row r="1017">
      <c r="A1017" s="3" t="inlineStr">
        <is>
          <t xml:space="preserve">#1747</t>
        </is>
      </c>
      <c r="B1017" s="3" t="inlineStr">
        <is>
          <t xml:space="preserve">2026-09-13</t>
        </is>
      </c>
      <c r="C1017" s="3" t="inlineStr">
        <is>
          <t xml:space="preserve">SKU-E</t>
        </is>
      </c>
      <c r="D1017" s="3" t="inlineStr">
        <is>
          <t xml:space="preserve">Complete Ritual</t>
        </is>
      </c>
      <c r="E1017" s="6">
        <f>IF('Settings'!$B$11="Scenario",IFERROR(INDEX('Catalogue'!$E$3:$E$100,MATCH(C1017,'Catalogue'!$B$3:$B$100,0)),F1017),F1017)</f>
        <v>89</v>
      </c>
      <c r="F1017" s="8">
        <v>89</v>
      </c>
      <c r="G1017" s="3">
        <v>1</v>
      </c>
      <c r="H1017" s="6">
        <f>IF('Settings'!$B$11="Scenario",ROUND(E1017*G1017*IFERROR(SUMIF('Pricing &amp; promotions'!$A$6:$A$8,L1017,'Pricing &amp; promotions'!$B$6:$B$8)/100,0),2),J1017)</f>
        <v>13.35</v>
      </c>
      <c r="I1017" s="6">
        <f>ROUND((E1017*G1017-H1017)/IF(OR(K1017=TRUE,K1017="TRUE",K1017="YES",K1017=1),1+'Settings'!$B$6/100,1),2)</f>
        <v>62.52</v>
      </c>
      <c r="J1017" s="8">
        <v>13.35</v>
      </c>
      <c r="K1017" s="3" t="inlineStr">
        <is>
          <t xml:space="preserve">TRUE</t>
        </is>
      </c>
      <c r="L1017" s="3" t="inlineStr">
        <is>
          <t xml:space="preserve">SUMMER15</t>
        </is>
      </c>
      <c r="M1017" s="6">
        <f>ROUND(E1017*G1017-H1017,2)</f>
        <v>75.65</v>
      </c>
      <c r="N1017" s="5">
        <f>IF(COUNTIF($A$3:A1017,A1017)=1,1,0)</f>
        <v>1</v>
      </c>
      <c r="O1017" s="6">
        <f>IF(N1017=1,ROUND((SUMIFS($M$3:$M$1200,$A$3:$A$1200,A1017)+'Settings'!$B$13)*'Settings'!$B$14/100+'Settings'!$B$15,2),0)</f>
        <v>2.32</v>
      </c>
    </row>
    <row r="1018">
      <c r="A1018" s="3" t="inlineStr">
        <is>
          <t xml:space="preserve">#1747</t>
        </is>
      </c>
      <c r="B1018" s="3" t="inlineStr">
        <is>
          <t xml:space="preserve">2026-09-13</t>
        </is>
      </c>
      <c r="C1018" s="3" t="inlineStr">
        <is>
          <t xml:space="preserve">SKU-A</t>
        </is>
      </c>
      <c r="D1018" s="3" t="inlineStr">
        <is>
          <t xml:space="preserve">Renewal Serum</t>
        </is>
      </c>
      <c r="E1018" s="6">
        <f>IF('Settings'!$B$11="Scenario",IFERROR(INDEX('Catalogue'!$E$3:$E$100,MATCH(C1018,'Catalogue'!$B$3:$B$100,0)),F1018),F1018)</f>
        <v>69.9</v>
      </c>
      <c r="F1018" s="8">
        <v>69.9</v>
      </c>
      <c r="G1018" s="3">
        <v>1</v>
      </c>
      <c r="H1018" s="6">
        <f>IF('Settings'!$B$11="Scenario",ROUND(E1018*G1018*IFERROR(SUMIF('Pricing &amp; promotions'!$A$6:$A$8,L1018,'Pricing &amp; promotions'!$B$6:$B$8)/100,0),2),J1018)</f>
        <v>10.49</v>
      </c>
      <c r="I1018" s="6">
        <f>ROUND((E1018*G1018-H1018)/IF(OR(K1018=TRUE,K1018="TRUE",K1018="YES",K1018=1),1+'Settings'!$B$6/100,1),2)</f>
        <v>49.1</v>
      </c>
      <c r="J1018" s="8">
        <v>10.49</v>
      </c>
      <c r="K1018" s="3" t="inlineStr">
        <is>
          <t xml:space="preserve">TRUE</t>
        </is>
      </c>
      <c r="L1018" s="3" t="inlineStr">
        <is>
          <t xml:space="preserve">SUMMER15</t>
        </is>
      </c>
      <c r="M1018" s="6">
        <f>ROUND(E1018*G1018-H1018,2)</f>
        <v>59.41</v>
      </c>
      <c r="N1018" s="5">
        <f>IF(COUNTIF($A$3:A1018,A1018)=1,1,0)</f>
        <v>0</v>
      </c>
      <c r="O1018" s="6">
        <f>IF(N1018=1,ROUND((SUMIFS($M$3:$M$1200,$A$3:$A$1200,A1018)+'Settings'!$B$13)*'Settings'!$B$14/100+'Settings'!$B$15,2),0)</f>
        <v>0</v>
      </c>
    </row>
    <row r="1019">
      <c r="A1019" s="3" t="inlineStr">
        <is>
          <t xml:space="preserve">#1748</t>
        </is>
      </c>
      <c r="B1019" s="3" t="inlineStr">
        <is>
          <t xml:space="preserve">2026-09-16</t>
        </is>
      </c>
      <c r="C1019" s="3" t="inlineStr">
        <is>
          <t xml:space="preserve">SKU-A</t>
        </is>
      </c>
      <c r="D1019" s="3" t="inlineStr">
        <is>
          <t xml:space="preserve">Renewal Serum</t>
        </is>
      </c>
      <c r="E1019" s="6">
        <f>IF('Settings'!$B$11="Scenario",IFERROR(INDEX('Catalogue'!$E$3:$E$100,MATCH(C1019,'Catalogue'!$B$3:$B$100,0)),F1019),F1019)</f>
        <v>69.9</v>
      </c>
      <c r="F1019" s="8">
        <v>69.9</v>
      </c>
      <c r="G1019" s="3">
        <v>1</v>
      </c>
      <c r="H1019" s="6">
        <f>IF('Settings'!$B$11="Scenario",ROUND(E1019*G1019*IFERROR(SUMIF('Pricing &amp; promotions'!$A$6:$A$8,L1019,'Pricing &amp; promotions'!$B$6:$B$8)/100,0),2),J1019)</f>
        <v>10.49</v>
      </c>
      <c r="I1019" s="6">
        <f>ROUND((E1019*G1019-H1019)/IF(OR(K1019=TRUE,K1019="TRUE",K1019="YES",K1019=1),1+'Settings'!$B$6/100,1),2)</f>
        <v>49.1</v>
      </c>
      <c r="J1019" s="8">
        <v>10.49</v>
      </c>
      <c r="K1019" s="3" t="inlineStr">
        <is>
          <t xml:space="preserve">TRUE</t>
        </is>
      </c>
      <c r="L1019" s="3" t="inlineStr">
        <is>
          <t xml:space="preserve">SUMMER15</t>
        </is>
      </c>
      <c r="M1019" s="6">
        <f>ROUND(E1019*G1019-H1019,2)</f>
        <v>59.41</v>
      </c>
      <c r="N1019" s="5">
        <f>IF(COUNTIF($A$3:A1019,A1019)=1,1,0)</f>
        <v>1</v>
      </c>
      <c r="O1019" s="6">
        <f>IF(N1019=1,ROUND((SUMIFS($M$3:$M$1200,$A$3:$A$1200,A1019)+'Settings'!$B$13)*'Settings'!$B$14/100+'Settings'!$B$15,2),0)</f>
        <v>1.19</v>
      </c>
    </row>
    <row r="1020">
      <c r="A1020" s="3" t="inlineStr">
        <is>
          <t xml:space="preserve">#1749</t>
        </is>
      </c>
      <c r="B1020" s="3" t="inlineStr">
        <is>
          <t xml:space="preserve">2026-09-16</t>
        </is>
      </c>
      <c r="C1020" s="3" t="inlineStr">
        <is>
          <t xml:space="preserve">SKU-G</t>
        </is>
      </c>
      <c r="D1020" s="3" t="inlineStr">
        <is>
          <t xml:space="preserve">Daily Reset Set</t>
        </is>
      </c>
      <c r="E1020" s="6">
        <f>IF('Settings'!$B$11="Scenario",IFERROR(INDEX('Catalogue'!$E$3:$E$100,MATCH(C1020,'Catalogue'!$B$3:$B$100,0)),F1020),F1020)</f>
        <v>69</v>
      </c>
      <c r="F1020" s="8">
        <v>69</v>
      </c>
      <c r="G1020" s="3">
        <v>2</v>
      </c>
      <c r="H1020" s="6">
        <f>IF('Settings'!$B$11="Scenario",ROUND(E1020*G1020*IFERROR(SUMIF('Pricing &amp; promotions'!$A$6:$A$8,L1020,'Pricing &amp; promotions'!$B$6:$B$8)/100,0),2),J1020)</f>
        <v>13.8</v>
      </c>
      <c r="I1020" s="6">
        <f>ROUND((E1020*G1020-H1020)/IF(OR(K1020=TRUE,K1020="TRUE",K1020="YES",K1020=1),1+'Settings'!$B$6/100,1),2)</f>
        <v>102.64</v>
      </c>
      <c r="J1020" s="8">
        <v>13.8</v>
      </c>
      <c r="K1020" s="3" t="inlineStr">
        <is>
          <t xml:space="preserve">TRUE</t>
        </is>
      </c>
      <c r="L1020" s="3" t="inlineStr">
        <is>
          <t xml:space="preserve">WELCOME10</t>
        </is>
      </c>
      <c r="M1020" s="6">
        <f>ROUND(E1020*G1020-H1020,2)</f>
        <v>124.2</v>
      </c>
      <c r="N1020" s="5">
        <f>IF(COUNTIF($A$3:A1020,A1020)=1,1,0)</f>
        <v>1</v>
      </c>
      <c r="O1020" s="6">
        <f>IF(N1020=1,ROUND((SUMIFS($M$3:$M$1200,$A$3:$A$1200,A1020)+'Settings'!$B$13)*'Settings'!$B$14/100+'Settings'!$B$15,2),0)</f>
        <v>3.1</v>
      </c>
    </row>
    <row r="1021">
      <c r="A1021" s="3" t="inlineStr">
        <is>
          <t xml:space="preserve">#1749</t>
        </is>
      </c>
      <c r="B1021" s="3" t="inlineStr">
        <is>
          <t xml:space="preserve">2026-09-16</t>
        </is>
      </c>
      <c r="C1021" s="3" t="inlineStr">
        <is>
          <t xml:space="preserve">SKU-A</t>
        </is>
      </c>
      <c r="D1021" s="3" t="inlineStr">
        <is>
          <t xml:space="preserve">Renewal Serum</t>
        </is>
      </c>
      <c r="E1021" s="6">
        <f>IF('Settings'!$B$11="Scenario",IFERROR(INDEX('Catalogue'!$E$3:$E$100,MATCH(C1021,'Catalogue'!$B$3:$B$100,0)),F1021),F1021)</f>
        <v>69.9</v>
      </c>
      <c r="F1021" s="8">
        <v>69.9</v>
      </c>
      <c r="G1021" s="3">
        <v>1</v>
      </c>
      <c r="H1021" s="6">
        <f>IF('Settings'!$B$11="Scenario",ROUND(E1021*G1021*IFERROR(SUMIF('Pricing &amp; promotions'!$A$6:$A$8,L1021,'Pricing &amp; promotions'!$B$6:$B$8)/100,0),2),J1021)</f>
        <v>6.99</v>
      </c>
      <c r="I1021" s="6">
        <f>ROUND((E1021*G1021-H1021)/IF(OR(K1021=TRUE,K1021="TRUE",K1021="YES",K1021=1),1+'Settings'!$B$6/100,1),2)</f>
        <v>51.99</v>
      </c>
      <c r="J1021" s="8">
        <v>6.99</v>
      </c>
      <c r="K1021" s="3" t="inlineStr">
        <is>
          <t xml:space="preserve">TRUE</t>
        </is>
      </c>
      <c r="L1021" s="3" t="inlineStr">
        <is>
          <t xml:space="preserve">WELCOME10</t>
        </is>
      </c>
      <c r="M1021" s="6">
        <f>ROUND(E1021*G1021-H1021,2)</f>
        <v>62.91</v>
      </c>
      <c r="N1021" s="5">
        <f>IF(COUNTIF($A$3:A1021,A1021)=1,1,0)</f>
        <v>0</v>
      </c>
      <c r="O1021" s="6">
        <f>IF(N1021=1,ROUND((SUMIFS($M$3:$M$1200,$A$3:$A$1200,A1021)+'Settings'!$B$13)*'Settings'!$B$14/100+'Settings'!$B$15,2),0)</f>
        <v>0</v>
      </c>
    </row>
    <row r="1022">
      <c r="A1022" s="3" t="inlineStr">
        <is>
          <t xml:space="preserve">#1750</t>
        </is>
      </c>
      <c r="B1022" s="3" t="inlineStr">
        <is>
          <t xml:space="preserve">2026-09-16</t>
        </is>
      </c>
      <c r="C1022" s="3" t="inlineStr">
        <is>
          <t xml:space="preserve">SKU-G</t>
        </is>
      </c>
      <c r="D1022" s="3" t="inlineStr">
        <is>
          <t xml:space="preserve">Daily Reset Set</t>
        </is>
      </c>
      <c r="E1022" s="6">
        <f>IF('Settings'!$B$11="Scenario",IFERROR(INDEX('Catalogue'!$E$3:$E$100,MATCH(C1022,'Catalogue'!$B$3:$B$100,0)),F1022),F1022)</f>
        <v>69</v>
      </c>
      <c r="F1022" s="8">
        <v>69</v>
      </c>
      <c r="G1022" s="3">
        <v>1</v>
      </c>
      <c r="H1022" s="6">
        <f>IF('Settings'!$B$11="Scenario",ROUND(E1022*G1022*IFERROR(SUMIF('Pricing &amp; promotions'!$A$6:$A$8,L1022,'Pricing &amp; promotions'!$B$6:$B$8)/100,0),2),J1022)</f>
        <v>0.0</v>
      </c>
      <c r="I1022" s="6">
        <f>ROUND((E1022*G1022-H1022)/IF(OR(K1022=TRUE,K1022="TRUE",K1022="YES",K1022=1),1+'Settings'!$B$6/100,1),2)</f>
        <v>57.02</v>
      </c>
      <c r="J1022" s="8">
        <v>0.0</v>
      </c>
      <c r="K1022" s="3" t="inlineStr">
        <is>
          <t xml:space="preserve">TRUE</t>
        </is>
      </c>
      <c r="L1022" s="3"/>
      <c r="M1022" s="6">
        <f>ROUND(E1022*G1022-H1022,2)</f>
        <v>69.0</v>
      </c>
      <c r="N1022" s="5">
        <f>IF(COUNTIF($A$3:A1022,A1022)=1,1,0)</f>
        <v>1</v>
      </c>
      <c r="O1022" s="6">
        <f>IF(N1022=1,ROUND((SUMIFS($M$3:$M$1200,$A$3:$A$1200,A1022)+'Settings'!$B$13)*'Settings'!$B$14/100+'Settings'!$B$15,2),0)</f>
        <v>1.33</v>
      </c>
    </row>
    <row r="1023">
      <c r="A1023" s="3" t="inlineStr">
        <is>
          <t xml:space="preserve">#1751</t>
        </is>
      </c>
      <c r="B1023" s="3" t="inlineStr">
        <is>
          <t xml:space="preserve">2026-09-16</t>
        </is>
      </c>
      <c r="C1023" s="3" t="inlineStr">
        <is>
          <t xml:space="preserve">SKU-B</t>
        </is>
      </c>
      <c r="D1023" s="3" t="inlineStr">
        <is>
          <t xml:space="preserve">Barrier Balm</t>
        </is>
      </c>
      <c r="E1023" s="6">
        <f>IF('Settings'!$B$11="Scenario",IFERROR(INDEX('Catalogue'!$E$3:$E$100,MATCH(C1023,'Catalogue'!$B$3:$B$100,0)),F1023),F1023)</f>
        <v>19</v>
      </c>
      <c r="F1023" s="8">
        <v>19</v>
      </c>
      <c r="G1023" s="3">
        <v>2</v>
      </c>
      <c r="H1023" s="6">
        <f>IF('Settings'!$B$11="Scenario",ROUND(E1023*G1023*IFERROR(SUMIF('Pricing &amp; promotions'!$A$6:$A$8,L1023,'Pricing &amp; promotions'!$B$6:$B$8)/100,0),2),J1023)</f>
        <v>0.0</v>
      </c>
      <c r="I1023" s="6">
        <f>ROUND((E1023*G1023-H1023)/IF(OR(K1023=TRUE,K1023="TRUE",K1023="YES",K1023=1),1+'Settings'!$B$6/100,1),2)</f>
        <v>31.4</v>
      </c>
      <c r="J1023" s="8">
        <v>0.0</v>
      </c>
      <c r="K1023" s="3" t="inlineStr">
        <is>
          <t xml:space="preserve">TRUE</t>
        </is>
      </c>
      <c r="L1023" s="3"/>
      <c r="M1023" s="6">
        <f>ROUND(E1023*G1023-H1023,2)</f>
        <v>38.0</v>
      </c>
      <c r="N1023" s="5">
        <f>IF(COUNTIF($A$3:A1023,A1023)=1,1,0)</f>
        <v>1</v>
      </c>
      <c r="O1023" s="6">
        <f>IF(N1023=1,ROUND((SUMIFS($M$3:$M$1200,$A$3:$A$1200,A1023)+'Settings'!$B$13)*'Settings'!$B$14/100+'Settings'!$B$15,2),0)</f>
        <v>0.86</v>
      </c>
    </row>
    <row r="1024">
      <c r="A1024" s="3" t="inlineStr">
        <is>
          <t xml:space="preserve">#1752</t>
        </is>
      </c>
      <c r="B1024" s="3" t="inlineStr">
        <is>
          <t xml:space="preserve">2026-09-16</t>
        </is>
      </c>
      <c r="C1024" s="3" t="inlineStr">
        <is>
          <t xml:space="preserve">SKU-A</t>
        </is>
      </c>
      <c r="D1024" s="3" t="inlineStr">
        <is>
          <t xml:space="preserve">Renewal Serum</t>
        </is>
      </c>
      <c r="E1024" s="6">
        <f>IF('Settings'!$B$11="Scenario",IFERROR(INDEX('Catalogue'!$E$3:$E$100,MATCH(C1024,'Catalogue'!$B$3:$B$100,0)),F1024),F1024)</f>
        <v>69.9</v>
      </c>
      <c r="F1024" s="8">
        <v>69.9</v>
      </c>
      <c r="G1024" s="3">
        <v>1</v>
      </c>
      <c r="H1024" s="6">
        <f>IF('Settings'!$B$11="Scenario",ROUND(E1024*G1024*IFERROR(SUMIF('Pricing &amp; promotions'!$A$6:$A$8,L1024,'Pricing &amp; promotions'!$B$6:$B$8)/100,0),2),J1024)</f>
        <v>0.0</v>
      </c>
      <c r="I1024" s="6">
        <f>ROUND((E1024*G1024-H1024)/IF(OR(K1024=TRUE,K1024="TRUE",K1024="YES",K1024=1),1+'Settings'!$B$6/100,1),2)</f>
        <v>57.77</v>
      </c>
      <c r="J1024" s="8">
        <v>0.0</v>
      </c>
      <c r="K1024" s="3" t="inlineStr">
        <is>
          <t xml:space="preserve">TRUE</t>
        </is>
      </c>
      <c r="L1024" s="3"/>
      <c r="M1024" s="6">
        <f>ROUND(E1024*G1024-H1024,2)</f>
        <v>69.9</v>
      </c>
      <c r="N1024" s="5">
        <f>IF(COUNTIF($A$3:A1024,A1024)=1,1,0)</f>
        <v>1</v>
      </c>
      <c r="O1024" s="6">
        <f>IF(N1024=1,ROUND((SUMIFS($M$3:$M$1200,$A$3:$A$1200,A1024)+'Settings'!$B$13)*'Settings'!$B$14/100+'Settings'!$B$15,2),0)</f>
        <v>1.34</v>
      </c>
    </row>
    <row r="1025">
      <c r="A1025" s="3" t="inlineStr">
        <is>
          <t xml:space="preserve">#1753</t>
        </is>
      </c>
      <c r="B1025" s="3" t="inlineStr">
        <is>
          <t xml:space="preserve">2026-09-17</t>
        </is>
      </c>
      <c r="C1025" s="3" t="inlineStr">
        <is>
          <t xml:space="preserve">SKU-F</t>
        </is>
      </c>
      <c r="D1025" s="3" t="inlineStr">
        <is>
          <t xml:space="preserve">Cloud Cleanser</t>
        </is>
      </c>
      <c r="E1025" s="6">
        <f>IF('Settings'!$B$11="Scenario",IFERROR(INDEX('Catalogue'!$E$3:$E$100,MATCH(C1025,'Catalogue'!$B$3:$B$100,0)),F1025),F1025)</f>
        <v>34</v>
      </c>
      <c r="F1025" s="8">
        <v>34</v>
      </c>
      <c r="G1025" s="3">
        <v>1</v>
      </c>
      <c r="H1025" s="6">
        <f>IF('Settings'!$B$11="Scenario",ROUND(E1025*G1025*IFERROR(SUMIF('Pricing &amp; promotions'!$A$6:$A$8,L1025,'Pricing &amp; promotions'!$B$6:$B$8)/100,0),2),J1025)</f>
        <v>0.0</v>
      </c>
      <c r="I1025" s="6">
        <f>ROUND((E1025*G1025-H1025)/IF(OR(K1025=TRUE,K1025="TRUE",K1025="YES",K1025=1),1+'Settings'!$B$6/100,1),2)</f>
        <v>28.1</v>
      </c>
      <c r="J1025" s="8">
        <v>0.0</v>
      </c>
      <c r="K1025" s="3" t="inlineStr">
        <is>
          <t xml:space="preserve">TRUE</t>
        </is>
      </c>
      <c r="L1025" s="3"/>
      <c r="M1025" s="6">
        <f>ROUND(E1025*G1025-H1025,2)</f>
        <v>34.0</v>
      </c>
      <c r="N1025" s="5">
        <f>IF(COUNTIF($A$3:A1025,A1025)=1,1,0)</f>
        <v>1</v>
      </c>
      <c r="O1025" s="6">
        <f>IF(N1025=1,ROUND((SUMIFS($M$3:$M$1200,$A$3:$A$1200,A1025)+'Settings'!$B$13)*'Settings'!$B$14/100+'Settings'!$B$15,2),0)</f>
        <v>0.8</v>
      </c>
    </row>
    <row r="1026">
      <c r="A1026" s="3" t="inlineStr">
        <is>
          <t xml:space="preserve">#1754</t>
        </is>
      </c>
      <c r="B1026" s="3" t="inlineStr">
        <is>
          <t xml:space="preserve">2026-09-17</t>
        </is>
      </c>
      <c r="C1026" s="3" t="inlineStr">
        <is>
          <t xml:space="preserve">SKU-G</t>
        </is>
      </c>
      <c r="D1026" s="3" t="inlineStr">
        <is>
          <t xml:space="preserve">Daily Reset Set</t>
        </is>
      </c>
      <c r="E1026" s="6">
        <f>IF('Settings'!$B$11="Scenario",IFERROR(INDEX('Catalogue'!$E$3:$E$100,MATCH(C1026,'Catalogue'!$B$3:$B$100,0)),F1026),F1026)</f>
        <v>69</v>
      </c>
      <c r="F1026" s="8">
        <v>69</v>
      </c>
      <c r="G1026" s="3">
        <v>2</v>
      </c>
      <c r="H1026" s="6">
        <f>IF('Settings'!$B$11="Scenario",ROUND(E1026*G1026*IFERROR(SUMIF('Pricing &amp; promotions'!$A$6:$A$8,L1026,'Pricing &amp; promotions'!$B$6:$B$8)/100,0),2),J1026)</f>
        <v>0.0</v>
      </c>
      <c r="I1026" s="6">
        <f>ROUND((E1026*G1026-H1026)/IF(OR(K1026=TRUE,K1026="TRUE",K1026="YES",K1026=1),1+'Settings'!$B$6/100,1),2)</f>
        <v>114.05</v>
      </c>
      <c r="J1026" s="8">
        <v>0.0</v>
      </c>
      <c r="K1026" s="3" t="inlineStr">
        <is>
          <t xml:space="preserve">TRUE</t>
        </is>
      </c>
      <c r="L1026" s="3"/>
      <c r="M1026" s="6">
        <f>ROUND(E1026*G1026-H1026,2)</f>
        <v>138.0</v>
      </c>
      <c r="N1026" s="5">
        <f>IF(COUNTIF($A$3:A1026,A1026)=1,1,0)</f>
        <v>1</v>
      </c>
      <c r="O1026" s="6">
        <f>IF(N1026=1,ROUND((SUMIFS($M$3:$M$1200,$A$3:$A$1200,A1026)+'Settings'!$B$13)*'Settings'!$B$14/100+'Settings'!$B$15,2),0)</f>
        <v>2.36</v>
      </c>
    </row>
    <row r="1027">
      <c r="A1027" s="3" t="inlineStr">
        <is>
          <t xml:space="preserve">#1755</t>
        </is>
      </c>
      <c r="B1027" s="3" t="inlineStr">
        <is>
          <t xml:space="preserve">2026-09-17</t>
        </is>
      </c>
      <c r="C1027" s="3" t="inlineStr">
        <is>
          <t xml:space="preserve">SKU-B</t>
        </is>
      </c>
      <c r="D1027" s="3" t="inlineStr">
        <is>
          <t xml:space="preserve">Barrier Balm</t>
        </is>
      </c>
      <c r="E1027" s="6">
        <f>IF('Settings'!$B$11="Scenario",IFERROR(INDEX('Catalogue'!$E$3:$E$100,MATCH(C1027,'Catalogue'!$B$3:$B$100,0)),F1027),F1027)</f>
        <v>19</v>
      </c>
      <c r="F1027" s="8">
        <v>19</v>
      </c>
      <c r="G1027" s="3">
        <v>1</v>
      </c>
      <c r="H1027" s="6">
        <f>IF('Settings'!$B$11="Scenario",ROUND(E1027*G1027*IFERROR(SUMIF('Pricing &amp; promotions'!$A$6:$A$8,L1027,'Pricing &amp; promotions'!$B$6:$B$8)/100,0),2),J1027)</f>
        <v>0.0</v>
      </c>
      <c r="I1027" s="6">
        <f>ROUND((E1027*G1027-H1027)/IF(OR(K1027=TRUE,K1027="TRUE",K1027="YES",K1027=1),1+'Settings'!$B$6/100,1),2)</f>
        <v>15.7</v>
      </c>
      <c r="J1027" s="8">
        <v>0.0</v>
      </c>
      <c r="K1027" s="3" t="inlineStr">
        <is>
          <t xml:space="preserve">TRUE</t>
        </is>
      </c>
      <c r="L1027" s="3"/>
      <c r="M1027" s="6">
        <f>ROUND(E1027*G1027-H1027,2)</f>
        <v>19.0</v>
      </c>
      <c r="N1027" s="5">
        <f>IF(COUNTIF($A$3:A1027,A1027)=1,1,0)</f>
        <v>1</v>
      </c>
      <c r="O1027" s="6">
        <f>IF(N1027=1,ROUND((SUMIFS($M$3:$M$1200,$A$3:$A$1200,A1027)+'Settings'!$B$13)*'Settings'!$B$14/100+'Settings'!$B$15,2),0)</f>
        <v>0.58</v>
      </c>
    </row>
    <row r="1028">
      <c r="A1028" s="3" t="inlineStr">
        <is>
          <t xml:space="preserve">#1756</t>
        </is>
      </c>
      <c r="B1028" s="3" t="inlineStr">
        <is>
          <t xml:space="preserve">2026-09-17</t>
        </is>
      </c>
      <c r="C1028" s="3" t="inlineStr">
        <is>
          <t xml:space="preserve">SKU-E</t>
        </is>
      </c>
      <c r="D1028" s="3" t="inlineStr">
        <is>
          <t xml:space="preserve">Complete Ritual</t>
        </is>
      </c>
      <c r="E1028" s="6">
        <f>IF('Settings'!$B$11="Scenario",IFERROR(INDEX('Catalogue'!$E$3:$E$100,MATCH(C1028,'Catalogue'!$B$3:$B$100,0)),F1028),F1028)</f>
        <v>89</v>
      </c>
      <c r="F1028" s="8">
        <v>89</v>
      </c>
      <c r="G1028" s="3">
        <v>2</v>
      </c>
      <c r="H1028" s="6">
        <f>IF('Settings'!$B$11="Scenario",ROUND(E1028*G1028*IFERROR(SUMIF('Pricing &amp; promotions'!$A$6:$A$8,L1028,'Pricing &amp; promotions'!$B$6:$B$8)/100,0),2),J1028)</f>
        <v>0.0</v>
      </c>
      <c r="I1028" s="6">
        <f>ROUND((E1028*G1028-H1028)/IF(OR(K1028=TRUE,K1028="TRUE",K1028="YES",K1028=1),1+'Settings'!$B$6/100,1),2)</f>
        <v>147.11</v>
      </c>
      <c r="J1028" s="8">
        <v>0.0</v>
      </c>
      <c r="K1028" s="3" t="inlineStr">
        <is>
          <t xml:space="preserve">TRUE</t>
        </is>
      </c>
      <c r="L1028" s="3"/>
      <c r="M1028" s="6">
        <f>ROUND(E1028*G1028-H1028,2)</f>
        <v>178.0</v>
      </c>
      <c r="N1028" s="5">
        <f>IF(COUNTIF($A$3:A1028,A1028)=1,1,0)</f>
        <v>1</v>
      </c>
      <c r="O1028" s="6">
        <f>IF(N1028=1,ROUND((SUMIFS($M$3:$M$1200,$A$3:$A$1200,A1028)+'Settings'!$B$13)*'Settings'!$B$14/100+'Settings'!$B$15,2),0)</f>
        <v>2.96</v>
      </c>
    </row>
    <row r="1029">
      <c r="A1029" s="3" t="inlineStr">
        <is>
          <t xml:space="preserve">#1757</t>
        </is>
      </c>
      <c r="B1029" s="3" t="inlineStr">
        <is>
          <t xml:space="preserve">2026-09-18</t>
        </is>
      </c>
      <c r="C1029" s="3" t="inlineStr">
        <is>
          <t xml:space="preserve">SKU-G</t>
        </is>
      </c>
      <c r="D1029" s="3" t="inlineStr">
        <is>
          <t xml:space="preserve">Daily Reset Set</t>
        </is>
      </c>
      <c r="E1029" s="6">
        <f>IF('Settings'!$B$11="Scenario",IFERROR(INDEX('Catalogue'!$E$3:$E$100,MATCH(C1029,'Catalogue'!$B$3:$B$100,0)),F1029),F1029)</f>
        <v>69</v>
      </c>
      <c r="F1029" s="8">
        <v>69</v>
      </c>
      <c r="G1029" s="3">
        <v>1</v>
      </c>
      <c r="H1029" s="6">
        <f>IF('Settings'!$B$11="Scenario",ROUND(E1029*G1029*IFERROR(SUMIF('Pricing &amp; promotions'!$A$6:$A$8,L1029,'Pricing &amp; promotions'!$B$6:$B$8)/100,0),2),J1029)</f>
        <v>0.0</v>
      </c>
      <c r="I1029" s="6">
        <f>ROUND((E1029*G1029-H1029)/IF(OR(K1029=TRUE,K1029="TRUE",K1029="YES",K1029=1),1+'Settings'!$B$6/100,1),2)</f>
        <v>57.02</v>
      </c>
      <c r="J1029" s="8">
        <v>0.0</v>
      </c>
      <c r="K1029" s="3" t="inlineStr">
        <is>
          <t xml:space="preserve">TRUE</t>
        </is>
      </c>
      <c r="L1029" s="3"/>
      <c r="M1029" s="6">
        <f>ROUND(E1029*G1029-H1029,2)</f>
        <v>69.0</v>
      </c>
      <c r="N1029" s="5">
        <f>IF(COUNTIF($A$3:A1029,A1029)=1,1,0)</f>
        <v>1</v>
      </c>
      <c r="O1029" s="6">
        <f>IF(N1029=1,ROUND((SUMIFS($M$3:$M$1200,$A$3:$A$1200,A1029)+'Settings'!$B$13)*'Settings'!$B$14/100+'Settings'!$B$15,2),0)</f>
        <v>1.33</v>
      </c>
    </row>
    <row r="1030">
      <c r="A1030" s="3" t="inlineStr">
        <is>
          <t xml:space="preserve">#1758</t>
        </is>
      </c>
      <c r="B1030" s="3" t="inlineStr">
        <is>
          <t xml:space="preserve">2026-09-19</t>
        </is>
      </c>
      <c r="C1030" s="3" t="inlineStr">
        <is>
          <t xml:space="preserve">SKU-A</t>
        </is>
      </c>
      <c r="D1030" s="3" t="inlineStr">
        <is>
          <t xml:space="preserve">Renewal Serum</t>
        </is>
      </c>
      <c r="E1030" s="6">
        <f>IF('Settings'!$B$11="Scenario",IFERROR(INDEX('Catalogue'!$E$3:$E$100,MATCH(C1030,'Catalogue'!$B$3:$B$100,0)),F1030),F1030)</f>
        <v>69.9</v>
      </c>
      <c r="F1030" s="8">
        <v>69.9</v>
      </c>
      <c r="G1030" s="3">
        <v>1</v>
      </c>
      <c r="H1030" s="6">
        <f>IF('Settings'!$B$11="Scenario",ROUND(E1030*G1030*IFERROR(SUMIF('Pricing &amp; promotions'!$A$6:$A$8,L1030,'Pricing &amp; promotions'!$B$6:$B$8)/100,0),2),J1030)</f>
        <v>10.49</v>
      </c>
      <c r="I1030" s="6">
        <f>ROUND((E1030*G1030-H1030)/IF(OR(K1030=TRUE,K1030="TRUE",K1030="YES",K1030=1),1+'Settings'!$B$6/100,1),2)</f>
        <v>49.1</v>
      </c>
      <c r="J1030" s="8">
        <v>10.49</v>
      </c>
      <c r="K1030" s="3" t="inlineStr">
        <is>
          <t xml:space="preserve">TRUE</t>
        </is>
      </c>
      <c r="L1030" s="3" t="inlineStr">
        <is>
          <t xml:space="preserve">SUMMER15</t>
        </is>
      </c>
      <c r="M1030" s="6">
        <f>ROUND(E1030*G1030-H1030,2)</f>
        <v>59.41</v>
      </c>
      <c r="N1030" s="5">
        <f>IF(COUNTIF($A$3:A1030,A1030)=1,1,0)</f>
        <v>1</v>
      </c>
      <c r="O1030" s="6">
        <f>IF(N1030=1,ROUND((SUMIFS($M$3:$M$1200,$A$3:$A$1200,A1030)+'Settings'!$B$13)*'Settings'!$B$14/100+'Settings'!$B$15,2),0)</f>
        <v>1.19</v>
      </c>
    </row>
    <row r="1031">
      <c r="A1031" s="3" t="inlineStr">
        <is>
          <t xml:space="preserve">#1759</t>
        </is>
      </c>
      <c r="B1031" s="3" t="inlineStr">
        <is>
          <t xml:space="preserve">2026-09-19</t>
        </is>
      </c>
      <c r="C1031" s="3" t="inlineStr">
        <is>
          <t xml:space="preserve">SKU-A</t>
        </is>
      </c>
      <c r="D1031" s="3" t="inlineStr">
        <is>
          <t xml:space="preserve">Renewal Serum</t>
        </is>
      </c>
      <c r="E1031" s="6">
        <f>IF('Settings'!$B$11="Scenario",IFERROR(INDEX('Catalogue'!$E$3:$E$100,MATCH(C1031,'Catalogue'!$B$3:$B$100,0)),F1031),F1031)</f>
        <v>69.9</v>
      </c>
      <c r="F1031" s="8">
        <v>69.9</v>
      </c>
      <c r="G1031" s="3">
        <v>1</v>
      </c>
      <c r="H1031" s="6">
        <f>IF('Settings'!$B$11="Scenario",ROUND(E1031*G1031*IFERROR(SUMIF('Pricing &amp; promotions'!$A$6:$A$8,L1031,'Pricing &amp; promotions'!$B$6:$B$8)/100,0),2),J1031)</f>
        <v>0.0</v>
      </c>
      <c r="I1031" s="6">
        <f>ROUND((E1031*G1031-H1031)/IF(OR(K1031=TRUE,K1031="TRUE",K1031="YES",K1031=1),1+'Settings'!$B$6/100,1),2)</f>
        <v>57.77</v>
      </c>
      <c r="J1031" s="8">
        <v>0.0</v>
      </c>
      <c r="K1031" s="3" t="inlineStr">
        <is>
          <t xml:space="preserve">TRUE</t>
        </is>
      </c>
      <c r="L1031" s="3"/>
      <c r="M1031" s="6">
        <f>ROUND(E1031*G1031-H1031,2)</f>
        <v>69.9</v>
      </c>
      <c r="N1031" s="5">
        <f>IF(COUNTIF($A$3:A1031,A1031)=1,1,0)</f>
        <v>1</v>
      </c>
      <c r="O1031" s="6">
        <f>IF(N1031=1,ROUND((SUMIFS($M$3:$M$1200,$A$3:$A$1200,A1031)+'Settings'!$B$13)*'Settings'!$B$14/100+'Settings'!$B$15,2),0)</f>
        <v>1.34</v>
      </c>
    </row>
    <row r="1032">
      <c r="A1032" s="3" t="inlineStr">
        <is>
          <t xml:space="preserve">#1760</t>
        </is>
      </c>
      <c r="B1032" s="3" t="inlineStr">
        <is>
          <t xml:space="preserve">2026-09-20</t>
        </is>
      </c>
      <c r="C1032" s="3" t="inlineStr">
        <is>
          <t xml:space="preserve">SKU-A</t>
        </is>
      </c>
      <c r="D1032" s="3" t="inlineStr">
        <is>
          <t xml:space="preserve">Renewal Serum</t>
        </is>
      </c>
      <c r="E1032" s="6">
        <f>IF('Settings'!$B$11="Scenario",IFERROR(INDEX('Catalogue'!$E$3:$E$100,MATCH(C1032,'Catalogue'!$B$3:$B$100,0)),F1032),F1032)</f>
        <v>69.9</v>
      </c>
      <c r="F1032" s="8">
        <v>69.9</v>
      </c>
      <c r="G1032" s="3">
        <v>1</v>
      </c>
      <c r="H1032" s="6">
        <f>IF('Settings'!$B$11="Scenario",ROUND(E1032*G1032*IFERROR(SUMIF('Pricing &amp; promotions'!$A$6:$A$8,L1032,'Pricing &amp; promotions'!$B$6:$B$8)/100,0),2),J1032)</f>
        <v>10.49</v>
      </c>
      <c r="I1032" s="6">
        <f>ROUND((E1032*G1032-H1032)/IF(OR(K1032=TRUE,K1032="TRUE",K1032="YES",K1032=1),1+'Settings'!$B$6/100,1),2)</f>
        <v>49.1</v>
      </c>
      <c r="J1032" s="8">
        <v>10.49</v>
      </c>
      <c r="K1032" s="3" t="inlineStr">
        <is>
          <t xml:space="preserve">TRUE</t>
        </is>
      </c>
      <c r="L1032" s="3" t="inlineStr">
        <is>
          <t xml:space="preserve">SUMMER15</t>
        </is>
      </c>
      <c r="M1032" s="6">
        <f>ROUND(E1032*G1032-H1032,2)</f>
        <v>59.41</v>
      </c>
      <c r="N1032" s="5">
        <f>IF(COUNTIF($A$3:A1032,A1032)=1,1,0)</f>
        <v>1</v>
      </c>
      <c r="O1032" s="6">
        <f>IF(N1032=1,ROUND((SUMIFS($M$3:$M$1200,$A$3:$A$1200,A1032)+'Settings'!$B$13)*'Settings'!$B$14/100+'Settings'!$B$15,2),0)</f>
        <v>2.19</v>
      </c>
    </row>
    <row r="1033">
      <c r="A1033" s="3" t="inlineStr">
        <is>
          <t xml:space="preserve">#1760</t>
        </is>
      </c>
      <c r="B1033" s="3" t="inlineStr">
        <is>
          <t xml:space="preserve">2026-09-20</t>
        </is>
      </c>
      <c r="C1033" s="3" t="inlineStr">
        <is>
          <t xml:space="preserve">SKU-D</t>
        </is>
      </c>
      <c r="D1033" s="3" t="inlineStr">
        <is>
          <t xml:space="preserve">Daily Duo</t>
        </is>
      </c>
      <c r="E1033" s="6">
        <f>IF('Settings'!$B$11="Scenario",IFERROR(INDEX('Catalogue'!$E$3:$E$100,MATCH(C1033,'Catalogue'!$B$3:$B$100,0)),F1033),F1033)</f>
        <v>79</v>
      </c>
      <c r="F1033" s="8">
        <v>79</v>
      </c>
      <c r="G1033" s="3">
        <v>1</v>
      </c>
      <c r="H1033" s="6">
        <f>IF('Settings'!$B$11="Scenario",ROUND(E1033*G1033*IFERROR(SUMIF('Pricing &amp; promotions'!$A$6:$A$8,L1033,'Pricing &amp; promotions'!$B$6:$B$8)/100,0),2),J1033)</f>
        <v>11.85</v>
      </c>
      <c r="I1033" s="6">
        <f>ROUND((E1033*G1033-H1033)/IF(OR(K1033=TRUE,K1033="TRUE",K1033="YES",K1033=1),1+'Settings'!$B$6/100,1),2)</f>
        <v>55.5</v>
      </c>
      <c r="J1033" s="8">
        <v>11.85</v>
      </c>
      <c r="K1033" s="3" t="inlineStr">
        <is>
          <t xml:space="preserve">TRUE</t>
        </is>
      </c>
      <c r="L1033" s="3" t="inlineStr">
        <is>
          <t xml:space="preserve">SUMMER15</t>
        </is>
      </c>
      <c r="M1033" s="6">
        <f>ROUND(E1033*G1033-H1033,2)</f>
        <v>67.15</v>
      </c>
      <c r="N1033" s="5">
        <f>IF(COUNTIF($A$3:A1033,A1033)=1,1,0)</f>
        <v>0</v>
      </c>
      <c r="O1033" s="6">
        <f>IF(N1033=1,ROUND((SUMIFS($M$3:$M$1200,$A$3:$A$1200,A1033)+'Settings'!$B$13)*'Settings'!$B$14/100+'Settings'!$B$15,2),0)</f>
        <v>0</v>
      </c>
    </row>
    <row r="1034">
      <c r="A1034" s="3" t="inlineStr">
        <is>
          <t xml:space="preserve">#1761</t>
        </is>
      </c>
      <c r="B1034" s="3" t="inlineStr">
        <is>
          <t xml:space="preserve">2026-09-21</t>
        </is>
      </c>
      <c r="C1034" s="3" t="inlineStr">
        <is>
          <t xml:space="preserve">SKU-E</t>
        </is>
      </c>
      <c r="D1034" s="3" t="inlineStr">
        <is>
          <t xml:space="preserve">Complete Ritual</t>
        </is>
      </c>
      <c r="E1034" s="6">
        <f>IF('Settings'!$B$11="Scenario",IFERROR(INDEX('Catalogue'!$E$3:$E$100,MATCH(C1034,'Catalogue'!$B$3:$B$100,0)),F1034),F1034)</f>
        <v>89</v>
      </c>
      <c r="F1034" s="8">
        <v>89</v>
      </c>
      <c r="G1034" s="3">
        <v>1</v>
      </c>
      <c r="H1034" s="6">
        <f>IF('Settings'!$B$11="Scenario",ROUND(E1034*G1034*IFERROR(SUMIF('Pricing &amp; promotions'!$A$6:$A$8,L1034,'Pricing &amp; promotions'!$B$6:$B$8)/100,0),2),J1034)</f>
        <v>0.0</v>
      </c>
      <c r="I1034" s="6">
        <f>ROUND((E1034*G1034-H1034)/IF(OR(K1034=TRUE,K1034="TRUE",K1034="YES",K1034=1),1+'Settings'!$B$6/100,1),2)</f>
        <v>73.55</v>
      </c>
      <c r="J1034" s="8">
        <v>0.0</v>
      </c>
      <c r="K1034" s="3" t="inlineStr">
        <is>
          <t xml:space="preserve">TRUE</t>
        </is>
      </c>
      <c r="L1034" s="3"/>
      <c r="M1034" s="6">
        <f>ROUND(E1034*G1034-H1034,2)</f>
        <v>89.0</v>
      </c>
      <c r="N1034" s="5">
        <f>IF(COUNTIF($A$3:A1034,A1034)=1,1,0)</f>
        <v>1</v>
      </c>
      <c r="O1034" s="6">
        <f>IF(N1034=1,ROUND((SUMIFS($M$3:$M$1200,$A$3:$A$1200,A1034)+'Settings'!$B$13)*'Settings'!$B$14/100+'Settings'!$B$15,2),0)</f>
        <v>1.63</v>
      </c>
    </row>
    <row r="1035">
      <c r="A1035" s="3" t="inlineStr">
        <is>
          <t xml:space="preserve">#1762</t>
        </is>
      </c>
      <c r="B1035" s="3" t="inlineStr">
        <is>
          <t xml:space="preserve">2026-09-21</t>
        </is>
      </c>
      <c r="C1035" s="3" t="inlineStr">
        <is>
          <t xml:space="preserve">SKU-E</t>
        </is>
      </c>
      <c r="D1035" s="3" t="inlineStr">
        <is>
          <t xml:space="preserve">Complete Ritual</t>
        </is>
      </c>
      <c r="E1035" s="6">
        <f>IF('Settings'!$B$11="Scenario",IFERROR(INDEX('Catalogue'!$E$3:$E$100,MATCH(C1035,'Catalogue'!$B$3:$B$100,0)),F1035),F1035)</f>
        <v>89</v>
      </c>
      <c r="F1035" s="8">
        <v>89</v>
      </c>
      <c r="G1035" s="3">
        <v>1</v>
      </c>
      <c r="H1035" s="6">
        <f>IF('Settings'!$B$11="Scenario",ROUND(E1035*G1035*IFERROR(SUMIF('Pricing &amp; promotions'!$A$6:$A$8,L1035,'Pricing &amp; promotions'!$B$6:$B$8)/100,0),2),J1035)</f>
        <v>0.0</v>
      </c>
      <c r="I1035" s="6">
        <f>ROUND((E1035*G1035-H1035)/IF(OR(K1035=TRUE,K1035="TRUE",K1035="YES",K1035=1),1+'Settings'!$B$6/100,1),2)</f>
        <v>73.55</v>
      </c>
      <c r="J1035" s="8">
        <v>0.0</v>
      </c>
      <c r="K1035" s="3" t="inlineStr">
        <is>
          <t xml:space="preserve">TRUE</t>
        </is>
      </c>
      <c r="L1035" s="3"/>
      <c r="M1035" s="6">
        <f>ROUND(E1035*G1035-H1035,2)</f>
        <v>89.0</v>
      </c>
      <c r="N1035" s="5">
        <f>IF(COUNTIF($A$3:A1035,A1035)=1,1,0)</f>
        <v>1</v>
      </c>
      <c r="O1035" s="6">
        <f>IF(N1035=1,ROUND((SUMIFS($M$3:$M$1200,$A$3:$A$1200,A1035)+'Settings'!$B$13)*'Settings'!$B$14/100+'Settings'!$B$15,2),0)</f>
        <v>1.63</v>
      </c>
    </row>
    <row r="1036">
      <c r="A1036" s="3" t="inlineStr">
        <is>
          <t xml:space="preserve">#1763</t>
        </is>
      </c>
      <c r="B1036" s="3" t="inlineStr">
        <is>
          <t xml:space="preserve">2026-09-22</t>
        </is>
      </c>
      <c r="C1036" s="3" t="inlineStr">
        <is>
          <t xml:space="preserve">SKU-A</t>
        </is>
      </c>
      <c r="D1036" s="3" t="inlineStr">
        <is>
          <t xml:space="preserve">Renewal Serum</t>
        </is>
      </c>
      <c r="E1036" s="6">
        <f>IF('Settings'!$B$11="Scenario",IFERROR(INDEX('Catalogue'!$E$3:$E$100,MATCH(C1036,'Catalogue'!$B$3:$B$100,0)),F1036),F1036)</f>
        <v>69.9</v>
      </c>
      <c r="F1036" s="8">
        <v>69.9</v>
      </c>
      <c r="G1036" s="3">
        <v>1</v>
      </c>
      <c r="H1036" s="6">
        <f>IF('Settings'!$B$11="Scenario",ROUND(E1036*G1036*IFERROR(SUMIF('Pricing &amp; promotions'!$A$6:$A$8,L1036,'Pricing &amp; promotions'!$B$6:$B$8)/100,0),2),J1036)</f>
        <v>0.0</v>
      </c>
      <c r="I1036" s="6">
        <f>ROUND((E1036*G1036-H1036)/IF(OR(K1036=TRUE,K1036="TRUE",K1036="YES",K1036=1),1+'Settings'!$B$6/100,1),2)</f>
        <v>57.77</v>
      </c>
      <c r="J1036" s="8">
        <v>0.0</v>
      </c>
      <c r="K1036" s="3" t="inlineStr">
        <is>
          <t xml:space="preserve">TRUE</t>
        </is>
      </c>
      <c r="L1036" s="3"/>
      <c r="M1036" s="6">
        <f>ROUND(E1036*G1036-H1036,2)</f>
        <v>69.9</v>
      </c>
      <c r="N1036" s="5">
        <f>IF(COUNTIF($A$3:A1036,A1036)=1,1,0)</f>
        <v>1</v>
      </c>
      <c r="O1036" s="6">
        <f>IF(N1036=1,ROUND((SUMIFS($M$3:$M$1200,$A$3:$A$1200,A1036)+'Settings'!$B$13)*'Settings'!$B$14/100+'Settings'!$B$15,2),0)</f>
        <v>1.34</v>
      </c>
    </row>
    <row r="1037">
      <c r="A1037" s="3" t="inlineStr">
        <is>
          <t xml:space="preserve">#1764</t>
        </is>
      </c>
      <c r="B1037" s="3" t="inlineStr">
        <is>
          <t xml:space="preserve">2026-09-22</t>
        </is>
      </c>
      <c r="C1037" s="3" t="inlineStr">
        <is>
          <t xml:space="preserve">SKU-E</t>
        </is>
      </c>
      <c r="D1037" s="3" t="inlineStr">
        <is>
          <t xml:space="preserve">Complete Ritual</t>
        </is>
      </c>
      <c r="E1037" s="6">
        <f>IF('Settings'!$B$11="Scenario",IFERROR(INDEX('Catalogue'!$E$3:$E$100,MATCH(C1037,'Catalogue'!$B$3:$B$100,0)),F1037),F1037)</f>
        <v>89</v>
      </c>
      <c r="F1037" s="8">
        <v>89</v>
      </c>
      <c r="G1037" s="3">
        <v>1</v>
      </c>
      <c r="H1037" s="6">
        <f>IF('Settings'!$B$11="Scenario",ROUND(E1037*G1037*IFERROR(SUMIF('Pricing &amp; promotions'!$A$6:$A$8,L1037,'Pricing &amp; promotions'!$B$6:$B$8)/100,0),2),J1037)</f>
        <v>13.35</v>
      </c>
      <c r="I1037" s="6">
        <f>ROUND((E1037*G1037-H1037)/IF(OR(K1037=TRUE,K1037="TRUE",K1037="YES",K1037=1),1+'Settings'!$B$6/100,1),2)</f>
        <v>62.52</v>
      </c>
      <c r="J1037" s="8">
        <v>13.35</v>
      </c>
      <c r="K1037" s="3" t="inlineStr">
        <is>
          <t xml:space="preserve">TRUE</t>
        </is>
      </c>
      <c r="L1037" s="3" t="inlineStr">
        <is>
          <t xml:space="preserve">SUMMER15</t>
        </is>
      </c>
      <c r="M1037" s="6">
        <f>ROUND(E1037*G1037-H1037,2)</f>
        <v>75.65</v>
      </c>
      <c r="N1037" s="5">
        <f>IF(COUNTIF($A$3:A1037,A1037)=1,1,0)</f>
        <v>1</v>
      </c>
      <c r="O1037" s="6">
        <f>IF(N1037=1,ROUND((SUMIFS($M$3:$M$1200,$A$3:$A$1200,A1037)+'Settings'!$B$13)*'Settings'!$B$14/100+'Settings'!$B$15,2),0)</f>
        <v>1.43</v>
      </c>
    </row>
    <row r="1038">
      <c r="A1038" s="3" t="inlineStr">
        <is>
          <t xml:space="preserve">#1765</t>
        </is>
      </c>
      <c r="B1038" s="3" t="inlineStr">
        <is>
          <t xml:space="preserve">2026-09-22</t>
        </is>
      </c>
      <c r="C1038" s="3" t="inlineStr">
        <is>
          <t xml:space="preserve">SKU-E</t>
        </is>
      </c>
      <c r="D1038" s="3" t="inlineStr">
        <is>
          <t xml:space="preserve">Complete Ritual</t>
        </is>
      </c>
      <c r="E1038" s="6">
        <f>IF('Settings'!$B$11="Scenario",IFERROR(INDEX('Catalogue'!$E$3:$E$100,MATCH(C1038,'Catalogue'!$B$3:$B$100,0)),F1038),F1038)</f>
        <v>89</v>
      </c>
      <c r="F1038" s="8">
        <v>89</v>
      </c>
      <c r="G1038" s="3">
        <v>1</v>
      </c>
      <c r="H1038" s="6">
        <f>IF('Settings'!$B$11="Scenario",ROUND(E1038*G1038*IFERROR(SUMIF('Pricing &amp; promotions'!$A$6:$A$8,L1038,'Pricing &amp; promotions'!$B$6:$B$8)/100,0),2),J1038)</f>
        <v>0.0</v>
      </c>
      <c r="I1038" s="6">
        <f>ROUND((E1038*G1038-H1038)/IF(OR(K1038=TRUE,K1038="TRUE",K1038="YES",K1038=1),1+'Settings'!$B$6/100,1),2)</f>
        <v>73.55</v>
      </c>
      <c r="J1038" s="8">
        <v>0.0</v>
      </c>
      <c r="K1038" s="3" t="inlineStr">
        <is>
          <t xml:space="preserve">TRUE</t>
        </is>
      </c>
      <c r="L1038" s="3"/>
      <c r="M1038" s="6">
        <f>ROUND(E1038*G1038-H1038,2)</f>
        <v>89.0</v>
      </c>
      <c r="N1038" s="5">
        <f>IF(COUNTIF($A$3:A1038,A1038)=1,1,0)</f>
        <v>1</v>
      </c>
      <c r="O1038" s="6">
        <f>IF(N1038=1,ROUND((SUMIFS($M$3:$M$1200,$A$3:$A$1200,A1038)+'Settings'!$B$13)*'Settings'!$B$14/100+'Settings'!$B$15,2),0)</f>
        <v>3.7</v>
      </c>
    </row>
    <row r="1039">
      <c r="A1039" s="3" t="inlineStr">
        <is>
          <t xml:space="preserve">#1765</t>
        </is>
      </c>
      <c r="B1039" s="3" t="inlineStr">
        <is>
          <t xml:space="preserve">2026-09-22</t>
        </is>
      </c>
      <c r="C1039" s="3" t="inlineStr">
        <is>
          <t xml:space="preserve">SKU-G</t>
        </is>
      </c>
      <c r="D1039" s="3" t="inlineStr">
        <is>
          <t xml:space="preserve">Daily Reset Set</t>
        </is>
      </c>
      <c r="E1039" s="6">
        <f>IF('Settings'!$B$11="Scenario",IFERROR(INDEX('Catalogue'!$E$3:$E$100,MATCH(C1039,'Catalogue'!$B$3:$B$100,0)),F1039),F1039)</f>
        <v>69</v>
      </c>
      <c r="F1039" s="8">
        <v>69</v>
      </c>
      <c r="G1039" s="3">
        <v>2</v>
      </c>
      <c r="H1039" s="6">
        <f>IF('Settings'!$B$11="Scenario",ROUND(E1039*G1039*IFERROR(SUMIF('Pricing &amp; promotions'!$A$6:$A$8,L1039,'Pricing &amp; promotions'!$B$6:$B$8)/100,0),2),J1039)</f>
        <v>0.0</v>
      </c>
      <c r="I1039" s="6">
        <f>ROUND((E1039*G1039-H1039)/IF(OR(K1039=TRUE,K1039="TRUE",K1039="YES",K1039=1),1+'Settings'!$B$6/100,1),2)</f>
        <v>114.05</v>
      </c>
      <c r="J1039" s="8">
        <v>0.0</v>
      </c>
      <c r="K1039" s="3" t="inlineStr">
        <is>
          <t xml:space="preserve">TRUE</t>
        </is>
      </c>
      <c r="L1039" s="3"/>
      <c r="M1039" s="6">
        <f>ROUND(E1039*G1039-H1039,2)</f>
        <v>138.0</v>
      </c>
      <c r="N1039" s="5">
        <f>IF(COUNTIF($A$3:A1039,A1039)=1,1,0)</f>
        <v>0</v>
      </c>
      <c r="O1039" s="6">
        <f>IF(N1039=1,ROUND((SUMIFS($M$3:$M$1200,$A$3:$A$1200,A1039)+'Settings'!$B$13)*'Settings'!$B$14/100+'Settings'!$B$15,2),0)</f>
        <v>0</v>
      </c>
    </row>
    <row r="1040">
      <c r="A1040" s="3" t="inlineStr">
        <is>
          <t xml:space="preserve">#1766</t>
        </is>
      </c>
      <c r="B1040" s="3" t="inlineStr">
        <is>
          <t xml:space="preserve">2026-09-23</t>
        </is>
      </c>
      <c r="C1040" s="3" t="inlineStr">
        <is>
          <t xml:space="preserve">SKU-A</t>
        </is>
      </c>
      <c r="D1040" s="3" t="inlineStr">
        <is>
          <t xml:space="preserve">Renewal Serum</t>
        </is>
      </c>
      <c r="E1040" s="6">
        <f>IF('Settings'!$B$11="Scenario",IFERROR(INDEX('Catalogue'!$E$3:$E$100,MATCH(C1040,'Catalogue'!$B$3:$B$100,0)),F1040),F1040)</f>
        <v>69.9</v>
      </c>
      <c r="F1040" s="8">
        <v>69.9</v>
      </c>
      <c r="G1040" s="3">
        <v>1</v>
      </c>
      <c r="H1040" s="6">
        <f>IF('Settings'!$B$11="Scenario",ROUND(E1040*G1040*IFERROR(SUMIF('Pricing &amp; promotions'!$A$6:$A$8,L1040,'Pricing &amp; promotions'!$B$6:$B$8)/100,0),2),J1040)</f>
        <v>0.0</v>
      </c>
      <c r="I1040" s="6">
        <f>ROUND((E1040*G1040-H1040)/IF(OR(K1040=TRUE,K1040="TRUE",K1040="YES",K1040=1),1+'Settings'!$B$6/100,1),2)</f>
        <v>57.77</v>
      </c>
      <c r="J1040" s="8">
        <v>0.0</v>
      </c>
      <c r="K1040" s="3" t="inlineStr">
        <is>
          <t xml:space="preserve">TRUE</t>
        </is>
      </c>
      <c r="L1040" s="3"/>
      <c r="M1040" s="6">
        <f>ROUND(E1040*G1040-H1040,2)</f>
        <v>69.9</v>
      </c>
      <c r="N1040" s="5">
        <f>IF(COUNTIF($A$3:A1040,A1040)=1,1,0)</f>
        <v>1</v>
      </c>
      <c r="O1040" s="6">
        <f>IF(N1040=1,ROUND((SUMIFS($M$3:$M$1200,$A$3:$A$1200,A1040)+'Settings'!$B$13)*'Settings'!$B$14/100+'Settings'!$B$15,2),0)</f>
        <v>1.34</v>
      </c>
    </row>
    <row r="1041">
      <c r="A1041" s="3" t="inlineStr">
        <is>
          <t xml:space="preserve">#1767</t>
        </is>
      </c>
      <c r="B1041" s="3" t="inlineStr">
        <is>
          <t xml:space="preserve">2026-09-23</t>
        </is>
      </c>
      <c r="C1041" s="3" t="inlineStr">
        <is>
          <t xml:space="preserve">SKU-A</t>
        </is>
      </c>
      <c r="D1041" s="3" t="inlineStr">
        <is>
          <t xml:space="preserve">Renewal Serum</t>
        </is>
      </c>
      <c r="E1041" s="6">
        <f>IF('Settings'!$B$11="Scenario",IFERROR(INDEX('Catalogue'!$E$3:$E$100,MATCH(C1041,'Catalogue'!$B$3:$B$100,0)),F1041),F1041)</f>
        <v>69.9</v>
      </c>
      <c r="F1041" s="8">
        <v>69.9</v>
      </c>
      <c r="G1041" s="3">
        <v>1</v>
      </c>
      <c r="H1041" s="6">
        <f>IF('Settings'!$B$11="Scenario",ROUND(E1041*G1041*IFERROR(SUMIF('Pricing &amp; promotions'!$A$6:$A$8,L1041,'Pricing &amp; promotions'!$B$6:$B$8)/100,0),2),J1041)</f>
        <v>0.0</v>
      </c>
      <c r="I1041" s="6">
        <f>ROUND((E1041*G1041-H1041)/IF(OR(K1041=TRUE,K1041="TRUE",K1041="YES",K1041=1),1+'Settings'!$B$6/100,1),2)</f>
        <v>57.77</v>
      </c>
      <c r="J1041" s="8">
        <v>0.0</v>
      </c>
      <c r="K1041" s="3" t="inlineStr">
        <is>
          <t xml:space="preserve">TRUE</t>
        </is>
      </c>
      <c r="L1041" s="3"/>
      <c r="M1041" s="6">
        <f>ROUND(E1041*G1041-H1041,2)</f>
        <v>69.9</v>
      </c>
      <c r="N1041" s="5">
        <f>IF(COUNTIF($A$3:A1041,A1041)=1,1,0)</f>
        <v>1</v>
      </c>
      <c r="O1041" s="6">
        <f>IF(N1041=1,ROUND((SUMIFS($M$3:$M$1200,$A$3:$A$1200,A1041)+'Settings'!$B$13)*'Settings'!$B$14/100+'Settings'!$B$15,2),0)</f>
        <v>1.34</v>
      </c>
    </row>
    <row r="1042">
      <c r="A1042" s="3" t="inlineStr">
        <is>
          <t xml:space="preserve">#1768</t>
        </is>
      </c>
      <c r="B1042" s="3" t="inlineStr">
        <is>
          <t xml:space="preserve">2026-09-23</t>
        </is>
      </c>
      <c r="C1042" s="3" t="inlineStr">
        <is>
          <t xml:space="preserve">SKU-E</t>
        </is>
      </c>
      <c r="D1042" s="3" t="inlineStr">
        <is>
          <t xml:space="preserve">Complete Ritual</t>
        </is>
      </c>
      <c r="E1042" s="6">
        <f>IF('Settings'!$B$11="Scenario",IFERROR(INDEX('Catalogue'!$E$3:$E$100,MATCH(C1042,'Catalogue'!$B$3:$B$100,0)),F1042),F1042)</f>
        <v>89</v>
      </c>
      <c r="F1042" s="8">
        <v>89</v>
      </c>
      <c r="G1042" s="3">
        <v>1</v>
      </c>
      <c r="H1042" s="6">
        <f>IF('Settings'!$B$11="Scenario",ROUND(E1042*G1042*IFERROR(SUMIF('Pricing &amp; promotions'!$A$6:$A$8,L1042,'Pricing &amp; promotions'!$B$6:$B$8)/100,0),2),J1042)</f>
        <v>8.9</v>
      </c>
      <c r="I1042" s="6">
        <f>ROUND((E1042*G1042-H1042)/IF(OR(K1042=TRUE,K1042="TRUE",K1042="YES",K1042=1),1+'Settings'!$B$6/100,1),2)</f>
        <v>66.2</v>
      </c>
      <c r="J1042" s="8">
        <v>8.9</v>
      </c>
      <c r="K1042" s="3" t="inlineStr">
        <is>
          <t xml:space="preserve">TRUE</t>
        </is>
      </c>
      <c r="L1042" s="3" t="inlineStr">
        <is>
          <t xml:space="preserve">WELCOME10</t>
        </is>
      </c>
      <c r="M1042" s="6">
        <f>ROUND(E1042*G1042-H1042,2)</f>
        <v>80.1</v>
      </c>
      <c r="N1042" s="5">
        <f>IF(COUNTIF($A$3:A1042,A1042)=1,1,0)</f>
        <v>1</v>
      </c>
      <c r="O1042" s="6">
        <f>IF(N1042=1,ROUND((SUMIFS($M$3:$M$1200,$A$3:$A$1200,A1042)+'Settings'!$B$13)*'Settings'!$B$14/100+'Settings'!$B$15,2),0)</f>
        <v>3.63</v>
      </c>
    </row>
    <row r="1043">
      <c r="A1043" s="3" t="inlineStr">
        <is>
          <t xml:space="preserve">#1768</t>
        </is>
      </c>
      <c r="B1043" s="3" t="inlineStr">
        <is>
          <t xml:space="preserve">2026-09-23</t>
        </is>
      </c>
      <c r="C1043" s="3" t="inlineStr">
        <is>
          <t xml:space="preserve">SKU-D</t>
        </is>
      </c>
      <c r="D1043" s="3" t="inlineStr">
        <is>
          <t xml:space="preserve">Daily Duo</t>
        </is>
      </c>
      <c r="E1043" s="6">
        <f>IF('Settings'!$B$11="Scenario",IFERROR(INDEX('Catalogue'!$E$3:$E$100,MATCH(C1043,'Catalogue'!$B$3:$B$100,0)),F1043),F1043)</f>
        <v>79</v>
      </c>
      <c r="F1043" s="8">
        <v>79</v>
      </c>
      <c r="G1043" s="3">
        <v>2</v>
      </c>
      <c r="H1043" s="6">
        <f>IF('Settings'!$B$11="Scenario",ROUND(E1043*G1043*IFERROR(SUMIF('Pricing &amp; promotions'!$A$6:$A$8,L1043,'Pricing &amp; promotions'!$B$6:$B$8)/100,0),2),J1043)</f>
        <v>15.8</v>
      </c>
      <c r="I1043" s="6">
        <f>ROUND((E1043*G1043-H1043)/IF(OR(K1043=TRUE,K1043="TRUE",K1043="YES",K1043=1),1+'Settings'!$B$6/100,1),2)</f>
        <v>117.52</v>
      </c>
      <c r="J1043" s="8">
        <v>15.8</v>
      </c>
      <c r="K1043" s="3" t="inlineStr">
        <is>
          <t xml:space="preserve">TRUE</t>
        </is>
      </c>
      <c r="L1043" s="3" t="inlineStr">
        <is>
          <t xml:space="preserve">WELCOME10</t>
        </is>
      </c>
      <c r="M1043" s="6">
        <f>ROUND(E1043*G1043-H1043,2)</f>
        <v>142.2</v>
      </c>
      <c r="N1043" s="5">
        <f>IF(COUNTIF($A$3:A1043,A1043)=1,1,0)</f>
        <v>0</v>
      </c>
      <c r="O1043" s="6">
        <f>IF(N1043=1,ROUND((SUMIFS($M$3:$M$1200,$A$3:$A$1200,A1043)+'Settings'!$B$13)*'Settings'!$B$14/100+'Settings'!$B$15,2),0)</f>
        <v>0</v>
      </c>
    </row>
    <row r="1044">
      <c r="A1044" s="3" t="inlineStr">
        <is>
          <t xml:space="preserve">#1769</t>
        </is>
      </c>
      <c r="B1044" s="3" t="inlineStr">
        <is>
          <t xml:space="preserve">2026-09-23</t>
        </is>
      </c>
      <c r="C1044" s="3" t="inlineStr">
        <is>
          <t xml:space="preserve">SKU-A</t>
        </is>
      </c>
      <c r="D1044" s="3" t="inlineStr">
        <is>
          <t xml:space="preserve">Renewal Serum</t>
        </is>
      </c>
      <c r="E1044" s="6">
        <f>IF('Settings'!$B$11="Scenario",IFERROR(INDEX('Catalogue'!$E$3:$E$100,MATCH(C1044,'Catalogue'!$B$3:$B$100,0)),F1044),F1044)</f>
        <v>69.9</v>
      </c>
      <c r="F1044" s="8">
        <v>69.9</v>
      </c>
      <c r="G1044" s="3">
        <v>1</v>
      </c>
      <c r="H1044" s="6">
        <f>IF('Settings'!$B$11="Scenario",ROUND(E1044*G1044*IFERROR(SUMIF('Pricing &amp; promotions'!$A$6:$A$8,L1044,'Pricing &amp; promotions'!$B$6:$B$8)/100,0),2),J1044)</f>
        <v>0.0</v>
      </c>
      <c r="I1044" s="6">
        <f>ROUND((E1044*G1044-H1044)/IF(OR(K1044=TRUE,K1044="TRUE",K1044="YES",K1044=1),1+'Settings'!$B$6/100,1),2)</f>
        <v>57.77</v>
      </c>
      <c r="J1044" s="8">
        <v>0.0</v>
      </c>
      <c r="K1044" s="3" t="inlineStr">
        <is>
          <t xml:space="preserve">TRUE</t>
        </is>
      </c>
      <c r="L1044" s="3"/>
      <c r="M1044" s="6">
        <f>ROUND(E1044*G1044-H1044,2)</f>
        <v>69.9</v>
      </c>
      <c r="N1044" s="5">
        <f>IF(COUNTIF($A$3:A1044,A1044)=1,1,0)</f>
        <v>1</v>
      </c>
      <c r="O1044" s="6">
        <f>IF(N1044=1,ROUND((SUMIFS($M$3:$M$1200,$A$3:$A$1200,A1044)+'Settings'!$B$13)*'Settings'!$B$14/100+'Settings'!$B$15,2),0)</f>
        <v>1.34</v>
      </c>
    </row>
    <row r="1045">
      <c r="A1045" s="3" t="inlineStr">
        <is>
          <t xml:space="preserve">#1770</t>
        </is>
      </c>
      <c r="B1045" s="3" t="inlineStr">
        <is>
          <t xml:space="preserve">2026-09-23</t>
        </is>
      </c>
      <c r="C1045" s="3" t="inlineStr">
        <is>
          <t xml:space="preserve">SKU-F</t>
        </is>
      </c>
      <c r="D1045" s="3" t="inlineStr">
        <is>
          <t xml:space="preserve">Cloud Cleanser</t>
        </is>
      </c>
      <c r="E1045" s="6">
        <f>IF('Settings'!$B$11="Scenario",IFERROR(INDEX('Catalogue'!$E$3:$E$100,MATCH(C1045,'Catalogue'!$B$3:$B$100,0)),F1045),F1045)</f>
        <v>34</v>
      </c>
      <c r="F1045" s="8">
        <v>34</v>
      </c>
      <c r="G1045" s="3">
        <v>1</v>
      </c>
      <c r="H1045" s="6">
        <f>IF('Settings'!$B$11="Scenario",ROUND(E1045*G1045*IFERROR(SUMIF('Pricing &amp; promotions'!$A$6:$A$8,L1045,'Pricing &amp; promotions'!$B$6:$B$8)/100,0),2),J1045)</f>
        <v>0.0</v>
      </c>
      <c r="I1045" s="6">
        <f>ROUND((E1045*G1045-H1045)/IF(OR(K1045=TRUE,K1045="TRUE",K1045="YES",K1045=1),1+'Settings'!$B$6/100,1),2)</f>
        <v>28.1</v>
      </c>
      <c r="J1045" s="8">
        <v>0.0</v>
      </c>
      <c r="K1045" s="3" t="inlineStr">
        <is>
          <t xml:space="preserve">TRUE</t>
        </is>
      </c>
      <c r="L1045" s="3"/>
      <c r="M1045" s="6">
        <f>ROUND(E1045*G1045-H1045,2)</f>
        <v>34.0</v>
      </c>
      <c r="N1045" s="5">
        <f>IF(COUNTIF($A$3:A1045,A1045)=1,1,0)</f>
        <v>1</v>
      </c>
      <c r="O1045" s="6">
        <f>IF(N1045=1,ROUND((SUMIFS($M$3:$M$1200,$A$3:$A$1200,A1045)+'Settings'!$B$13)*'Settings'!$B$14/100+'Settings'!$B$15,2),0)</f>
        <v>1.85</v>
      </c>
    </row>
    <row r="1046">
      <c r="A1046" s="3" t="inlineStr">
        <is>
          <t xml:space="preserve">#1770</t>
        </is>
      </c>
      <c r="B1046" s="3" t="inlineStr">
        <is>
          <t xml:space="preserve">2026-09-23</t>
        </is>
      </c>
      <c r="C1046" s="3" t="inlineStr">
        <is>
          <t xml:space="preserve">SKU-A</t>
        </is>
      </c>
      <c r="D1046" s="3" t="inlineStr">
        <is>
          <t xml:space="preserve">Renewal Serum</t>
        </is>
      </c>
      <c r="E1046" s="6">
        <f>IF('Settings'!$B$11="Scenario",IFERROR(INDEX('Catalogue'!$E$3:$E$100,MATCH(C1046,'Catalogue'!$B$3:$B$100,0)),F1046),F1046)</f>
        <v>69.9</v>
      </c>
      <c r="F1046" s="8">
        <v>69.9</v>
      </c>
      <c r="G1046" s="3">
        <v>1</v>
      </c>
      <c r="H1046" s="6">
        <f>IF('Settings'!$B$11="Scenario",ROUND(E1046*G1046*IFERROR(SUMIF('Pricing &amp; promotions'!$A$6:$A$8,L1046,'Pricing &amp; promotions'!$B$6:$B$8)/100,0),2),J1046)</f>
        <v>0.0</v>
      </c>
      <c r="I1046" s="6">
        <f>ROUND((E1046*G1046-H1046)/IF(OR(K1046=TRUE,K1046="TRUE",K1046="YES",K1046=1),1+'Settings'!$B$6/100,1),2)</f>
        <v>57.77</v>
      </c>
      <c r="J1046" s="8">
        <v>0.0</v>
      </c>
      <c r="K1046" s="3" t="inlineStr">
        <is>
          <t xml:space="preserve">TRUE</t>
        </is>
      </c>
      <c r="L1046" s="3"/>
      <c r="M1046" s="6">
        <f>ROUND(E1046*G1046-H1046,2)</f>
        <v>69.9</v>
      </c>
      <c r="N1046" s="5">
        <f>IF(COUNTIF($A$3:A1046,A1046)=1,1,0)</f>
        <v>0</v>
      </c>
      <c r="O1046" s="6">
        <f>IF(N1046=1,ROUND((SUMIFS($M$3:$M$1200,$A$3:$A$1200,A1046)+'Settings'!$B$13)*'Settings'!$B$14/100+'Settings'!$B$15,2),0)</f>
        <v>0</v>
      </c>
    </row>
    <row r="1047">
      <c r="A1047" s="3" t="inlineStr">
        <is>
          <t xml:space="preserve">#1771</t>
        </is>
      </c>
      <c r="B1047" s="3" t="inlineStr">
        <is>
          <t xml:space="preserve">2026-09-23</t>
        </is>
      </c>
      <c r="C1047" s="3" t="inlineStr">
        <is>
          <t xml:space="preserve">SKU-E</t>
        </is>
      </c>
      <c r="D1047" s="3" t="inlineStr">
        <is>
          <t xml:space="preserve">Complete Ritual</t>
        </is>
      </c>
      <c r="E1047" s="6">
        <f>IF('Settings'!$B$11="Scenario",IFERROR(INDEX('Catalogue'!$E$3:$E$100,MATCH(C1047,'Catalogue'!$B$3:$B$100,0)),F1047),F1047)</f>
        <v>89</v>
      </c>
      <c r="F1047" s="8">
        <v>89</v>
      </c>
      <c r="G1047" s="3">
        <v>1</v>
      </c>
      <c r="H1047" s="6">
        <f>IF('Settings'!$B$11="Scenario",ROUND(E1047*G1047*IFERROR(SUMIF('Pricing &amp; promotions'!$A$6:$A$8,L1047,'Pricing &amp; promotions'!$B$6:$B$8)/100,0),2),J1047)</f>
        <v>8.9</v>
      </c>
      <c r="I1047" s="6">
        <f>ROUND((E1047*G1047-H1047)/IF(OR(K1047=TRUE,K1047="TRUE",K1047="YES",K1047=1),1+'Settings'!$B$6/100,1),2)</f>
        <v>66.2</v>
      </c>
      <c r="J1047" s="8">
        <v>8.9</v>
      </c>
      <c r="K1047" s="3" t="inlineStr">
        <is>
          <t xml:space="preserve">TRUE</t>
        </is>
      </c>
      <c r="L1047" s="3" t="inlineStr">
        <is>
          <t xml:space="preserve">WELCOME10</t>
        </is>
      </c>
      <c r="M1047" s="6">
        <f>ROUND(E1047*G1047-H1047,2)</f>
        <v>80.1</v>
      </c>
      <c r="N1047" s="5">
        <f>IF(COUNTIF($A$3:A1047,A1047)=1,1,0)</f>
        <v>1</v>
      </c>
      <c r="O1047" s="6">
        <f>IF(N1047=1,ROUND((SUMIFS($M$3:$M$1200,$A$3:$A$1200,A1047)+'Settings'!$B$13)*'Settings'!$B$14/100+'Settings'!$B$15,2),0)</f>
        <v>3.38</v>
      </c>
    </row>
    <row r="1048">
      <c r="A1048" s="3" t="inlineStr">
        <is>
          <t xml:space="preserve">#1771</t>
        </is>
      </c>
      <c r="B1048" s="3" t="inlineStr">
        <is>
          <t xml:space="preserve">2026-09-23</t>
        </is>
      </c>
      <c r="C1048" s="3" t="inlineStr">
        <is>
          <t xml:space="preserve">SKU-A</t>
        </is>
      </c>
      <c r="D1048" s="3" t="inlineStr">
        <is>
          <t xml:space="preserve">Renewal Serum</t>
        </is>
      </c>
      <c r="E1048" s="6">
        <f>IF('Settings'!$B$11="Scenario",IFERROR(INDEX('Catalogue'!$E$3:$E$100,MATCH(C1048,'Catalogue'!$B$3:$B$100,0)),F1048),F1048)</f>
        <v>69.9</v>
      </c>
      <c r="F1048" s="8">
        <v>69.9</v>
      </c>
      <c r="G1048" s="3">
        <v>2</v>
      </c>
      <c r="H1048" s="6">
        <f>IF('Settings'!$B$11="Scenario",ROUND(E1048*G1048*IFERROR(SUMIF('Pricing &amp; promotions'!$A$6:$A$8,L1048,'Pricing &amp; promotions'!$B$6:$B$8)/100,0),2),J1048)</f>
        <v>13.98</v>
      </c>
      <c r="I1048" s="6">
        <f>ROUND((E1048*G1048-H1048)/IF(OR(K1048=TRUE,K1048="TRUE",K1048="YES",K1048=1),1+'Settings'!$B$6/100,1),2)</f>
        <v>103.98</v>
      </c>
      <c r="J1048" s="8">
        <v>13.98</v>
      </c>
      <c r="K1048" s="3" t="inlineStr">
        <is>
          <t xml:space="preserve">TRUE</t>
        </is>
      </c>
      <c r="L1048" s="3" t="inlineStr">
        <is>
          <t xml:space="preserve">WELCOME10</t>
        </is>
      </c>
      <c r="M1048" s="6">
        <f>ROUND(E1048*G1048-H1048,2)</f>
        <v>125.82</v>
      </c>
      <c r="N1048" s="5">
        <f>IF(COUNTIF($A$3:A1048,A1048)=1,1,0)</f>
        <v>0</v>
      </c>
      <c r="O1048" s="6">
        <f>IF(N1048=1,ROUND((SUMIFS($M$3:$M$1200,$A$3:$A$1200,A1048)+'Settings'!$B$13)*'Settings'!$B$14/100+'Settings'!$B$15,2),0)</f>
        <v>0</v>
      </c>
    </row>
    <row r="1049">
      <c r="A1049" s="3" t="inlineStr">
        <is>
          <t xml:space="preserve">#1772</t>
        </is>
      </c>
      <c r="B1049" s="3" t="inlineStr">
        <is>
          <t xml:space="preserve">2026-09-24</t>
        </is>
      </c>
      <c r="C1049" s="3" t="inlineStr">
        <is>
          <t xml:space="preserve">SKU-A</t>
        </is>
      </c>
      <c r="D1049" s="3" t="inlineStr">
        <is>
          <t xml:space="preserve">Renewal Serum</t>
        </is>
      </c>
      <c r="E1049" s="6">
        <f>IF('Settings'!$B$11="Scenario",IFERROR(INDEX('Catalogue'!$E$3:$E$100,MATCH(C1049,'Catalogue'!$B$3:$B$100,0)),F1049),F1049)</f>
        <v>69.9</v>
      </c>
      <c r="F1049" s="8">
        <v>69.9</v>
      </c>
      <c r="G1049" s="3">
        <v>1</v>
      </c>
      <c r="H1049" s="6">
        <f>IF('Settings'!$B$11="Scenario",ROUND(E1049*G1049*IFERROR(SUMIF('Pricing &amp; promotions'!$A$6:$A$8,L1049,'Pricing &amp; promotions'!$B$6:$B$8)/100,0),2),J1049)</f>
        <v>0.0</v>
      </c>
      <c r="I1049" s="6">
        <f>ROUND((E1049*G1049-H1049)/IF(OR(K1049=TRUE,K1049="TRUE",K1049="YES",K1049=1),1+'Settings'!$B$6/100,1),2)</f>
        <v>57.77</v>
      </c>
      <c r="J1049" s="8">
        <v>0.0</v>
      </c>
      <c r="K1049" s="3" t="inlineStr">
        <is>
          <t xml:space="preserve">TRUE</t>
        </is>
      </c>
      <c r="L1049" s="3"/>
      <c r="M1049" s="6">
        <f>ROUND(E1049*G1049-H1049,2)</f>
        <v>69.9</v>
      </c>
      <c r="N1049" s="5">
        <f>IF(COUNTIF($A$3:A1049,A1049)=1,1,0)</f>
        <v>1</v>
      </c>
      <c r="O1049" s="6">
        <f>IF(N1049=1,ROUND((SUMIFS($M$3:$M$1200,$A$3:$A$1200,A1049)+'Settings'!$B$13)*'Settings'!$B$14/100+'Settings'!$B$15,2),0)</f>
        <v>2.38</v>
      </c>
    </row>
    <row r="1050">
      <c r="A1050" s="3" t="inlineStr">
        <is>
          <t xml:space="preserve">#1772</t>
        </is>
      </c>
      <c r="B1050" s="3" t="inlineStr">
        <is>
          <t xml:space="preserve">2026-09-24</t>
        </is>
      </c>
      <c r="C1050" s="3" t="inlineStr">
        <is>
          <t xml:space="preserve">SKU-G</t>
        </is>
      </c>
      <c r="D1050" s="3" t="inlineStr">
        <is>
          <t xml:space="preserve">Daily Reset Set</t>
        </is>
      </c>
      <c r="E1050" s="6">
        <f>IF('Settings'!$B$11="Scenario",IFERROR(INDEX('Catalogue'!$E$3:$E$100,MATCH(C1050,'Catalogue'!$B$3:$B$100,0)),F1050),F1050)</f>
        <v>69</v>
      </c>
      <c r="F1050" s="8">
        <v>69</v>
      </c>
      <c r="G1050" s="3">
        <v>1</v>
      </c>
      <c r="H1050" s="6">
        <f>IF('Settings'!$B$11="Scenario",ROUND(E1050*G1050*IFERROR(SUMIF('Pricing &amp; promotions'!$A$6:$A$8,L1050,'Pricing &amp; promotions'!$B$6:$B$8)/100,0),2),J1050)</f>
        <v>0.0</v>
      </c>
      <c r="I1050" s="6">
        <f>ROUND((E1050*G1050-H1050)/IF(OR(K1050=TRUE,K1050="TRUE",K1050="YES",K1050=1),1+'Settings'!$B$6/100,1),2)</f>
        <v>57.02</v>
      </c>
      <c r="J1050" s="8">
        <v>0.0</v>
      </c>
      <c r="K1050" s="3" t="inlineStr">
        <is>
          <t xml:space="preserve">TRUE</t>
        </is>
      </c>
      <c r="L1050" s="3"/>
      <c r="M1050" s="6">
        <f>ROUND(E1050*G1050-H1050,2)</f>
        <v>69.0</v>
      </c>
      <c r="N1050" s="5">
        <f>IF(COUNTIF($A$3:A1050,A1050)=1,1,0)</f>
        <v>0</v>
      </c>
      <c r="O1050" s="6">
        <f>IF(N1050=1,ROUND((SUMIFS($M$3:$M$1200,$A$3:$A$1200,A1050)+'Settings'!$B$13)*'Settings'!$B$14/100+'Settings'!$B$15,2),0)</f>
        <v>0</v>
      </c>
    </row>
    <row r="1051">
      <c r="A1051" s="3" t="inlineStr">
        <is>
          <t xml:space="preserve">#1773</t>
        </is>
      </c>
      <c r="B1051" s="3" t="inlineStr">
        <is>
          <t xml:space="preserve">2026-09-24</t>
        </is>
      </c>
      <c r="C1051" s="3" t="inlineStr">
        <is>
          <t xml:space="preserve">SKU-A</t>
        </is>
      </c>
      <c r="D1051" s="3" t="inlineStr">
        <is>
          <t xml:space="preserve">Renewal Serum</t>
        </is>
      </c>
      <c r="E1051" s="6">
        <f>IF('Settings'!$B$11="Scenario",IFERROR(INDEX('Catalogue'!$E$3:$E$100,MATCH(C1051,'Catalogue'!$B$3:$B$100,0)),F1051),F1051)</f>
        <v>69.9</v>
      </c>
      <c r="F1051" s="8">
        <v>69.9</v>
      </c>
      <c r="G1051" s="3">
        <v>1</v>
      </c>
      <c r="H1051" s="6">
        <f>IF('Settings'!$B$11="Scenario",ROUND(E1051*G1051*IFERROR(SUMIF('Pricing &amp; promotions'!$A$6:$A$8,L1051,'Pricing &amp; promotions'!$B$6:$B$8)/100,0),2),J1051)</f>
        <v>6.99</v>
      </c>
      <c r="I1051" s="6">
        <f>ROUND((E1051*G1051-H1051)/IF(OR(K1051=TRUE,K1051="TRUE",K1051="YES",K1051=1),1+'Settings'!$B$6/100,1),2)</f>
        <v>51.99</v>
      </c>
      <c r="J1051" s="8">
        <v>6.99</v>
      </c>
      <c r="K1051" s="3" t="inlineStr">
        <is>
          <t xml:space="preserve">TRUE</t>
        </is>
      </c>
      <c r="L1051" s="3" t="inlineStr">
        <is>
          <t xml:space="preserve">WELCOME10</t>
        </is>
      </c>
      <c r="M1051" s="6">
        <f>ROUND(E1051*G1051-H1051,2)</f>
        <v>62.91</v>
      </c>
      <c r="N1051" s="5">
        <f>IF(COUNTIF($A$3:A1051,A1051)=1,1,0)</f>
        <v>1</v>
      </c>
      <c r="O1051" s="6">
        <f>IF(N1051=1,ROUND((SUMIFS($M$3:$M$1200,$A$3:$A$1200,A1051)+'Settings'!$B$13)*'Settings'!$B$14/100+'Settings'!$B$15,2),0)</f>
        <v>1.24</v>
      </c>
    </row>
    <row r="1052">
      <c r="A1052" s="3" t="inlineStr">
        <is>
          <t xml:space="preserve">#1774</t>
        </is>
      </c>
      <c r="B1052" s="3" t="inlineStr">
        <is>
          <t xml:space="preserve">2026-09-25</t>
        </is>
      </c>
      <c r="C1052" s="3" t="inlineStr">
        <is>
          <t xml:space="preserve">SKU-G</t>
        </is>
      </c>
      <c r="D1052" s="3" t="inlineStr">
        <is>
          <t xml:space="preserve">Daily Reset Set</t>
        </is>
      </c>
      <c r="E1052" s="6">
        <f>IF('Settings'!$B$11="Scenario",IFERROR(INDEX('Catalogue'!$E$3:$E$100,MATCH(C1052,'Catalogue'!$B$3:$B$100,0)),F1052),F1052)</f>
        <v>69</v>
      </c>
      <c r="F1052" s="8">
        <v>69</v>
      </c>
      <c r="G1052" s="3">
        <v>2</v>
      </c>
      <c r="H1052" s="6">
        <f>IF('Settings'!$B$11="Scenario",ROUND(E1052*G1052*IFERROR(SUMIF('Pricing &amp; promotions'!$A$6:$A$8,L1052,'Pricing &amp; promotions'!$B$6:$B$8)/100,0),2),J1052)</f>
        <v>13.8</v>
      </c>
      <c r="I1052" s="6">
        <f>ROUND((E1052*G1052-H1052)/IF(OR(K1052=TRUE,K1052="TRUE",K1052="YES",K1052=1),1+'Settings'!$B$6/100,1),2)</f>
        <v>102.64</v>
      </c>
      <c r="J1052" s="8">
        <v>13.8</v>
      </c>
      <c r="K1052" s="3" t="inlineStr">
        <is>
          <t xml:space="preserve">TRUE</t>
        </is>
      </c>
      <c r="L1052" s="3" t="inlineStr">
        <is>
          <t xml:space="preserve">WELCOME10</t>
        </is>
      </c>
      <c r="M1052" s="6">
        <f>ROUND(E1052*G1052-H1052,2)</f>
        <v>124.2</v>
      </c>
      <c r="N1052" s="5">
        <f>IF(COUNTIF($A$3:A1052,A1052)=1,1,0)</f>
        <v>1</v>
      </c>
      <c r="O1052" s="6">
        <f>IF(N1052=1,ROUND((SUMIFS($M$3:$M$1200,$A$3:$A$1200,A1052)+'Settings'!$B$13)*'Settings'!$B$14/100+'Settings'!$B$15,2),0)</f>
        <v>2.16</v>
      </c>
    </row>
    <row r="1053">
      <c r="A1053" s="3" t="inlineStr">
        <is>
          <t xml:space="preserve">#1775</t>
        </is>
      </c>
      <c r="B1053" s="3" t="inlineStr">
        <is>
          <t xml:space="preserve">2026-09-25</t>
        </is>
      </c>
      <c r="C1053" s="3" t="inlineStr">
        <is>
          <t xml:space="preserve">SKU-E</t>
        </is>
      </c>
      <c r="D1053" s="3" t="inlineStr">
        <is>
          <t xml:space="preserve">Complete Ritual</t>
        </is>
      </c>
      <c r="E1053" s="6">
        <f>IF('Settings'!$B$11="Scenario",IFERROR(INDEX('Catalogue'!$E$3:$E$100,MATCH(C1053,'Catalogue'!$B$3:$B$100,0)),F1053),F1053)</f>
        <v>89</v>
      </c>
      <c r="F1053" s="8">
        <v>89</v>
      </c>
      <c r="G1053" s="3">
        <v>1</v>
      </c>
      <c r="H1053" s="6">
        <f>IF('Settings'!$B$11="Scenario",ROUND(E1053*G1053*IFERROR(SUMIF('Pricing &amp; promotions'!$A$6:$A$8,L1053,'Pricing &amp; promotions'!$B$6:$B$8)/100,0),2),J1053)</f>
        <v>0.0</v>
      </c>
      <c r="I1053" s="6">
        <f>ROUND((E1053*G1053-H1053)/IF(OR(K1053=TRUE,K1053="TRUE",K1053="YES",K1053=1),1+'Settings'!$B$6/100,1),2)</f>
        <v>73.55</v>
      </c>
      <c r="J1053" s="8">
        <v>0.0</v>
      </c>
      <c r="K1053" s="3" t="inlineStr">
        <is>
          <t xml:space="preserve">TRUE</t>
        </is>
      </c>
      <c r="L1053" s="3"/>
      <c r="M1053" s="6">
        <f>ROUND(E1053*G1053-H1053,2)</f>
        <v>89.0</v>
      </c>
      <c r="N1053" s="5">
        <f>IF(COUNTIF($A$3:A1053,A1053)=1,1,0)</f>
        <v>1</v>
      </c>
      <c r="O1053" s="6">
        <f>IF(N1053=1,ROUND((SUMIFS($M$3:$M$1200,$A$3:$A$1200,A1053)+'Settings'!$B$13)*'Settings'!$B$14/100+'Settings'!$B$15,2),0)</f>
        <v>1.63</v>
      </c>
    </row>
    <row r="1054">
      <c r="A1054" s="3" t="inlineStr">
        <is>
          <t xml:space="preserve">#1776</t>
        </is>
      </c>
      <c r="B1054" s="3" t="inlineStr">
        <is>
          <t xml:space="preserve">2026-09-26</t>
        </is>
      </c>
      <c r="C1054" s="3" t="inlineStr">
        <is>
          <t xml:space="preserve">SKU-A</t>
        </is>
      </c>
      <c r="D1054" s="3" t="inlineStr">
        <is>
          <t xml:space="preserve">Renewal Serum</t>
        </is>
      </c>
      <c r="E1054" s="6">
        <f>IF('Settings'!$B$11="Scenario",IFERROR(INDEX('Catalogue'!$E$3:$E$100,MATCH(C1054,'Catalogue'!$B$3:$B$100,0)),F1054),F1054)</f>
        <v>69.9</v>
      </c>
      <c r="F1054" s="8">
        <v>69.9</v>
      </c>
      <c r="G1054" s="3">
        <v>1</v>
      </c>
      <c r="H1054" s="6">
        <f>IF('Settings'!$B$11="Scenario",ROUND(E1054*G1054*IFERROR(SUMIF('Pricing &amp; promotions'!$A$6:$A$8,L1054,'Pricing &amp; promotions'!$B$6:$B$8)/100,0),2),J1054)</f>
        <v>0.0</v>
      </c>
      <c r="I1054" s="6">
        <f>ROUND((E1054*G1054-H1054)/IF(OR(K1054=TRUE,K1054="TRUE",K1054="YES",K1054=1),1+'Settings'!$B$6/100,1),2)</f>
        <v>57.77</v>
      </c>
      <c r="J1054" s="8">
        <v>0.0</v>
      </c>
      <c r="K1054" s="3" t="inlineStr">
        <is>
          <t xml:space="preserve">TRUE</t>
        </is>
      </c>
      <c r="L1054" s="3"/>
      <c r="M1054" s="6">
        <f>ROUND(E1054*G1054-H1054,2)</f>
        <v>69.9</v>
      </c>
      <c r="N1054" s="5">
        <f>IF(COUNTIF($A$3:A1054,A1054)=1,1,0)</f>
        <v>1</v>
      </c>
      <c r="O1054" s="6">
        <f>IF(N1054=1,ROUND((SUMIFS($M$3:$M$1200,$A$3:$A$1200,A1054)+'Settings'!$B$13)*'Settings'!$B$14/100+'Settings'!$B$15,2),0)</f>
        <v>1.34</v>
      </c>
    </row>
    <row r="1055">
      <c r="A1055" s="3" t="inlineStr">
        <is>
          <t xml:space="preserve">#1777</t>
        </is>
      </c>
      <c r="B1055" s="3" t="inlineStr">
        <is>
          <t xml:space="preserve">2026-09-26</t>
        </is>
      </c>
      <c r="C1055" s="3" t="inlineStr">
        <is>
          <t xml:space="preserve">SKU-B</t>
        </is>
      </c>
      <c r="D1055" s="3" t="inlineStr">
        <is>
          <t xml:space="preserve">Barrier Balm</t>
        </is>
      </c>
      <c r="E1055" s="6">
        <f>IF('Settings'!$B$11="Scenario",IFERROR(INDEX('Catalogue'!$E$3:$E$100,MATCH(C1055,'Catalogue'!$B$3:$B$100,0)),F1055),F1055)</f>
        <v>19</v>
      </c>
      <c r="F1055" s="8">
        <v>19</v>
      </c>
      <c r="G1055" s="3">
        <v>1</v>
      </c>
      <c r="H1055" s="6">
        <f>IF('Settings'!$B$11="Scenario",ROUND(E1055*G1055*IFERROR(SUMIF('Pricing &amp; promotions'!$A$6:$A$8,L1055,'Pricing &amp; promotions'!$B$6:$B$8)/100,0),2),J1055)</f>
        <v>1.9</v>
      </c>
      <c r="I1055" s="6">
        <f>ROUND((E1055*G1055-H1055)/IF(OR(K1055=TRUE,K1055="TRUE",K1055="YES",K1055=1),1+'Settings'!$B$6/100,1),2)</f>
        <v>14.13</v>
      </c>
      <c r="J1055" s="8">
        <v>1.9</v>
      </c>
      <c r="K1055" s="3" t="inlineStr">
        <is>
          <t xml:space="preserve">TRUE</t>
        </is>
      </c>
      <c r="L1055" s="3" t="inlineStr">
        <is>
          <t xml:space="preserve">WELCOME10</t>
        </is>
      </c>
      <c r="M1055" s="6">
        <f>ROUND(E1055*G1055-H1055,2)</f>
        <v>17.1</v>
      </c>
      <c r="N1055" s="5">
        <f>IF(COUNTIF($A$3:A1055,A1055)=1,1,0)</f>
        <v>1</v>
      </c>
      <c r="O1055" s="6">
        <f>IF(N1055=1,ROUND((SUMIFS($M$3:$M$1200,$A$3:$A$1200,A1055)+'Settings'!$B$13)*'Settings'!$B$14/100+'Settings'!$B$15,2),0)</f>
        <v>0.55</v>
      </c>
    </row>
    <row r="1056">
      <c r="A1056" s="3" t="inlineStr">
        <is>
          <t xml:space="preserve">#1778</t>
        </is>
      </c>
      <c r="B1056" s="3" t="inlineStr">
        <is>
          <t xml:space="preserve">2026-09-26</t>
        </is>
      </c>
      <c r="C1056" s="3" t="inlineStr">
        <is>
          <t xml:space="preserve">SKU-A</t>
        </is>
      </c>
      <c r="D1056" s="3" t="inlineStr">
        <is>
          <t xml:space="preserve">Renewal Serum</t>
        </is>
      </c>
      <c r="E1056" s="6">
        <f>IF('Settings'!$B$11="Scenario",IFERROR(INDEX('Catalogue'!$E$3:$E$100,MATCH(C1056,'Catalogue'!$B$3:$B$100,0)),F1056),F1056)</f>
        <v>69.9</v>
      </c>
      <c r="F1056" s="8">
        <v>69.9</v>
      </c>
      <c r="G1056" s="3">
        <v>1</v>
      </c>
      <c r="H1056" s="6">
        <f>IF('Settings'!$B$11="Scenario",ROUND(E1056*G1056*IFERROR(SUMIF('Pricing &amp; promotions'!$A$6:$A$8,L1056,'Pricing &amp; promotions'!$B$6:$B$8)/100,0),2),J1056)</f>
        <v>6.99</v>
      </c>
      <c r="I1056" s="6">
        <f>ROUND((E1056*G1056-H1056)/IF(OR(K1056=TRUE,K1056="TRUE",K1056="YES",K1056=1),1+'Settings'!$B$6/100,1),2)</f>
        <v>51.99</v>
      </c>
      <c r="J1056" s="8">
        <v>6.99</v>
      </c>
      <c r="K1056" s="3" t="inlineStr">
        <is>
          <t xml:space="preserve">TRUE</t>
        </is>
      </c>
      <c r="L1056" s="3" t="inlineStr">
        <is>
          <t xml:space="preserve">WELCOME10</t>
        </is>
      </c>
      <c r="M1056" s="6">
        <f>ROUND(E1056*G1056-H1056,2)</f>
        <v>62.91</v>
      </c>
      <c r="N1056" s="5">
        <f>IF(COUNTIF($A$3:A1056,A1056)=1,1,0)</f>
        <v>1</v>
      </c>
      <c r="O1056" s="6">
        <f>IF(N1056=1,ROUND((SUMIFS($M$3:$M$1200,$A$3:$A$1200,A1056)+'Settings'!$B$13)*'Settings'!$B$14/100+'Settings'!$B$15,2),0)</f>
        <v>2.3</v>
      </c>
    </row>
    <row r="1057">
      <c r="A1057" s="3" t="inlineStr">
        <is>
          <t xml:space="preserve">#1778</t>
        </is>
      </c>
      <c r="B1057" s="3" t="inlineStr">
        <is>
          <t xml:space="preserve">2026-09-26</t>
        </is>
      </c>
      <c r="C1057" s="3" t="inlineStr">
        <is>
          <t xml:space="preserve">SKU-D</t>
        </is>
      </c>
      <c r="D1057" s="3" t="inlineStr">
        <is>
          <t xml:space="preserve">Daily Duo</t>
        </is>
      </c>
      <c r="E1057" s="6">
        <f>IF('Settings'!$B$11="Scenario",IFERROR(INDEX('Catalogue'!$E$3:$E$100,MATCH(C1057,'Catalogue'!$B$3:$B$100,0)),F1057),F1057)</f>
        <v>79</v>
      </c>
      <c r="F1057" s="8">
        <v>79</v>
      </c>
      <c r="G1057" s="3">
        <v>1</v>
      </c>
      <c r="H1057" s="6">
        <f>IF('Settings'!$B$11="Scenario",ROUND(E1057*G1057*IFERROR(SUMIF('Pricing &amp; promotions'!$A$6:$A$8,L1057,'Pricing &amp; promotions'!$B$6:$B$8)/100,0),2),J1057)</f>
        <v>7.9</v>
      </c>
      <c r="I1057" s="6">
        <f>ROUND((E1057*G1057-H1057)/IF(OR(K1057=TRUE,K1057="TRUE",K1057="YES",K1057=1),1+'Settings'!$B$6/100,1),2)</f>
        <v>58.76</v>
      </c>
      <c r="J1057" s="8">
        <v>7.9</v>
      </c>
      <c r="K1057" s="3" t="inlineStr">
        <is>
          <t xml:space="preserve">TRUE</t>
        </is>
      </c>
      <c r="L1057" s="3" t="inlineStr">
        <is>
          <t xml:space="preserve">WELCOME10</t>
        </is>
      </c>
      <c r="M1057" s="6">
        <f>ROUND(E1057*G1057-H1057,2)</f>
        <v>71.1</v>
      </c>
      <c r="N1057" s="5">
        <f>IF(COUNTIF($A$3:A1057,A1057)=1,1,0)</f>
        <v>0</v>
      </c>
      <c r="O1057" s="6">
        <f>IF(N1057=1,ROUND((SUMIFS($M$3:$M$1200,$A$3:$A$1200,A1057)+'Settings'!$B$13)*'Settings'!$B$14/100+'Settings'!$B$15,2),0)</f>
        <v>0</v>
      </c>
    </row>
    <row r="1058">
      <c r="A1058" s="3" t="inlineStr">
        <is>
          <t xml:space="preserve">#1779</t>
        </is>
      </c>
      <c r="B1058" s="3" t="inlineStr">
        <is>
          <t xml:space="preserve">2026-09-26</t>
        </is>
      </c>
      <c r="C1058" s="3" t="inlineStr">
        <is>
          <t xml:space="preserve">SKU-E</t>
        </is>
      </c>
      <c r="D1058" s="3" t="inlineStr">
        <is>
          <t xml:space="preserve">Complete Ritual</t>
        </is>
      </c>
      <c r="E1058" s="6">
        <f>IF('Settings'!$B$11="Scenario",IFERROR(INDEX('Catalogue'!$E$3:$E$100,MATCH(C1058,'Catalogue'!$B$3:$B$100,0)),F1058),F1058)</f>
        <v>89</v>
      </c>
      <c r="F1058" s="8">
        <v>89</v>
      </c>
      <c r="G1058" s="3">
        <v>1</v>
      </c>
      <c r="H1058" s="6">
        <f>IF('Settings'!$B$11="Scenario",ROUND(E1058*G1058*IFERROR(SUMIF('Pricing &amp; promotions'!$A$6:$A$8,L1058,'Pricing &amp; promotions'!$B$6:$B$8)/100,0),2),J1058)</f>
        <v>13.35</v>
      </c>
      <c r="I1058" s="6">
        <f>ROUND((E1058*G1058-H1058)/IF(OR(K1058=TRUE,K1058="TRUE",K1058="YES",K1058=1),1+'Settings'!$B$6/100,1),2)</f>
        <v>62.52</v>
      </c>
      <c r="J1058" s="8">
        <v>13.35</v>
      </c>
      <c r="K1058" s="3" t="inlineStr">
        <is>
          <t xml:space="preserve">TRUE</t>
        </is>
      </c>
      <c r="L1058" s="3" t="inlineStr">
        <is>
          <t xml:space="preserve">SUMMER15</t>
        </is>
      </c>
      <c r="M1058" s="6">
        <f>ROUND(E1058*G1058-H1058,2)</f>
        <v>75.65</v>
      </c>
      <c r="N1058" s="5">
        <f>IF(COUNTIF($A$3:A1058,A1058)=1,1,0)</f>
        <v>1</v>
      </c>
      <c r="O1058" s="6">
        <f>IF(N1058=1,ROUND((SUMIFS($M$3:$M$1200,$A$3:$A$1200,A1058)+'Settings'!$B$13)*'Settings'!$B$14/100+'Settings'!$B$15,2),0)</f>
        <v>1.43</v>
      </c>
    </row>
    <row r="1059">
      <c r="A1059" s="3" t="inlineStr">
        <is>
          <t xml:space="preserve">#1780</t>
        </is>
      </c>
      <c r="B1059" s="3" t="inlineStr">
        <is>
          <t xml:space="preserve">2026-09-26</t>
        </is>
      </c>
      <c r="C1059" s="3" t="inlineStr">
        <is>
          <t xml:space="preserve">SKU-B</t>
        </is>
      </c>
      <c r="D1059" s="3" t="inlineStr">
        <is>
          <t xml:space="preserve">Barrier Balm</t>
        </is>
      </c>
      <c r="E1059" s="6">
        <f>IF('Settings'!$B$11="Scenario",IFERROR(INDEX('Catalogue'!$E$3:$E$100,MATCH(C1059,'Catalogue'!$B$3:$B$100,0)),F1059),F1059)</f>
        <v>19</v>
      </c>
      <c r="F1059" s="8">
        <v>19</v>
      </c>
      <c r="G1059" s="3">
        <v>1</v>
      </c>
      <c r="H1059" s="6">
        <f>IF('Settings'!$B$11="Scenario",ROUND(E1059*G1059*IFERROR(SUMIF('Pricing &amp; promotions'!$A$6:$A$8,L1059,'Pricing &amp; promotions'!$B$6:$B$8)/100,0),2),J1059)</f>
        <v>1.9</v>
      </c>
      <c r="I1059" s="6">
        <f>ROUND((E1059*G1059-H1059)/IF(OR(K1059=TRUE,K1059="TRUE",K1059="YES",K1059=1),1+'Settings'!$B$6/100,1),2)</f>
        <v>14.13</v>
      </c>
      <c r="J1059" s="8">
        <v>1.9</v>
      </c>
      <c r="K1059" s="3" t="inlineStr">
        <is>
          <t xml:space="preserve">TRUE</t>
        </is>
      </c>
      <c r="L1059" s="3" t="inlineStr">
        <is>
          <t xml:space="preserve">WELCOME10</t>
        </is>
      </c>
      <c r="M1059" s="6">
        <f>ROUND(E1059*G1059-H1059,2)</f>
        <v>17.1</v>
      </c>
      <c r="N1059" s="5">
        <f>IF(COUNTIF($A$3:A1059,A1059)=1,1,0)</f>
        <v>1</v>
      </c>
      <c r="O1059" s="6">
        <f>IF(N1059=1,ROUND((SUMIFS($M$3:$M$1200,$A$3:$A$1200,A1059)+'Settings'!$B$13)*'Settings'!$B$14/100+'Settings'!$B$15,2),0)</f>
        <v>1.62</v>
      </c>
    </row>
    <row r="1060">
      <c r="A1060" s="3" t="inlineStr">
        <is>
          <t xml:space="preserve">#1780</t>
        </is>
      </c>
      <c r="B1060" s="3" t="inlineStr">
        <is>
          <t xml:space="preserve">2026-09-26</t>
        </is>
      </c>
      <c r="C1060" s="3" t="inlineStr">
        <is>
          <t xml:space="preserve">SKU-D</t>
        </is>
      </c>
      <c r="D1060" s="3" t="inlineStr">
        <is>
          <t xml:space="preserve">Daily Duo</t>
        </is>
      </c>
      <c r="E1060" s="6">
        <f>IF('Settings'!$B$11="Scenario",IFERROR(INDEX('Catalogue'!$E$3:$E$100,MATCH(C1060,'Catalogue'!$B$3:$B$100,0)),F1060),F1060)</f>
        <v>79</v>
      </c>
      <c r="F1060" s="8">
        <v>79</v>
      </c>
      <c r="G1060" s="3">
        <v>1</v>
      </c>
      <c r="H1060" s="6">
        <f>IF('Settings'!$B$11="Scenario",ROUND(E1060*G1060*IFERROR(SUMIF('Pricing &amp; promotions'!$A$6:$A$8,L1060,'Pricing &amp; promotions'!$B$6:$B$8)/100,0),2),J1060)</f>
        <v>7.9</v>
      </c>
      <c r="I1060" s="6">
        <f>ROUND((E1060*G1060-H1060)/IF(OR(K1060=TRUE,K1060="TRUE",K1060="YES",K1060=1),1+'Settings'!$B$6/100,1),2)</f>
        <v>58.76</v>
      </c>
      <c r="J1060" s="8">
        <v>7.9</v>
      </c>
      <c r="K1060" s="3" t="inlineStr">
        <is>
          <t xml:space="preserve">TRUE</t>
        </is>
      </c>
      <c r="L1060" s="3" t="inlineStr">
        <is>
          <t xml:space="preserve">WELCOME10</t>
        </is>
      </c>
      <c r="M1060" s="6">
        <f>ROUND(E1060*G1060-H1060,2)</f>
        <v>71.1</v>
      </c>
      <c r="N1060" s="5">
        <f>IF(COUNTIF($A$3:A1060,A1060)=1,1,0)</f>
        <v>0</v>
      </c>
      <c r="O1060" s="6">
        <f>IF(N1060=1,ROUND((SUMIFS($M$3:$M$1200,$A$3:$A$1200,A1060)+'Settings'!$B$13)*'Settings'!$B$14/100+'Settings'!$B$15,2),0)</f>
        <v>0</v>
      </c>
    </row>
    <row r="1061">
      <c r="A1061" s="3" t="inlineStr">
        <is>
          <t xml:space="preserve">#1781</t>
        </is>
      </c>
      <c r="B1061" s="3" t="inlineStr">
        <is>
          <t xml:space="preserve">2026-09-26</t>
        </is>
      </c>
      <c r="C1061" s="3" t="inlineStr">
        <is>
          <t xml:space="preserve">SKU-D</t>
        </is>
      </c>
      <c r="D1061" s="3" t="inlineStr">
        <is>
          <t xml:space="preserve">Daily Duo</t>
        </is>
      </c>
      <c r="E1061" s="6">
        <f>IF('Settings'!$B$11="Scenario",IFERROR(INDEX('Catalogue'!$E$3:$E$100,MATCH(C1061,'Catalogue'!$B$3:$B$100,0)),F1061),F1061)</f>
        <v>79</v>
      </c>
      <c r="F1061" s="8">
        <v>79</v>
      </c>
      <c r="G1061" s="3">
        <v>2</v>
      </c>
      <c r="H1061" s="6">
        <f>IF('Settings'!$B$11="Scenario",ROUND(E1061*G1061*IFERROR(SUMIF('Pricing &amp; promotions'!$A$6:$A$8,L1061,'Pricing &amp; promotions'!$B$6:$B$8)/100,0),2),J1061)</f>
        <v>0.0</v>
      </c>
      <c r="I1061" s="6">
        <f>ROUND((E1061*G1061-H1061)/IF(OR(K1061=TRUE,K1061="TRUE",K1061="YES",K1061=1),1+'Settings'!$B$6/100,1),2)</f>
        <v>130.58</v>
      </c>
      <c r="J1061" s="8">
        <v>0.0</v>
      </c>
      <c r="K1061" s="3" t="inlineStr">
        <is>
          <t xml:space="preserve">TRUE</t>
        </is>
      </c>
      <c r="L1061" s="3"/>
      <c r="M1061" s="6">
        <f>ROUND(E1061*G1061-H1061,2)</f>
        <v>158.0</v>
      </c>
      <c r="N1061" s="5">
        <f>IF(COUNTIF($A$3:A1061,A1061)=1,1,0)</f>
        <v>1</v>
      </c>
      <c r="O1061" s="6">
        <f>IF(N1061=1,ROUND((SUMIFS($M$3:$M$1200,$A$3:$A$1200,A1061)+'Settings'!$B$13)*'Settings'!$B$14/100+'Settings'!$B$15,2),0)</f>
        <v>3.71</v>
      </c>
    </row>
    <row r="1062">
      <c r="A1062" s="3" t="inlineStr">
        <is>
          <t xml:space="preserve">#1781</t>
        </is>
      </c>
      <c r="B1062" s="3" t="inlineStr">
        <is>
          <t xml:space="preserve">2026-09-26</t>
        </is>
      </c>
      <c r="C1062" s="3" t="inlineStr">
        <is>
          <t xml:space="preserve">SKU-A</t>
        </is>
      </c>
      <c r="D1062" s="3" t="inlineStr">
        <is>
          <t xml:space="preserve">Renewal Serum</t>
        </is>
      </c>
      <c r="E1062" s="6">
        <f>IF('Settings'!$B$11="Scenario",IFERROR(INDEX('Catalogue'!$E$3:$E$100,MATCH(C1062,'Catalogue'!$B$3:$B$100,0)),F1062),F1062)</f>
        <v>69.9</v>
      </c>
      <c r="F1062" s="8">
        <v>69.9</v>
      </c>
      <c r="G1062" s="3">
        <v>1</v>
      </c>
      <c r="H1062" s="6">
        <f>IF('Settings'!$B$11="Scenario",ROUND(E1062*G1062*IFERROR(SUMIF('Pricing &amp; promotions'!$A$6:$A$8,L1062,'Pricing &amp; promotions'!$B$6:$B$8)/100,0),2),J1062)</f>
        <v>0.0</v>
      </c>
      <c r="I1062" s="6">
        <f>ROUND((E1062*G1062-H1062)/IF(OR(K1062=TRUE,K1062="TRUE",K1062="YES",K1062=1),1+'Settings'!$B$6/100,1),2)</f>
        <v>57.77</v>
      </c>
      <c r="J1062" s="8">
        <v>0.0</v>
      </c>
      <c r="K1062" s="3" t="inlineStr">
        <is>
          <t xml:space="preserve">TRUE</t>
        </is>
      </c>
      <c r="L1062" s="3"/>
      <c r="M1062" s="6">
        <f>ROUND(E1062*G1062-H1062,2)</f>
        <v>69.9</v>
      </c>
      <c r="N1062" s="5">
        <f>IF(COUNTIF($A$3:A1062,A1062)=1,1,0)</f>
        <v>0</v>
      </c>
      <c r="O1062" s="6">
        <f>IF(N1062=1,ROUND((SUMIFS($M$3:$M$1200,$A$3:$A$1200,A1062)+'Settings'!$B$13)*'Settings'!$B$14/100+'Settings'!$B$15,2),0)</f>
        <v>0</v>
      </c>
    </row>
    <row r="1063">
      <c r="A1063" s="3" t="inlineStr">
        <is>
          <t xml:space="preserve">#1782</t>
        </is>
      </c>
      <c r="B1063" s="3" t="inlineStr">
        <is>
          <t xml:space="preserve">2026-09-27</t>
        </is>
      </c>
      <c r="C1063" s="3" t="inlineStr">
        <is>
          <t xml:space="preserve">SKU-A</t>
        </is>
      </c>
      <c r="D1063" s="3" t="inlineStr">
        <is>
          <t xml:space="preserve">Renewal Serum</t>
        </is>
      </c>
      <c r="E1063" s="6">
        <f>IF('Settings'!$B$11="Scenario",IFERROR(INDEX('Catalogue'!$E$3:$E$100,MATCH(C1063,'Catalogue'!$B$3:$B$100,0)),F1063),F1063)</f>
        <v>69.9</v>
      </c>
      <c r="F1063" s="8">
        <v>69.9</v>
      </c>
      <c r="G1063" s="3">
        <v>1</v>
      </c>
      <c r="H1063" s="6">
        <f>IF('Settings'!$B$11="Scenario",ROUND(E1063*G1063*IFERROR(SUMIF('Pricing &amp; promotions'!$A$6:$A$8,L1063,'Pricing &amp; promotions'!$B$6:$B$8)/100,0),2),J1063)</f>
        <v>10.49</v>
      </c>
      <c r="I1063" s="6">
        <f>ROUND((E1063*G1063-H1063)/IF(OR(K1063=TRUE,K1063="TRUE",K1063="YES",K1063=1),1+'Settings'!$B$6/100,1),2)</f>
        <v>49.1</v>
      </c>
      <c r="J1063" s="8">
        <v>10.49</v>
      </c>
      <c r="K1063" s="3" t="inlineStr">
        <is>
          <t xml:space="preserve">TRUE</t>
        </is>
      </c>
      <c r="L1063" s="3" t="inlineStr">
        <is>
          <t xml:space="preserve">SUMMER15</t>
        </is>
      </c>
      <c r="M1063" s="6">
        <f>ROUND(E1063*G1063-H1063,2)</f>
        <v>59.41</v>
      </c>
      <c r="N1063" s="5">
        <f>IF(COUNTIF($A$3:A1063,A1063)=1,1,0)</f>
        <v>1</v>
      </c>
      <c r="O1063" s="6">
        <f>IF(N1063=1,ROUND((SUMIFS($M$3:$M$1200,$A$3:$A$1200,A1063)+'Settings'!$B$13)*'Settings'!$B$14/100+'Settings'!$B$15,2),0)</f>
        <v>1.19</v>
      </c>
    </row>
    <row r="1064">
      <c r="A1064" s="3" t="inlineStr">
        <is>
          <t xml:space="preserve">#1783</t>
        </is>
      </c>
      <c r="B1064" s="3" t="inlineStr">
        <is>
          <t xml:space="preserve">2026-09-27</t>
        </is>
      </c>
      <c r="C1064" s="3" t="inlineStr">
        <is>
          <t xml:space="preserve">SKU-G</t>
        </is>
      </c>
      <c r="D1064" s="3" t="inlineStr">
        <is>
          <t xml:space="preserve">Daily Reset Set</t>
        </is>
      </c>
      <c r="E1064" s="6">
        <f>IF('Settings'!$B$11="Scenario",IFERROR(INDEX('Catalogue'!$E$3:$E$100,MATCH(C1064,'Catalogue'!$B$3:$B$100,0)),F1064),F1064)</f>
        <v>69</v>
      </c>
      <c r="F1064" s="8">
        <v>69</v>
      </c>
      <c r="G1064" s="3">
        <v>1</v>
      </c>
      <c r="H1064" s="6">
        <f>IF('Settings'!$B$11="Scenario",ROUND(E1064*G1064*IFERROR(SUMIF('Pricing &amp; promotions'!$A$6:$A$8,L1064,'Pricing &amp; promotions'!$B$6:$B$8)/100,0),2),J1064)</f>
        <v>0.0</v>
      </c>
      <c r="I1064" s="6">
        <f>ROUND((E1064*G1064-H1064)/IF(OR(K1064=TRUE,K1064="TRUE",K1064="YES",K1064=1),1+'Settings'!$B$6/100,1),2)</f>
        <v>57.02</v>
      </c>
      <c r="J1064" s="8">
        <v>0.0</v>
      </c>
      <c r="K1064" s="3" t="inlineStr">
        <is>
          <t xml:space="preserve">TRUE</t>
        </is>
      </c>
      <c r="L1064" s="3"/>
      <c r="M1064" s="6">
        <f>ROUND(E1064*G1064-H1064,2)</f>
        <v>69.0</v>
      </c>
      <c r="N1064" s="5">
        <f>IF(COUNTIF($A$3:A1064,A1064)=1,1,0)</f>
        <v>1</v>
      </c>
      <c r="O1064" s="6">
        <f>IF(N1064=1,ROUND((SUMIFS($M$3:$M$1200,$A$3:$A$1200,A1064)+'Settings'!$B$13)*'Settings'!$B$14/100+'Settings'!$B$15,2),0)</f>
        <v>1.33</v>
      </c>
    </row>
    <row r="1065">
      <c r="A1065" s="3" t="inlineStr">
        <is>
          <t xml:space="preserve">#1784</t>
        </is>
      </c>
      <c r="B1065" s="3" t="inlineStr">
        <is>
          <t xml:space="preserve">2026-09-27</t>
        </is>
      </c>
      <c r="C1065" s="3" t="inlineStr">
        <is>
          <t xml:space="preserve">SKU-A</t>
        </is>
      </c>
      <c r="D1065" s="3" t="inlineStr">
        <is>
          <t xml:space="preserve">Renewal Serum</t>
        </is>
      </c>
      <c r="E1065" s="6">
        <f>IF('Settings'!$B$11="Scenario",IFERROR(INDEX('Catalogue'!$E$3:$E$100,MATCH(C1065,'Catalogue'!$B$3:$B$100,0)),F1065),F1065)</f>
        <v>69.9</v>
      </c>
      <c r="F1065" s="8">
        <v>69.9</v>
      </c>
      <c r="G1065" s="3">
        <v>1</v>
      </c>
      <c r="H1065" s="6">
        <f>IF('Settings'!$B$11="Scenario",ROUND(E1065*G1065*IFERROR(SUMIF('Pricing &amp; promotions'!$A$6:$A$8,L1065,'Pricing &amp; promotions'!$B$6:$B$8)/100,0),2),J1065)</f>
        <v>0.0</v>
      </c>
      <c r="I1065" s="6">
        <f>ROUND((E1065*G1065-H1065)/IF(OR(K1065=TRUE,K1065="TRUE",K1065="YES",K1065=1),1+'Settings'!$B$6/100,1),2)</f>
        <v>57.77</v>
      </c>
      <c r="J1065" s="8">
        <v>0.0</v>
      </c>
      <c r="K1065" s="3" t="inlineStr">
        <is>
          <t xml:space="preserve">TRUE</t>
        </is>
      </c>
      <c r="L1065" s="3"/>
      <c r="M1065" s="6">
        <f>ROUND(E1065*G1065-H1065,2)</f>
        <v>69.9</v>
      </c>
      <c r="N1065" s="5">
        <f>IF(COUNTIF($A$3:A1065,A1065)=1,1,0)</f>
        <v>1</v>
      </c>
      <c r="O1065" s="6">
        <f>IF(N1065=1,ROUND((SUMIFS($M$3:$M$1200,$A$3:$A$1200,A1065)+'Settings'!$B$13)*'Settings'!$B$14/100+'Settings'!$B$15,2),0)</f>
        <v>2.68</v>
      </c>
    </row>
    <row r="1066">
      <c r="A1066" s="3" t="inlineStr">
        <is>
          <t xml:space="preserve">#1784</t>
        </is>
      </c>
      <c r="B1066" s="3" t="inlineStr">
        <is>
          <t xml:space="preserve">2026-09-27</t>
        </is>
      </c>
      <c r="C1066" s="3" t="inlineStr">
        <is>
          <t xml:space="preserve">SKU-E</t>
        </is>
      </c>
      <c r="D1066" s="3" t="inlineStr">
        <is>
          <t xml:space="preserve">Complete Ritual</t>
        </is>
      </c>
      <c r="E1066" s="6">
        <f>IF('Settings'!$B$11="Scenario",IFERROR(INDEX('Catalogue'!$E$3:$E$100,MATCH(C1066,'Catalogue'!$B$3:$B$100,0)),F1066),F1066)</f>
        <v>89</v>
      </c>
      <c r="F1066" s="8">
        <v>89</v>
      </c>
      <c r="G1066" s="3">
        <v>1</v>
      </c>
      <c r="H1066" s="6">
        <f>IF('Settings'!$B$11="Scenario",ROUND(E1066*G1066*IFERROR(SUMIF('Pricing &amp; promotions'!$A$6:$A$8,L1066,'Pricing &amp; promotions'!$B$6:$B$8)/100,0),2),J1066)</f>
        <v>0.0</v>
      </c>
      <c r="I1066" s="6">
        <f>ROUND((E1066*G1066-H1066)/IF(OR(K1066=TRUE,K1066="TRUE",K1066="YES",K1066=1),1+'Settings'!$B$6/100,1),2)</f>
        <v>73.55</v>
      </c>
      <c r="J1066" s="8">
        <v>0.0</v>
      </c>
      <c r="K1066" s="3" t="inlineStr">
        <is>
          <t xml:space="preserve">TRUE</t>
        </is>
      </c>
      <c r="L1066" s="3"/>
      <c r="M1066" s="6">
        <f>ROUND(E1066*G1066-H1066,2)</f>
        <v>89.0</v>
      </c>
      <c r="N1066" s="5">
        <f>IF(COUNTIF($A$3:A1066,A1066)=1,1,0)</f>
        <v>0</v>
      </c>
      <c r="O1066" s="6">
        <f>IF(N1066=1,ROUND((SUMIFS($M$3:$M$1200,$A$3:$A$1200,A1066)+'Settings'!$B$13)*'Settings'!$B$14/100+'Settings'!$B$15,2),0)</f>
        <v>0</v>
      </c>
    </row>
    <row r="1067">
      <c r="A1067" s="3" t="inlineStr">
        <is>
          <t xml:space="preserve">#1785</t>
        </is>
      </c>
      <c r="B1067" s="3" t="inlineStr">
        <is>
          <t xml:space="preserve">2026-09-28</t>
        </is>
      </c>
      <c r="C1067" s="3" t="inlineStr">
        <is>
          <t xml:space="preserve">SKU-A</t>
        </is>
      </c>
      <c r="D1067" s="3" t="inlineStr">
        <is>
          <t xml:space="preserve">Renewal Serum</t>
        </is>
      </c>
      <c r="E1067" s="6">
        <f>IF('Settings'!$B$11="Scenario",IFERROR(INDEX('Catalogue'!$E$3:$E$100,MATCH(C1067,'Catalogue'!$B$3:$B$100,0)),F1067),F1067)</f>
        <v>69.9</v>
      </c>
      <c r="F1067" s="8">
        <v>69.9</v>
      </c>
      <c r="G1067" s="3">
        <v>1</v>
      </c>
      <c r="H1067" s="6">
        <f>IF('Settings'!$B$11="Scenario",ROUND(E1067*G1067*IFERROR(SUMIF('Pricing &amp; promotions'!$A$6:$A$8,L1067,'Pricing &amp; promotions'!$B$6:$B$8)/100,0),2),J1067)</f>
        <v>6.99</v>
      </c>
      <c r="I1067" s="6">
        <f>ROUND((E1067*G1067-H1067)/IF(OR(K1067=TRUE,K1067="TRUE",K1067="YES",K1067=1),1+'Settings'!$B$6/100,1),2)</f>
        <v>51.99</v>
      </c>
      <c r="J1067" s="8">
        <v>6.99</v>
      </c>
      <c r="K1067" s="3" t="inlineStr">
        <is>
          <t xml:space="preserve">TRUE</t>
        </is>
      </c>
      <c r="L1067" s="3" t="inlineStr">
        <is>
          <t xml:space="preserve">WELCOME10</t>
        </is>
      </c>
      <c r="M1067" s="6">
        <f>ROUND(E1067*G1067-H1067,2)</f>
        <v>62.91</v>
      </c>
      <c r="N1067" s="5">
        <f>IF(COUNTIF($A$3:A1067,A1067)=1,1,0)</f>
        <v>1</v>
      </c>
      <c r="O1067" s="6">
        <f>IF(N1067=1,ROUND((SUMIFS($M$3:$M$1200,$A$3:$A$1200,A1067)+'Settings'!$B$13)*'Settings'!$B$14/100+'Settings'!$B$15,2),0)</f>
        <v>1.24</v>
      </c>
    </row>
    <row r="1068">
      <c r="A1068" s="3" t="inlineStr">
        <is>
          <t xml:space="preserve">#1786</t>
        </is>
      </c>
      <c r="B1068" s="3" t="inlineStr">
        <is>
          <t xml:space="preserve">2026-09-28</t>
        </is>
      </c>
      <c r="C1068" s="3" t="inlineStr">
        <is>
          <t xml:space="preserve">SKU-B</t>
        </is>
      </c>
      <c r="D1068" s="3" t="inlineStr">
        <is>
          <t xml:space="preserve">Barrier Balm</t>
        </is>
      </c>
      <c r="E1068" s="6">
        <f>IF('Settings'!$B$11="Scenario",IFERROR(INDEX('Catalogue'!$E$3:$E$100,MATCH(C1068,'Catalogue'!$B$3:$B$100,0)),F1068),F1068)</f>
        <v>19</v>
      </c>
      <c r="F1068" s="8">
        <v>19</v>
      </c>
      <c r="G1068" s="3">
        <v>1</v>
      </c>
      <c r="H1068" s="6">
        <f>IF('Settings'!$B$11="Scenario",ROUND(E1068*G1068*IFERROR(SUMIF('Pricing &amp; promotions'!$A$6:$A$8,L1068,'Pricing &amp; promotions'!$B$6:$B$8)/100,0),2),J1068)</f>
        <v>0.0</v>
      </c>
      <c r="I1068" s="6">
        <f>ROUND((E1068*G1068-H1068)/IF(OR(K1068=TRUE,K1068="TRUE",K1068="YES",K1068=1),1+'Settings'!$B$6/100,1),2)</f>
        <v>15.7</v>
      </c>
      <c r="J1068" s="8">
        <v>0.0</v>
      </c>
      <c r="K1068" s="3" t="inlineStr">
        <is>
          <t xml:space="preserve">TRUE</t>
        </is>
      </c>
      <c r="L1068" s="3"/>
      <c r="M1068" s="6">
        <f>ROUND(E1068*G1068-H1068,2)</f>
        <v>19.0</v>
      </c>
      <c r="N1068" s="5">
        <f>IF(COUNTIF($A$3:A1068,A1068)=1,1,0)</f>
        <v>1</v>
      </c>
      <c r="O1068" s="6">
        <f>IF(N1068=1,ROUND((SUMIFS($M$3:$M$1200,$A$3:$A$1200,A1068)+'Settings'!$B$13)*'Settings'!$B$14/100+'Settings'!$B$15,2),0)</f>
        <v>0.58</v>
      </c>
    </row>
    <row r="1069">
      <c r="A1069" s="3" t="inlineStr">
        <is>
          <t xml:space="preserve">#1787</t>
        </is>
      </c>
      <c r="B1069" s="3" t="inlineStr">
        <is>
          <t xml:space="preserve">2026-09-28</t>
        </is>
      </c>
      <c r="C1069" s="3" t="inlineStr">
        <is>
          <t xml:space="preserve">SKU-A</t>
        </is>
      </c>
      <c r="D1069" s="3" t="inlineStr">
        <is>
          <t xml:space="preserve">Renewal Serum</t>
        </is>
      </c>
      <c r="E1069" s="6">
        <f>IF('Settings'!$B$11="Scenario",IFERROR(INDEX('Catalogue'!$E$3:$E$100,MATCH(C1069,'Catalogue'!$B$3:$B$100,0)),F1069),F1069)</f>
        <v>69.9</v>
      </c>
      <c r="F1069" s="8">
        <v>69.9</v>
      </c>
      <c r="G1069" s="3">
        <v>1</v>
      </c>
      <c r="H1069" s="6">
        <f>IF('Settings'!$B$11="Scenario",ROUND(E1069*G1069*IFERROR(SUMIF('Pricing &amp; promotions'!$A$6:$A$8,L1069,'Pricing &amp; promotions'!$B$6:$B$8)/100,0),2),J1069)</f>
        <v>6.99</v>
      </c>
      <c r="I1069" s="6">
        <f>ROUND((E1069*G1069-H1069)/IF(OR(K1069=TRUE,K1069="TRUE",K1069="YES",K1069=1),1+'Settings'!$B$6/100,1),2)</f>
        <v>51.99</v>
      </c>
      <c r="J1069" s="8">
        <v>6.99</v>
      </c>
      <c r="K1069" s="3" t="inlineStr">
        <is>
          <t xml:space="preserve">TRUE</t>
        </is>
      </c>
      <c r="L1069" s="3" t="inlineStr">
        <is>
          <t xml:space="preserve">WELCOME10</t>
        </is>
      </c>
      <c r="M1069" s="6">
        <f>ROUND(E1069*G1069-H1069,2)</f>
        <v>62.91</v>
      </c>
      <c r="N1069" s="5">
        <f>IF(COUNTIF($A$3:A1069,A1069)=1,1,0)</f>
        <v>1</v>
      </c>
      <c r="O1069" s="6">
        <f>IF(N1069=1,ROUND((SUMIFS($M$3:$M$1200,$A$3:$A$1200,A1069)+'Settings'!$B$13)*'Settings'!$B$14/100+'Settings'!$B$15,2),0)</f>
        <v>2.3</v>
      </c>
    </row>
    <row r="1070">
      <c r="A1070" s="3" t="inlineStr">
        <is>
          <t xml:space="preserve">#1787</t>
        </is>
      </c>
      <c r="B1070" s="3" t="inlineStr">
        <is>
          <t xml:space="preserve">2026-09-28</t>
        </is>
      </c>
      <c r="C1070" s="3" t="inlineStr">
        <is>
          <t xml:space="preserve">SKU-D</t>
        </is>
      </c>
      <c r="D1070" s="3" t="inlineStr">
        <is>
          <t xml:space="preserve">Daily Duo</t>
        </is>
      </c>
      <c r="E1070" s="6">
        <f>IF('Settings'!$B$11="Scenario",IFERROR(INDEX('Catalogue'!$E$3:$E$100,MATCH(C1070,'Catalogue'!$B$3:$B$100,0)),F1070),F1070)</f>
        <v>79</v>
      </c>
      <c r="F1070" s="8">
        <v>79</v>
      </c>
      <c r="G1070" s="3">
        <v>1</v>
      </c>
      <c r="H1070" s="6">
        <f>IF('Settings'!$B$11="Scenario",ROUND(E1070*G1070*IFERROR(SUMIF('Pricing &amp; promotions'!$A$6:$A$8,L1070,'Pricing &amp; promotions'!$B$6:$B$8)/100,0),2),J1070)</f>
        <v>7.9</v>
      </c>
      <c r="I1070" s="6">
        <f>ROUND((E1070*G1070-H1070)/IF(OR(K1070=TRUE,K1070="TRUE",K1070="YES",K1070=1),1+'Settings'!$B$6/100,1),2)</f>
        <v>58.76</v>
      </c>
      <c r="J1070" s="8">
        <v>7.9</v>
      </c>
      <c r="K1070" s="3" t="inlineStr">
        <is>
          <t xml:space="preserve">TRUE</t>
        </is>
      </c>
      <c r="L1070" s="3" t="inlineStr">
        <is>
          <t xml:space="preserve">WELCOME10</t>
        </is>
      </c>
      <c r="M1070" s="6">
        <f>ROUND(E1070*G1070-H1070,2)</f>
        <v>71.1</v>
      </c>
      <c r="N1070" s="5">
        <f>IF(COUNTIF($A$3:A1070,A1070)=1,1,0)</f>
        <v>0</v>
      </c>
      <c r="O1070" s="6">
        <f>IF(N1070=1,ROUND((SUMIFS($M$3:$M$1200,$A$3:$A$1200,A1070)+'Settings'!$B$13)*'Settings'!$B$14/100+'Settings'!$B$15,2),0)</f>
        <v>0</v>
      </c>
    </row>
    <row r="1071">
      <c r="A1071" s="3" t="inlineStr">
        <is>
          <t xml:space="preserve">#1788</t>
        </is>
      </c>
      <c r="B1071" s="3" t="inlineStr">
        <is>
          <t xml:space="preserve">2026-09-28</t>
        </is>
      </c>
      <c r="C1071" s="3" t="inlineStr">
        <is>
          <t xml:space="preserve">SKU-D</t>
        </is>
      </c>
      <c r="D1071" s="3" t="inlineStr">
        <is>
          <t xml:space="preserve">Daily Duo</t>
        </is>
      </c>
      <c r="E1071" s="6">
        <f>IF('Settings'!$B$11="Scenario",IFERROR(INDEX('Catalogue'!$E$3:$E$100,MATCH(C1071,'Catalogue'!$B$3:$B$100,0)),F1071),F1071)</f>
        <v>79</v>
      </c>
      <c r="F1071" s="8">
        <v>79</v>
      </c>
      <c r="G1071" s="3">
        <v>1</v>
      </c>
      <c r="H1071" s="6">
        <f>IF('Settings'!$B$11="Scenario",ROUND(E1071*G1071*IFERROR(SUMIF('Pricing &amp; promotions'!$A$6:$A$8,L1071,'Pricing &amp; promotions'!$B$6:$B$8)/100,0),2),J1071)</f>
        <v>0.0</v>
      </c>
      <c r="I1071" s="6">
        <f>ROUND((E1071*G1071-H1071)/IF(OR(K1071=TRUE,K1071="TRUE",K1071="YES",K1071=1),1+'Settings'!$B$6/100,1),2)</f>
        <v>65.29</v>
      </c>
      <c r="J1071" s="8">
        <v>0.0</v>
      </c>
      <c r="K1071" s="3" t="inlineStr">
        <is>
          <t xml:space="preserve">TRUE</t>
        </is>
      </c>
      <c r="L1071" s="3"/>
      <c r="M1071" s="6">
        <f>ROUND(E1071*G1071-H1071,2)</f>
        <v>79.0</v>
      </c>
      <c r="N1071" s="5">
        <f>IF(COUNTIF($A$3:A1071,A1071)=1,1,0)</f>
        <v>1</v>
      </c>
      <c r="O1071" s="6">
        <f>IF(N1071=1,ROUND((SUMIFS($M$3:$M$1200,$A$3:$A$1200,A1071)+'Settings'!$B$13)*'Settings'!$B$14/100+'Settings'!$B$15,2),0)</f>
        <v>1.48</v>
      </c>
    </row>
    <row r="1072">
      <c r="A1072" s="3" t="inlineStr">
        <is>
          <t xml:space="preserve">#1789</t>
        </is>
      </c>
      <c r="B1072" s="3" t="inlineStr">
        <is>
          <t xml:space="preserve">2026-09-29</t>
        </is>
      </c>
      <c r="C1072" s="3" t="inlineStr">
        <is>
          <t xml:space="preserve">SKU-B</t>
        </is>
      </c>
      <c r="D1072" s="3" t="inlineStr">
        <is>
          <t xml:space="preserve">Barrier Balm</t>
        </is>
      </c>
      <c r="E1072" s="6">
        <f>IF('Settings'!$B$11="Scenario",IFERROR(INDEX('Catalogue'!$E$3:$E$100,MATCH(C1072,'Catalogue'!$B$3:$B$100,0)),F1072),F1072)</f>
        <v>19</v>
      </c>
      <c r="F1072" s="8">
        <v>19</v>
      </c>
      <c r="G1072" s="3">
        <v>1</v>
      </c>
      <c r="H1072" s="6">
        <f>IF('Settings'!$B$11="Scenario",ROUND(E1072*G1072*IFERROR(SUMIF('Pricing &amp; promotions'!$A$6:$A$8,L1072,'Pricing &amp; promotions'!$B$6:$B$8)/100,0),2),J1072)</f>
        <v>2.85</v>
      </c>
      <c r="I1072" s="6">
        <f>ROUND((E1072*G1072-H1072)/IF(OR(K1072=TRUE,K1072="TRUE",K1072="YES",K1072=1),1+'Settings'!$B$6/100,1),2)</f>
        <v>13.35</v>
      </c>
      <c r="J1072" s="8">
        <v>2.85</v>
      </c>
      <c r="K1072" s="3" t="inlineStr">
        <is>
          <t xml:space="preserve">TRUE</t>
        </is>
      </c>
      <c r="L1072" s="3" t="inlineStr">
        <is>
          <t xml:space="preserve">SUMMER15</t>
        </is>
      </c>
      <c r="M1072" s="6">
        <f>ROUND(E1072*G1072-H1072,2)</f>
        <v>16.15</v>
      </c>
      <c r="N1072" s="5">
        <f>IF(COUNTIF($A$3:A1072,A1072)=1,1,0)</f>
        <v>1</v>
      </c>
      <c r="O1072" s="6">
        <f>IF(N1072=1,ROUND((SUMIFS($M$3:$M$1200,$A$3:$A$1200,A1072)+'Settings'!$B$13)*'Settings'!$B$14/100+'Settings'!$B$15,2),0)</f>
        <v>0.54</v>
      </c>
    </row>
    <row r="1073">
      <c r="A1073" s="3" t="inlineStr">
        <is>
          <t xml:space="preserve">#1790</t>
        </is>
      </c>
      <c r="B1073" s="3" t="inlineStr">
        <is>
          <t xml:space="preserve">2026-09-29</t>
        </is>
      </c>
      <c r="C1073" s="3" t="inlineStr">
        <is>
          <t xml:space="preserve">SKU-G</t>
        </is>
      </c>
      <c r="D1073" s="3" t="inlineStr">
        <is>
          <t xml:space="preserve">Daily Reset Set</t>
        </is>
      </c>
      <c r="E1073" s="6">
        <f>IF('Settings'!$B$11="Scenario",IFERROR(INDEX('Catalogue'!$E$3:$E$100,MATCH(C1073,'Catalogue'!$B$3:$B$100,0)),F1073),F1073)</f>
        <v>69</v>
      </c>
      <c r="F1073" s="8">
        <v>69</v>
      </c>
      <c r="G1073" s="3">
        <v>1</v>
      </c>
      <c r="H1073" s="6">
        <f>IF('Settings'!$B$11="Scenario",ROUND(E1073*G1073*IFERROR(SUMIF('Pricing &amp; promotions'!$A$6:$A$8,L1073,'Pricing &amp; promotions'!$B$6:$B$8)/100,0),2),J1073)</f>
        <v>6.9</v>
      </c>
      <c r="I1073" s="6">
        <f>ROUND((E1073*G1073-H1073)/IF(OR(K1073=TRUE,K1073="TRUE",K1073="YES",K1073=1),1+'Settings'!$B$6/100,1),2)</f>
        <v>51.32</v>
      </c>
      <c r="J1073" s="8">
        <v>6.9</v>
      </c>
      <c r="K1073" s="3" t="inlineStr">
        <is>
          <t xml:space="preserve">TRUE</t>
        </is>
      </c>
      <c r="L1073" s="3" t="inlineStr">
        <is>
          <t xml:space="preserve">WELCOME10</t>
        </is>
      </c>
      <c r="M1073" s="6">
        <f>ROUND(E1073*G1073-H1073,2)</f>
        <v>62.1</v>
      </c>
      <c r="N1073" s="5">
        <f>IF(COUNTIF($A$3:A1073,A1073)=1,1,0)</f>
        <v>1</v>
      </c>
      <c r="O1073" s="6">
        <f>IF(N1073=1,ROUND((SUMIFS($M$3:$M$1200,$A$3:$A$1200,A1073)+'Settings'!$B$13)*'Settings'!$B$14/100+'Settings'!$B$15,2),0)</f>
        <v>1.23</v>
      </c>
    </row>
    <row r="1074">
      <c r="A1074" s="3" t="inlineStr">
        <is>
          <t xml:space="preserve">#1791</t>
        </is>
      </c>
      <c r="B1074" s="3" t="inlineStr">
        <is>
          <t xml:space="preserve">2026-09-29</t>
        </is>
      </c>
      <c r="C1074" s="3" t="inlineStr">
        <is>
          <t xml:space="preserve">SKU-G</t>
        </is>
      </c>
      <c r="D1074" s="3" t="inlineStr">
        <is>
          <t xml:space="preserve">Daily Reset Set</t>
        </is>
      </c>
      <c r="E1074" s="6">
        <f>IF('Settings'!$B$11="Scenario",IFERROR(INDEX('Catalogue'!$E$3:$E$100,MATCH(C1074,'Catalogue'!$B$3:$B$100,0)),F1074),F1074)</f>
        <v>69</v>
      </c>
      <c r="F1074" s="8">
        <v>69</v>
      </c>
      <c r="G1074" s="3">
        <v>1</v>
      </c>
      <c r="H1074" s="6">
        <f>IF('Settings'!$B$11="Scenario",ROUND(E1074*G1074*IFERROR(SUMIF('Pricing &amp; promotions'!$A$6:$A$8,L1074,'Pricing &amp; promotions'!$B$6:$B$8)/100,0),2),J1074)</f>
        <v>6.9</v>
      </c>
      <c r="I1074" s="6">
        <f>ROUND((E1074*G1074-H1074)/IF(OR(K1074=TRUE,K1074="TRUE",K1074="YES",K1074=1),1+'Settings'!$B$6/100,1),2)</f>
        <v>51.32</v>
      </c>
      <c r="J1074" s="8">
        <v>6.9</v>
      </c>
      <c r="K1074" s="3" t="inlineStr">
        <is>
          <t xml:space="preserve">TRUE</t>
        </is>
      </c>
      <c r="L1074" s="3" t="inlineStr">
        <is>
          <t xml:space="preserve">WELCOME10</t>
        </is>
      </c>
      <c r="M1074" s="6">
        <f>ROUND(E1074*G1074-H1074,2)</f>
        <v>62.1</v>
      </c>
      <c r="N1074" s="5">
        <f>IF(COUNTIF($A$3:A1074,A1074)=1,1,0)</f>
        <v>1</v>
      </c>
      <c r="O1074" s="6">
        <f>IF(N1074=1,ROUND((SUMIFS($M$3:$M$1200,$A$3:$A$1200,A1074)+'Settings'!$B$13)*'Settings'!$B$14/100+'Settings'!$B$15,2),0)</f>
        <v>1.23</v>
      </c>
    </row>
    <row r="1075">
      <c r="A1075" s="3" t="inlineStr">
        <is>
          <t xml:space="preserve">#1792</t>
        </is>
      </c>
      <c r="B1075" s="3" t="inlineStr">
        <is>
          <t xml:space="preserve">2026-09-29</t>
        </is>
      </c>
      <c r="C1075" s="3" t="inlineStr">
        <is>
          <t xml:space="preserve">SKU-C</t>
        </is>
      </c>
      <c r="D1075" s="3" t="inlineStr">
        <is>
          <t xml:space="preserve">Contour Stone</t>
        </is>
      </c>
      <c r="E1075" s="6">
        <f>IF('Settings'!$B$11="Scenario",IFERROR(INDEX('Catalogue'!$E$3:$E$100,MATCH(C1075,'Catalogue'!$B$3:$B$100,0)),F1075),F1075)</f>
        <v>29</v>
      </c>
      <c r="F1075" s="8">
        <v>29</v>
      </c>
      <c r="G1075" s="3">
        <v>1</v>
      </c>
      <c r="H1075" s="6">
        <f>IF('Settings'!$B$11="Scenario",ROUND(E1075*G1075*IFERROR(SUMIF('Pricing &amp; promotions'!$A$6:$A$8,L1075,'Pricing &amp; promotions'!$B$6:$B$8)/100,0),2),J1075)</f>
        <v>0.0</v>
      </c>
      <c r="I1075" s="6">
        <f>ROUND((E1075*G1075-H1075)/IF(OR(K1075=TRUE,K1075="TRUE",K1075="YES",K1075=1),1+'Settings'!$B$6/100,1),2)</f>
        <v>23.97</v>
      </c>
      <c r="J1075" s="8">
        <v>0.0</v>
      </c>
      <c r="K1075" s="3" t="inlineStr">
        <is>
          <t xml:space="preserve">TRUE</t>
        </is>
      </c>
      <c r="L1075" s="3"/>
      <c r="M1075" s="6">
        <f>ROUND(E1075*G1075-H1075,2)</f>
        <v>29.0</v>
      </c>
      <c r="N1075" s="5">
        <f>IF(COUNTIF($A$3:A1075,A1075)=1,1,0)</f>
        <v>1</v>
      </c>
      <c r="O1075" s="6">
        <f>IF(N1075=1,ROUND((SUMIFS($M$3:$M$1200,$A$3:$A$1200,A1075)+'Settings'!$B$13)*'Settings'!$B$14/100+'Settings'!$B$15,2),0)</f>
        <v>0.73</v>
      </c>
    </row>
    <row r="1076">
      <c r="A1076" s="3" t="inlineStr">
        <is>
          <t xml:space="preserve">#1793</t>
        </is>
      </c>
      <c r="B1076" s="3" t="inlineStr">
        <is>
          <t xml:space="preserve">2026-09-29</t>
        </is>
      </c>
      <c r="C1076" s="3" t="inlineStr">
        <is>
          <t xml:space="preserve">SKU-C</t>
        </is>
      </c>
      <c r="D1076" s="3" t="inlineStr">
        <is>
          <t xml:space="preserve">Contour Stone</t>
        </is>
      </c>
      <c r="E1076" s="6">
        <f>IF('Settings'!$B$11="Scenario",IFERROR(INDEX('Catalogue'!$E$3:$E$100,MATCH(C1076,'Catalogue'!$B$3:$B$100,0)),F1076),F1076)</f>
        <v>29</v>
      </c>
      <c r="F1076" s="8">
        <v>29</v>
      </c>
      <c r="G1076" s="3">
        <v>1</v>
      </c>
      <c r="H1076" s="6">
        <f>IF('Settings'!$B$11="Scenario",ROUND(E1076*G1076*IFERROR(SUMIF('Pricing &amp; promotions'!$A$6:$A$8,L1076,'Pricing &amp; promotions'!$B$6:$B$8)/100,0),2),J1076)</f>
        <v>0.0</v>
      </c>
      <c r="I1076" s="6">
        <f>ROUND((E1076*G1076-H1076)/IF(OR(K1076=TRUE,K1076="TRUE",K1076="YES",K1076=1),1+'Settings'!$B$6/100,1),2)</f>
        <v>23.97</v>
      </c>
      <c r="J1076" s="8">
        <v>0.0</v>
      </c>
      <c r="K1076" s="3" t="inlineStr">
        <is>
          <t xml:space="preserve">TRUE</t>
        </is>
      </c>
      <c r="L1076" s="3"/>
      <c r="M1076" s="6">
        <f>ROUND(E1076*G1076-H1076,2)</f>
        <v>29.0</v>
      </c>
      <c r="N1076" s="5">
        <f>IF(COUNTIF($A$3:A1076,A1076)=1,1,0)</f>
        <v>1</v>
      </c>
      <c r="O1076" s="6">
        <f>IF(N1076=1,ROUND((SUMIFS($M$3:$M$1200,$A$3:$A$1200,A1076)+'Settings'!$B$13)*'Settings'!$B$14/100+'Settings'!$B$15,2),0)</f>
        <v>2.06</v>
      </c>
    </row>
    <row r="1077">
      <c r="A1077" s="3" t="inlineStr">
        <is>
          <t xml:space="preserve">#1793</t>
        </is>
      </c>
      <c r="B1077" s="3" t="inlineStr">
        <is>
          <t xml:space="preserve">2026-09-29</t>
        </is>
      </c>
      <c r="C1077" s="3" t="inlineStr">
        <is>
          <t xml:space="preserve">SKU-E</t>
        </is>
      </c>
      <c r="D1077" s="3" t="inlineStr">
        <is>
          <t xml:space="preserve">Complete Ritual</t>
        </is>
      </c>
      <c r="E1077" s="6">
        <f>IF('Settings'!$B$11="Scenario",IFERROR(INDEX('Catalogue'!$E$3:$E$100,MATCH(C1077,'Catalogue'!$B$3:$B$100,0)),F1077),F1077)</f>
        <v>89</v>
      </c>
      <c r="F1077" s="8">
        <v>89</v>
      </c>
      <c r="G1077" s="3">
        <v>1</v>
      </c>
      <c r="H1077" s="6">
        <f>IF('Settings'!$B$11="Scenario",ROUND(E1077*G1077*IFERROR(SUMIF('Pricing &amp; promotions'!$A$6:$A$8,L1077,'Pricing &amp; promotions'!$B$6:$B$8)/100,0),2),J1077)</f>
        <v>0.0</v>
      </c>
      <c r="I1077" s="6">
        <f>ROUND((E1077*G1077-H1077)/IF(OR(K1077=TRUE,K1077="TRUE",K1077="YES",K1077=1),1+'Settings'!$B$6/100,1),2)</f>
        <v>73.55</v>
      </c>
      <c r="J1077" s="8">
        <v>0.0</v>
      </c>
      <c r="K1077" s="3" t="inlineStr">
        <is>
          <t xml:space="preserve">TRUE</t>
        </is>
      </c>
      <c r="L1077" s="3"/>
      <c r="M1077" s="6">
        <f>ROUND(E1077*G1077-H1077,2)</f>
        <v>89.0</v>
      </c>
      <c r="N1077" s="5">
        <f>IF(COUNTIF($A$3:A1077,A1077)=1,1,0)</f>
        <v>0</v>
      </c>
      <c r="O1077" s="6">
        <f>IF(N1077=1,ROUND((SUMIFS($M$3:$M$1200,$A$3:$A$1200,A1077)+'Settings'!$B$13)*'Settings'!$B$14/100+'Settings'!$B$15,2),0)</f>
        <v>0</v>
      </c>
    </row>
    <row r="1078">
      <c r="A1078" s="3" t="inlineStr">
        <is>
          <t xml:space="preserve">#1794</t>
        </is>
      </c>
      <c r="B1078" s="3" t="inlineStr">
        <is>
          <t xml:space="preserve">2026-09-29</t>
        </is>
      </c>
      <c r="C1078" s="3" t="inlineStr">
        <is>
          <t xml:space="preserve">SKU-A</t>
        </is>
      </c>
      <c r="D1078" s="3" t="inlineStr">
        <is>
          <t xml:space="preserve">Renewal Serum</t>
        </is>
      </c>
      <c r="E1078" s="6">
        <f>IF('Settings'!$B$11="Scenario",IFERROR(INDEX('Catalogue'!$E$3:$E$100,MATCH(C1078,'Catalogue'!$B$3:$B$100,0)),F1078),F1078)</f>
        <v>69.9</v>
      </c>
      <c r="F1078" s="8">
        <v>69.9</v>
      </c>
      <c r="G1078" s="3">
        <v>1</v>
      </c>
      <c r="H1078" s="6">
        <f>IF('Settings'!$B$11="Scenario",ROUND(E1078*G1078*IFERROR(SUMIF('Pricing &amp; promotions'!$A$6:$A$8,L1078,'Pricing &amp; promotions'!$B$6:$B$8)/100,0),2),J1078)</f>
        <v>10.49</v>
      </c>
      <c r="I1078" s="6">
        <f>ROUND((E1078*G1078-H1078)/IF(OR(K1078=TRUE,K1078="TRUE",K1078="YES",K1078=1),1+'Settings'!$B$6/100,1),2)</f>
        <v>49.1</v>
      </c>
      <c r="J1078" s="8">
        <v>10.49</v>
      </c>
      <c r="K1078" s="3" t="inlineStr">
        <is>
          <t xml:space="preserve">TRUE</t>
        </is>
      </c>
      <c r="L1078" s="3" t="inlineStr">
        <is>
          <t xml:space="preserve">SUMMER15</t>
        </is>
      </c>
      <c r="M1078" s="6">
        <f>ROUND(E1078*G1078-H1078,2)</f>
        <v>59.41</v>
      </c>
      <c r="N1078" s="5">
        <f>IF(COUNTIF($A$3:A1078,A1078)=1,1,0)</f>
        <v>1</v>
      </c>
      <c r="O1078" s="6">
        <f>IF(N1078=1,ROUND((SUMIFS($M$3:$M$1200,$A$3:$A$1200,A1078)+'Settings'!$B$13)*'Settings'!$B$14/100+'Settings'!$B$15,2),0)</f>
        <v>2.19</v>
      </c>
    </row>
    <row r="1079">
      <c r="A1079" s="3" t="inlineStr">
        <is>
          <t xml:space="preserve">#1794</t>
        </is>
      </c>
      <c r="B1079" s="3" t="inlineStr">
        <is>
          <t xml:space="preserve">2026-09-29</t>
        </is>
      </c>
      <c r="C1079" s="3" t="inlineStr">
        <is>
          <t xml:space="preserve">SKU-D</t>
        </is>
      </c>
      <c r="D1079" s="3" t="inlineStr">
        <is>
          <t xml:space="preserve">Daily Duo</t>
        </is>
      </c>
      <c r="E1079" s="6">
        <f>IF('Settings'!$B$11="Scenario",IFERROR(INDEX('Catalogue'!$E$3:$E$100,MATCH(C1079,'Catalogue'!$B$3:$B$100,0)),F1079),F1079)</f>
        <v>79</v>
      </c>
      <c r="F1079" s="8">
        <v>79</v>
      </c>
      <c r="G1079" s="3">
        <v>1</v>
      </c>
      <c r="H1079" s="6">
        <f>IF('Settings'!$B$11="Scenario",ROUND(E1079*G1079*IFERROR(SUMIF('Pricing &amp; promotions'!$A$6:$A$8,L1079,'Pricing &amp; promotions'!$B$6:$B$8)/100,0),2),J1079)</f>
        <v>11.85</v>
      </c>
      <c r="I1079" s="6">
        <f>ROUND((E1079*G1079-H1079)/IF(OR(K1079=TRUE,K1079="TRUE",K1079="YES",K1079=1),1+'Settings'!$B$6/100,1),2)</f>
        <v>55.5</v>
      </c>
      <c r="J1079" s="8">
        <v>11.85</v>
      </c>
      <c r="K1079" s="3" t="inlineStr">
        <is>
          <t xml:space="preserve">TRUE</t>
        </is>
      </c>
      <c r="L1079" s="3" t="inlineStr">
        <is>
          <t xml:space="preserve">SUMMER15</t>
        </is>
      </c>
      <c r="M1079" s="6">
        <f>ROUND(E1079*G1079-H1079,2)</f>
        <v>67.15</v>
      </c>
      <c r="N1079" s="5">
        <f>IF(COUNTIF($A$3:A1079,A1079)=1,1,0)</f>
        <v>0</v>
      </c>
      <c r="O1079" s="6">
        <f>IF(N1079=1,ROUND((SUMIFS($M$3:$M$1200,$A$3:$A$1200,A1079)+'Settings'!$B$13)*'Settings'!$B$14/100+'Settings'!$B$15,2),0)</f>
        <v>0</v>
      </c>
    </row>
    <row r="1080">
      <c r="A1080" s="3" t="inlineStr">
        <is>
          <t xml:space="preserve">#1795</t>
        </is>
      </c>
      <c r="B1080" s="3" t="inlineStr">
        <is>
          <t xml:space="preserve">2026-09-30</t>
        </is>
      </c>
      <c r="C1080" s="3" t="inlineStr">
        <is>
          <t xml:space="preserve">SKU-E</t>
        </is>
      </c>
      <c r="D1080" s="3" t="inlineStr">
        <is>
          <t xml:space="preserve">Complete Ritual</t>
        </is>
      </c>
      <c r="E1080" s="6">
        <f>IF('Settings'!$B$11="Scenario",IFERROR(INDEX('Catalogue'!$E$3:$E$100,MATCH(C1080,'Catalogue'!$B$3:$B$100,0)),F1080),F1080)</f>
        <v>89</v>
      </c>
      <c r="F1080" s="8">
        <v>89</v>
      </c>
      <c r="G1080" s="3">
        <v>1</v>
      </c>
      <c r="H1080" s="6">
        <f>IF('Settings'!$B$11="Scenario",ROUND(E1080*G1080*IFERROR(SUMIF('Pricing &amp; promotions'!$A$6:$A$8,L1080,'Pricing &amp; promotions'!$B$6:$B$8)/100,0),2),J1080)</f>
        <v>13.35</v>
      </c>
      <c r="I1080" s="6">
        <f>ROUND((E1080*G1080-H1080)/IF(OR(K1080=TRUE,K1080="TRUE",K1080="YES",K1080=1),1+'Settings'!$B$6/100,1),2)</f>
        <v>62.52</v>
      </c>
      <c r="J1080" s="8">
        <v>13.35</v>
      </c>
      <c r="K1080" s="3" t="inlineStr">
        <is>
          <t xml:space="preserve">TRUE</t>
        </is>
      </c>
      <c r="L1080" s="3" t="inlineStr">
        <is>
          <t xml:space="preserve">SUMMER15</t>
        </is>
      </c>
      <c r="M1080" s="6">
        <f>ROUND(E1080*G1080-H1080,2)</f>
        <v>75.65</v>
      </c>
      <c r="N1080" s="5">
        <f>IF(COUNTIF($A$3:A1080,A1080)=1,1,0)</f>
        <v>1</v>
      </c>
      <c r="O1080" s="6">
        <f>IF(N1080=1,ROUND((SUMIFS($M$3:$M$1200,$A$3:$A$1200,A1080)+'Settings'!$B$13)*'Settings'!$B$14/100+'Settings'!$B$15,2),0)</f>
        <v>1.43</v>
      </c>
    </row>
    <row r="1081">
      <c r="A1081" s="3" t="inlineStr">
        <is>
          <t xml:space="preserve">#1796</t>
        </is>
      </c>
      <c r="B1081" s="3" t="inlineStr">
        <is>
          <t xml:space="preserve">2026-09-30</t>
        </is>
      </c>
      <c r="C1081" s="3" t="inlineStr">
        <is>
          <t xml:space="preserve">SKU-G</t>
        </is>
      </c>
      <c r="D1081" s="3" t="inlineStr">
        <is>
          <t xml:space="preserve">Daily Reset Set</t>
        </is>
      </c>
      <c r="E1081" s="6">
        <f>IF('Settings'!$B$11="Scenario",IFERROR(INDEX('Catalogue'!$E$3:$E$100,MATCH(C1081,'Catalogue'!$B$3:$B$100,0)),F1081),F1081)</f>
        <v>69</v>
      </c>
      <c r="F1081" s="8">
        <v>69</v>
      </c>
      <c r="G1081" s="3">
        <v>1</v>
      </c>
      <c r="H1081" s="6">
        <f>IF('Settings'!$B$11="Scenario",ROUND(E1081*G1081*IFERROR(SUMIF('Pricing &amp; promotions'!$A$6:$A$8,L1081,'Pricing &amp; promotions'!$B$6:$B$8)/100,0),2),J1081)</f>
        <v>0.0</v>
      </c>
      <c r="I1081" s="6">
        <f>ROUND((E1081*G1081-H1081)/IF(OR(K1081=TRUE,K1081="TRUE",K1081="YES",K1081=1),1+'Settings'!$B$6/100,1),2)</f>
        <v>57.02</v>
      </c>
      <c r="J1081" s="8">
        <v>0.0</v>
      </c>
      <c r="K1081" s="3" t="inlineStr">
        <is>
          <t xml:space="preserve">TRUE</t>
        </is>
      </c>
      <c r="L1081" s="3"/>
      <c r="M1081" s="6">
        <f>ROUND(E1081*G1081-H1081,2)</f>
        <v>69.0</v>
      </c>
      <c r="N1081" s="5">
        <f>IF(COUNTIF($A$3:A1081,A1081)=1,1,0)</f>
        <v>1</v>
      </c>
      <c r="O1081" s="6">
        <f>IF(N1081=1,ROUND((SUMIFS($M$3:$M$1200,$A$3:$A$1200,A1081)+'Settings'!$B$13)*'Settings'!$B$14/100+'Settings'!$B$15,2),0)</f>
        <v>1.33</v>
      </c>
    </row>
    <row r="1082">
      <c r="A1082" s="3" t="inlineStr">
        <is>
          <t xml:space="preserve">#1797</t>
        </is>
      </c>
      <c r="B1082" s="3" t="inlineStr">
        <is>
          <t xml:space="preserve">2026-10-01</t>
        </is>
      </c>
      <c r="C1082" s="3" t="inlineStr">
        <is>
          <t xml:space="preserve">SKU-D</t>
        </is>
      </c>
      <c r="D1082" s="3" t="inlineStr">
        <is>
          <t xml:space="preserve">Daily Duo</t>
        </is>
      </c>
      <c r="E1082" s="6">
        <f>IF('Settings'!$B$11="Scenario",IFERROR(INDEX('Catalogue'!$E$3:$E$100,MATCH(C1082,'Catalogue'!$B$3:$B$100,0)),F1082),F1082)</f>
        <v>79</v>
      </c>
      <c r="F1082" s="8">
        <v>79</v>
      </c>
      <c r="G1082" s="3">
        <v>2</v>
      </c>
      <c r="H1082" s="6">
        <f>IF('Settings'!$B$11="Scenario",ROUND(E1082*G1082*IFERROR(SUMIF('Pricing &amp; promotions'!$A$6:$A$8,L1082,'Pricing &amp; promotions'!$B$6:$B$8)/100,0),2),J1082)</f>
        <v>0.0</v>
      </c>
      <c r="I1082" s="6">
        <f>ROUND((E1082*G1082-H1082)/IF(OR(K1082=TRUE,K1082="TRUE",K1082="YES",K1082=1),1+'Settings'!$B$6/100,1),2)</f>
        <v>130.58</v>
      </c>
      <c r="J1082" s="8">
        <v>0.0</v>
      </c>
      <c r="K1082" s="3" t="inlineStr">
        <is>
          <t xml:space="preserve">TRUE</t>
        </is>
      </c>
      <c r="L1082" s="3"/>
      <c r="M1082" s="6">
        <f>ROUND(E1082*G1082-H1082,2)</f>
        <v>158.0</v>
      </c>
      <c r="N1082" s="5">
        <f>IF(COUNTIF($A$3:A1082,A1082)=1,1,0)</f>
        <v>1</v>
      </c>
      <c r="O1082" s="6">
        <f>IF(N1082=1,ROUND((SUMIFS($M$3:$M$1200,$A$3:$A$1200,A1082)+'Settings'!$B$13)*'Settings'!$B$14/100+'Settings'!$B$15,2),0)</f>
        <v>2.66</v>
      </c>
    </row>
    <row r="1083">
      <c r="A1083" s="3" t="inlineStr">
        <is>
          <t xml:space="preserve">#1798</t>
        </is>
      </c>
      <c r="B1083" s="3" t="inlineStr">
        <is>
          <t xml:space="preserve">2026-10-02</t>
        </is>
      </c>
      <c r="C1083" s="3" t="inlineStr">
        <is>
          <t xml:space="preserve">SKU-B</t>
        </is>
      </c>
      <c r="D1083" s="3" t="inlineStr">
        <is>
          <t xml:space="preserve">Barrier Balm</t>
        </is>
      </c>
      <c r="E1083" s="6">
        <f>IF('Settings'!$B$11="Scenario",IFERROR(INDEX('Catalogue'!$E$3:$E$100,MATCH(C1083,'Catalogue'!$B$3:$B$100,0)),F1083),F1083)</f>
        <v>19</v>
      </c>
      <c r="F1083" s="8">
        <v>19</v>
      </c>
      <c r="G1083" s="3">
        <v>2</v>
      </c>
      <c r="H1083" s="6">
        <f>IF('Settings'!$B$11="Scenario",ROUND(E1083*G1083*IFERROR(SUMIF('Pricing &amp; promotions'!$A$6:$A$8,L1083,'Pricing &amp; promotions'!$B$6:$B$8)/100,0),2),J1083)</f>
        <v>0.0</v>
      </c>
      <c r="I1083" s="6">
        <f>ROUND((E1083*G1083-H1083)/IF(OR(K1083=TRUE,K1083="TRUE",K1083="YES",K1083=1),1+'Settings'!$B$6/100,1),2)</f>
        <v>31.4</v>
      </c>
      <c r="J1083" s="8">
        <v>0.0</v>
      </c>
      <c r="K1083" s="3" t="inlineStr">
        <is>
          <t xml:space="preserve">TRUE</t>
        </is>
      </c>
      <c r="L1083" s="3"/>
      <c r="M1083" s="6">
        <f>ROUND(E1083*G1083-H1083,2)</f>
        <v>38.0</v>
      </c>
      <c r="N1083" s="5">
        <f>IF(COUNTIF($A$3:A1083,A1083)=1,1,0)</f>
        <v>1</v>
      </c>
      <c r="O1083" s="6">
        <f>IF(N1083=1,ROUND((SUMIFS($M$3:$M$1200,$A$3:$A$1200,A1083)+'Settings'!$B$13)*'Settings'!$B$14/100+'Settings'!$B$15,2),0)</f>
        <v>2.2</v>
      </c>
    </row>
    <row r="1084">
      <c r="A1084" s="3" t="inlineStr">
        <is>
          <t xml:space="preserve">#1798</t>
        </is>
      </c>
      <c r="B1084" s="3" t="inlineStr">
        <is>
          <t xml:space="preserve">2026-10-02</t>
        </is>
      </c>
      <c r="C1084" s="3" t="inlineStr">
        <is>
          <t xml:space="preserve">SKU-E</t>
        </is>
      </c>
      <c r="D1084" s="3" t="inlineStr">
        <is>
          <t xml:space="preserve">Complete Ritual</t>
        </is>
      </c>
      <c r="E1084" s="6">
        <f>IF('Settings'!$B$11="Scenario",IFERROR(INDEX('Catalogue'!$E$3:$E$100,MATCH(C1084,'Catalogue'!$B$3:$B$100,0)),F1084),F1084)</f>
        <v>89</v>
      </c>
      <c r="F1084" s="8">
        <v>89</v>
      </c>
      <c r="G1084" s="3">
        <v>1</v>
      </c>
      <c r="H1084" s="6">
        <f>IF('Settings'!$B$11="Scenario",ROUND(E1084*G1084*IFERROR(SUMIF('Pricing &amp; promotions'!$A$6:$A$8,L1084,'Pricing &amp; promotions'!$B$6:$B$8)/100,0),2),J1084)</f>
        <v>0.0</v>
      </c>
      <c r="I1084" s="6">
        <f>ROUND((E1084*G1084-H1084)/IF(OR(K1084=TRUE,K1084="TRUE",K1084="YES",K1084=1),1+'Settings'!$B$6/100,1),2)</f>
        <v>73.55</v>
      </c>
      <c r="J1084" s="8">
        <v>0.0</v>
      </c>
      <c r="K1084" s="3" t="inlineStr">
        <is>
          <t xml:space="preserve">TRUE</t>
        </is>
      </c>
      <c r="L1084" s="3"/>
      <c r="M1084" s="6">
        <f>ROUND(E1084*G1084-H1084,2)</f>
        <v>89.0</v>
      </c>
      <c r="N1084" s="5">
        <f>IF(COUNTIF($A$3:A1084,A1084)=1,1,0)</f>
        <v>0</v>
      </c>
      <c r="O1084" s="6">
        <f>IF(N1084=1,ROUND((SUMIFS($M$3:$M$1200,$A$3:$A$1200,A1084)+'Settings'!$B$13)*'Settings'!$B$14/100+'Settings'!$B$15,2),0)</f>
        <v>0</v>
      </c>
    </row>
    <row r="1085">
      <c r="A1085" s="3" t="inlineStr">
        <is>
          <t xml:space="preserve">#1799</t>
        </is>
      </c>
      <c r="B1085" s="3" t="inlineStr">
        <is>
          <t xml:space="preserve">2026-10-03</t>
        </is>
      </c>
      <c r="C1085" s="3" t="inlineStr">
        <is>
          <t xml:space="preserve">SKU-A</t>
        </is>
      </c>
      <c r="D1085" s="3" t="inlineStr">
        <is>
          <t xml:space="preserve">Renewal Serum</t>
        </is>
      </c>
      <c r="E1085" s="6">
        <f>IF('Settings'!$B$11="Scenario",IFERROR(INDEX('Catalogue'!$E$3:$E$100,MATCH(C1085,'Catalogue'!$B$3:$B$100,0)),F1085),F1085)</f>
        <v>69.9</v>
      </c>
      <c r="F1085" s="8">
        <v>69.9</v>
      </c>
      <c r="G1085" s="3">
        <v>1</v>
      </c>
      <c r="H1085" s="6">
        <f>IF('Settings'!$B$11="Scenario",ROUND(E1085*G1085*IFERROR(SUMIF('Pricing &amp; promotions'!$A$6:$A$8,L1085,'Pricing &amp; promotions'!$B$6:$B$8)/100,0),2),J1085)</f>
        <v>0.0</v>
      </c>
      <c r="I1085" s="6">
        <f>ROUND((E1085*G1085-H1085)/IF(OR(K1085=TRUE,K1085="TRUE",K1085="YES",K1085=1),1+'Settings'!$B$6/100,1),2)</f>
        <v>57.77</v>
      </c>
      <c r="J1085" s="8">
        <v>0.0</v>
      </c>
      <c r="K1085" s="3" t="inlineStr">
        <is>
          <t xml:space="preserve">TRUE</t>
        </is>
      </c>
      <c r="L1085" s="3"/>
      <c r="M1085" s="6">
        <f>ROUND(E1085*G1085-H1085,2)</f>
        <v>69.9</v>
      </c>
      <c r="N1085" s="5">
        <f>IF(COUNTIF($A$3:A1085,A1085)=1,1,0)</f>
        <v>1</v>
      </c>
      <c r="O1085" s="6">
        <f>IF(N1085=1,ROUND((SUMIFS($M$3:$M$1200,$A$3:$A$1200,A1085)+'Settings'!$B$13)*'Settings'!$B$14/100+'Settings'!$B$15,2),0)</f>
        <v>4.28</v>
      </c>
    </row>
    <row r="1086">
      <c r="A1086" s="3" t="inlineStr">
        <is>
          <t xml:space="preserve">#1799</t>
        </is>
      </c>
      <c r="B1086" s="3" t="inlineStr">
        <is>
          <t xml:space="preserve">2026-10-03</t>
        </is>
      </c>
      <c r="C1086" s="3" t="inlineStr">
        <is>
          <t xml:space="preserve">SKU-D</t>
        </is>
      </c>
      <c r="D1086" s="3" t="inlineStr">
        <is>
          <t xml:space="preserve">Daily Duo</t>
        </is>
      </c>
      <c r="E1086" s="6">
        <f>IF('Settings'!$B$11="Scenario",IFERROR(INDEX('Catalogue'!$E$3:$E$100,MATCH(C1086,'Catalogue'!$B$3:$B$100,0)),F1086),F1086)</f>
        <v>79</v>
      </c>
      <c r="F1086" s="8">
        <v>79</v>
      </c>
      <c r="G1086" s="3">
        <v>2</v>
      </c>
      <c r="H1086" s="6">
        <f>IF('Settings'!$B$11="Scenario",ROUND(E1086*G1086*IFERROR(SUMIF('Pricing &amp; promotions'!$A$6:$A$8,L1086,'Pricing &amp; promotions'!$B$6:$B$8)/100,0),2),J1086)</f>
        <v>0.0</v>
      </c>
      <c r="I1086" s="6">
        <f>ROUND((E1086*G1086-H1086)/IF(OR(K1086=TRUE,K1086="TRUE",K1086="YES",K1086=1),1+'Settings'!$B$6/100,1),2)</f>
        <v>130.58</v>
      </c>
      <c r="J1086" s="8">
        <v>0.0</v>
      </c>
      <c r="K1086" s="3" t="inlineStr">
        <is>
          <t xml:space="preserve">TRUE</t>
        </is>
      </c>
      <c r="L1086" s="3"/>
      <c r="M1086" s="6">
        <f>ROUND(E1086*G1086-H1086,2)</f>
        <v>158.0</v>
      </c>
      <c r="N1086" s="5">
        <f>IF(COUNTIF($A$3:A1086,A1086)=1,1,0)</f>
        <v>0</v>
      </c>
      <c r="O1086" s="6">
        <f>IF(N1086=1,ROUND((SUMIFS($M$3:$M$1200,$A$3:$A$1200,A1086)+'Settings'!$B$13)*'Settings'!$B$14/100+'Settings'!$B$15,2),0)</f>
        <v>0</v>
      </c>
    </row>
    <row r="1087">
      <c r="A1087" s="3" t="inlineStr">
        <is>
          <t xml:space="preserve">#1799</t>
        </is>
      </c>
      <c r="B1087" s="3" t="inlineStr">
        <is>
          <t xml:space="preserve">2026-10-03</t>
        </is>
      </c>
      <c r="C1087" s="3" t="inlineStr">
        <is>
          <t xml:space="preserve">SKU-B</t>
        </is>
      </c>
      <c r="D1087" s="3" t="inlineStr">
        <is>
          <t xml:space="preserve">Barrier Balm</t>
        </is>
      </c>
      <c r="E1087" s="6">
        <f>IF('Settings'!$B$11="Scenario",IFERROR(INDEX('Catalogue'!$E$3:$E$100,MATCH(C1087,'Catalogue'!$B$3:$B$100,0)),F1087),F1087)</f>
        <v>19</v>
      </c>
      <c r="F1087" s="8">
        <v>19</v>
      </c>
      <c r="G1087" s="3">
        <v>2</v>
      </c>
      <c r="H1087" s="6">
        <f>IF('Settings'!$B$11="Scenario",ROUND(E1087*G1087*IFERROR(SUMIF('Pricing &amp; promotions'!$A$6:$A$8,L1087,'Pricing &amp; promotions'!$B$6:$B$8)/100,0),2),J1087)</f>
        <v>0.0</v>
      </c>
      <c r="I1087" s="6">
        <f>ROUND((E1087*G1087-H1087)/IF(OR(K1087=TRUE,K1087="TRUE",K1087="YES",K1087=1),1+'Settings'!$B$6/100,1),2)</f>
        <v>31.4</v>
      </c>
      <c r="J1087" s="8">
        <v>0.0</v>
      </c>
      <c r="K1087" s="3" t="inlineStr">
        <is>
          <t xml:space="preserve">TRUE</t>
        </is>
      </c>
      <c r="L1087" s="3"/>
      <c r="M1087" s="6">
        <f>ROUND(E1087*G1087-H1087,2)</f>
        <v>38.0</v>
      </c>
      <c r="N1087" s="5">
        <f>IF(COUNTIF($A$3:A1087,A1087)=1,1,0)</f>
        <v>0</v>
      </c>
      <c r="O1087" s="6">
        <f>IF(N1087=1,ROUND((SUMIFS($M$3:$M$1200,$A$3:$A$1200,A1087)+'Settings'!$B$13)*'Settings'!$B$14/100+'Settings'!$B$15,2),0)</f>
        <v>0</v>
      </c>
    </row>
    <row r="1088">
      <c r="A1088" s="3" t="inlineStr">
        <is>
          <t xml:space="preserve">#1800</t>
        </is>
      </c>
      <c r="B1088" s="3" t="inlineStr">
        <is>
          <t xml:space="preserve">2026-10-03</t>
        </is>
      </c>
      <c r="C1088" s="3" t="inlineStr">
        <is>
          <t xml:space="preserve">SKU-F</t>
        </is>
      </c>
      <c r="D1088" s="3" t="inlineStr">
        <is>
          <t xml:space="preserve">Cloud Cleanser</t>
        </is>
      </c>
      <c r="E1088" s="6">
        <f>IF('Settings'!$B$11="Scenario",IFERROR(INDEX('Catalogue'!$E$3:$E$100,MATCH(C1088,'Catalogue'!$B$3:$B$100,0)),F1088),F1088)</f>
        <v>34</v>
      </c>
      <c r="F1088" s="8">
        <v>34</v>
      </c>
      <c r="G1088" s="3">
        <v>1</v>
      </c>
      <c r="H1088" s="6">
        <f>IF('Settings'!$B$11="Scenario",ROUND(E1088*G1088*IFERROR(SUMIF('Pricing &amp; promotions'!$A$6:$A$8,L1088,'Pricing &amp; promotions'!$B$6:$B$8)/100,0),2),J1088)</f>
        <v>5.1</v>
      </c>
      <c r="I1088" s="6">
        <f>ROUND((E1088*G1088-H1088)/IF(OR(K1088=TRUE,K1088="TRUE",K1088="YES",K1088=1),1+'Settings'!$B$6/100,1),2)</f>
        <v>23.88</v>
      </c>
      <c r="J1088" s="8">
        <v>5.1</v>
      </c>
      <c r="K1088" s="3" t="inlineStr">
        <is>
          <t xml:space="preserve">TRUE</t>
        </is>
      </c>
      <c r="L1088" s="3" t="inlineStr">
        <is>
          <t xml:space="preserve">SUMMER15</t>
        </is>
      </c>
      <c r="M1088" s="6">
        <f>ROUND(E1088*G1088-H1088,2)</f>
        <v>28.9</v>
      </c>
      <c r="N1088" s="5">
        <f>IF(COUNTIF($A$3:A1088,A1088)=1,1,0)</f>
        <v>1</v>
      </c>
      <c r="O1088" s="6">
        <f>IF(N1088=1,ROUND((SUMIFS($M$3:$M$1200,$A$3:$A$1200,A1088)+'Settings'!$B$13)*'Settings'!$B$14/100+'Settings'!$B$15,2),0)</f>
        <v>0.73</v>
      </c>
    </row>
    <row r="1089">
      <c r="A1089" s="3" t="inlineStr">
        <is>
          <t xml:space="preserve">#1801</t>
        </is>
      </c>
      <c r="B1089" s="3" t="inlineStr">
        <is>
          <t xml:space="preserve">2026-10-03</t>
        </is>
      </c>
      <c r="C1089" s="3" t="inlineStr">
        <is>
          <t xml:space="preserve">SKU-A</t>
        </is>
      </c>
      <c r="D1089" s="3" t="inlineStr">
        <is>
          <t xml:space="preserve">Renewal Serum</t>
        </is>
      </c>
      <c r="E1089" s="6">
        <f>IF('Settings'!$B$11="Scenario",IFERROR(INDEX('Catalogue'!$E$3:$E$100,MATCH(C1089,'Catalogue'!$B$3:$B$100,0)),F1089),F1089)</f>
        <v>69.9</v>
      </c>
      <c r="F1089" s="8">
        <v>69.9</v>
      </c>
      <c r="G1089" s="3">
        <v>1</v>
      </c>
      <c r="H1089" s="6">
        <f>IF('Settings'!$B$11="Scenario",ROUND(E1089*G1089*IFERROR(SUMIF('Pricing &amp; promotions'!$A$6:$A$8,L1089,'Pricing &amp; promotions'!$B$6:$B$8)/100,0),2),J1089)</f>
        <v>0.0</v>
      </c>
      <c r="I1089" s="6">
        <f>ROUND((E1089*G1089-H1089)/IF(OR(K1089=TRUE,K1089="TRUE",K1089="YES",K1089=1),1+'Settings'!$B$6/100,1),2)</f>
        <v>57.77</v>
      </c>
      <c r="J1089" s="8">
        <v>0.0</v>
      </c>
      <c r="K1089" s="3" t="inlineStr">
        <is>
          <t xml:space="preserve">TRUE</t>
        </is>
      </c>
      <c r="L1089" s="3"/>
      <c r="M1089" s="6">
        <f>ROUND(E1089*G1089-H1089,2)</f>
        <v>69.9</v>
      </c>
      <c r="N1089" s="5">
        <f>IF(COUNTIF($A$3:A1089,A1089)=1,1,0)</f>
        <v>1</v>
      </c>
      <c r="O1089" s="6">
        <f>IF(N1089=1,ROUND((SUMIFS($M$3:$M$1200,$A$3:$A$1200,A1089)+'Settings'!$B$13)*'Settings'!$B$14/100+'Settings'!$B$15,2),0)</f>
        <v>1.34</v>
      </c>
    </row>
    <row r="1090">
      <c r="A1090" s="3" t="inlineStr">
        <is>
          <t xml:space="preserve">#1802</t>
        </is>
      </c>
      <c r="B1090" s="3" t="inlineStr">
        <is>
          <t xml:space="preserve">2026-10-04</t>
        </is>
      </c>
      <c r="C1090" s="3" t="inlineStr">
        <is>
          <t xml:space="preserve">SKU-E</t>
        </is>
      </c>
      <c r="D1090" s="3" t="inlineStr">
        <is>
          <t xml:space="preserve">Complete Ritual</t>
        </is>
      </c>
      <c r="E1090" s="6">
        <f>IF('Settings'!$B$11="Scenario",IFERROR(INDEX('Catalogue'!$E$3:$E$100,MATCH(C1090,'Catalogue'!$B$3:$B$100,0)),F1090),F1090)</f>
        <v>89</v>
      </c>
      <c r="F1090" s="8">
        <v>89</v>
      </c>
      <c r="G1090" s="3">
        <v>1</v>
      </c>
      <c r="H1090" s="6">
        <f>IF('Settings'!$B$11="Scenario",ROUND(E1090*G1090*IFERROR(SUMIF('Pricing &amp; promotions'!$A$6:$A$8,L1090,'Pricing &amp; promotions'!$B$6:$B$8)/100,0),2),J1090)</f>
        <v>0.0</v>
      </c>
      <c r="I1090" s="6">
        <f>ROUND((E1090*G1090-H1090)/IF(OR(K1090=TRUE,K1090="TRUE",K1090="YES",K1090=1),1+'Settings'!$B$6/100,1),2)</f>
        <v>73.55</v>
      </c>
      <c r="J1090" s="8">
        <v>0.0</v>
      </c>
      <c r="K1090" s="3" t="inlineStr">
        <is>
          <t xml:space="preserve">TRUE</t>
        </is>
      </c>
      <c r="L1090" s="3"/>
      <c r="M1090" s="6">
        <f>ROUND(E1090*G1090-H1090,2)</f>
        <v>89.0</v>
      </c>
      <c r="N1090" s="5">
        <f>IF(COUNTIF($A$3:A1090,A1090)=1,1,0)</f>
        <v>1</v>
      </c>
      <c r="O1090" s="6">
        <f>IF(N1090=1,ROUND((SUMIFS($M$3:$M$1200,$A$3:$A$1200,A1090)+'Settings'!$B$13)*'Settings'!$B$14/100+'Settings'!$B$15,2),0)</f>
        <v>2.66</v>
      </c>
    </row>
    <row r="1091">
      <c r="A1091" s="3" t="inlineStr">
        <is>
          <t xml:space="preserve">#1802</t>
        </is>
      </c>
      <c r="B1091" s="3" t="inlineStr">
        <is>
          <t xml:space="preserve">2026-10-04</t>
        </is>
      </c>
      <c r="C1091" s="3" t="inlineStr">
        <is>
          <t xml:space="preserve">SKU-G</t>
        </is>
      </c>
      <c r="D1091" s="3" t="inlineStr">
        <is>
          <t xml:space="preserve">Daily Reset Set</t>
        </is>
      </c>
      <c r="E1091" s="6">
        <f>IF('Settings'!$B$11="Scenario",IFERROR(INDEX('Catalogue'!$E$3:$E$100,MATCH(C1091,'Catalogue'!$B$3:$B$100,0)),F1091),F1091)</f>
        <v>69</v>
      </c>
      <c r="F1091" s="8">
        <v>69</v>
      </c>
      <c r="G1091" s="3">
        <v>1</v>
      </c>
      <c r="H1091" s="6">
        <f>IF('Settings'!$B$11="Scenario",ROUND(E1091*G1091*IFERROR(SUMIF('Pricing &amp; promotions'!$A$6:$A$8,L1091,'Pricing &amp; promotions'!$B$6:$B$8)/100,0),2),J1091)</f>
        <v>0.0</v>
      </c>
      <c r="I1091" s="6">
        <f>ROUND((E1091*G1091-H1091)/IF(OR(K1091=TRUE,K1091="TRUE",K1091="YES",K1091=1),1+'Settings'!$B$6/100,1),2)</f>
        <v>57.02</v>
      </c>
      <c r="J1091" s="8">
        <v>0.0</v>
      </c>
      <c r="K1091" s="3" t="inlineStr">
        <is>
          <t xml:space="preserve">TRUE</t>
        </is>
      </c>
      <c r="L1091" s="3"/>
      <c r="M1091" s="6">
        <f>ROUND(E1091*G1091-H1091,2)</f>
        <v>69.0</v>
      </c>
      <c r="N1091" s="5">
        <f>IF(COUNTIF($A$3:A1091,A1091)=1,1,0)</f>
        <v>0</v>
      </c>
      <c r="O1091" s="6">
        <f>IF(N1091=1,ROUND((SUMIFS($M$3:$M$1200,$A$3:$A$1200,A1091)+'Settings'!$B$13)*'Settings'!$B$14/100+'Settings'!$B$15,2),0)</f>
        <v>0</v>
      </c>
    </row>
    <row r="1092">
      <c r="A1092" s="3" t="inlineStr">
        <is>
          <t xml:space="preserve">#1803</t>
        </is>
      </c>
      <c r="B1092" s="3" t="inlineStr">
        <is>
          <t xml:space="preserve">2026-10-04</t>
        </is>
      </c>
      <c r="C1092" s="3" t="inlineStr">
        <is>
          <t xml:space="preserve">SKU-A</t>
        </is>
      </c>
      <c r="D1092" s="3" t="inlineStr">
        <is>
          <t xml:space="preserve">Renewal Serum</t>
        </is>
      </c>
      <c r="E1092" s="6">
        <f>IF('Settings'!$B$11="Scenario",IFERROR(INDEX('Catalogue'!$E$3:$E$100,MATCH(C1092,'Catalogue'!$B$3:$B$100,0)),F1092),F1092)</f>
        <v>69.9</v>
      </c>
      <c r="F1092" s="8">
        <v>69.9</v>
      </c>
      <c r="G1092" s="3">
        <v>1</v>
      </c>
      <c r="H1092" s="6">
        <f>IF('Settings'!$B$11="Scenario",ROUND(E1092*G1092*IFERROR(SUMIF('Pricing &amp; promotions'!$A$6:$A$8,L1092,'Pricing &amp; promotions'!$B$6:$B$8)/100,0),2),J1092)</f>
        <v>10.49</v>
      </c>
      <c r="I1092" s="6">
        <f>ROUND((E1092*G1092-H1092)/IF(OR(K1092=TRUE,K1092="TRUE",K1092="YES",K1092=1),1+'Settings'!$B$6/100,1),2)</f>
        <v>49.1</v>
      </c>
      <c r="J1092" s="8">
        <v>10.49</v>
      </c>
      <c r="K1092" s="3" t="inlineStr">
        <is>
          <t xml:space="preserve">TRUE</t>
        </is>
      </c>
      <c r="L1092" s="3" t="inlineStr">
        <is>
          <t xml:space="preserve">SUMMER15</t>
        </is>
      </c>
      <c r="M1092" s="6">
        <f>ROUND(E1092*G1092-H1092,2)</f>
        <v>59.41</v>
      </c>
      <c r="N1092" s="5">
        <f>IF(COUNTIF($A$3:A1092,A1092)=1,1,0)</f>
        <v>1</v>
      </c>
      <c r="O1092" s="6">
        <f>IF(N1092=1,ROUND((SUMIFS($M$3:$M$1200,$A$3:$A$1200,A1092)+'Settings'!$B$13)*'Settings'!$B$14/100+'Settings'!$B$15,2),0)</f>
        <v>1.19</v>
      </c>
    </row>
    <row r="1093">
      <c r="A1093" s="3" t="inlineStr">
        <is>
          <t xml:space="preserve">#1804</t>
        </is>
      </c>
      <c r="B1093" s="3" t="inlineStr">
        <is>
          <t xml:space="preserve">2026-10-04</t>
        </is>
      </c>
      <c r="C1093" s="3" t="inlineStr">
        <is>
          <t xml:space="preserve">SKU-A</t>
        </is>
      </c>
      <c r="D1093" s="3" t="inlineStr">
        <is>
          <t xml:space="preserve">Renewal Serum</t>
        </is>
      </c>
      <c r="E1093" s="6">
        <f>IF('Settings'!$B$11="Scenario",IFERROR(INDEX('Catalogue'!$E$3:$E$100,MATCH(C1093,'Catalogue'!$B$3:$B$100,0)),F1093),F1093)</f>
        <v>69.9</v>
      </c>
      <c r="F1093" s="8">
        <v>69.9</v>
      </c>
      <c r="G1093" s="3">
        <v>1</v>
      </c>
      <c r="H1093" s="6">
        <f>IF('Settings'!$B$11="Scenario",ROUND(E1093*G1093*IFERROR(SUMIF('Pricing &amp; promotions'!$A$6:$A$8,L1093,'Pricing &amp; promotions'!$B$6:$B$8)/100,0),2),J1093)</f>
        <v>0.0</v>
      </c>
      <c r="I1093" s="6">
        <f>ROUND((E1093*G1093-H1093)/IF(OR(K1093=TRUE,K1093="TRUE",K1093="YES",K1093=1),1+'Settings'!$B$6/100,1),2)</f>
        <v>57.77</v>
      </c>
      <c r="J1093" s="8">
        <v>0.0</v>
      </c>
      <c r="K1093" s="3" t="inlineStr">
        <is>
          <t xml:space="preserve">TRUE</t>
        </is>
      </c>
      <c r="L1093" s="3"/>
      <c r="M1093" s="6">
        <f>ROUND(E1093*G1093-H1093,2)</f>
        <v>69.9</v>
      </c>
      <c r="N1093" s="5">
        <f>IF(COUNTIF($A$3:A1093,A1093)=1,1,0)</f>
        <v>1</v>
      </c>
      <c r="O1093" s="6">
        <f>IF(N1093=1,ROUND((SUMIFS($M$3:$M$1200,$A$3:$A$1200,A1093)+'Settings'!$B$13)*'Settings'!$B$14/100+'Settings'!$B$15,2),0)</f>
        <v>1.34</v>
      </c>
    </row>
    <row r="1094">
      <c r="A1094" s="3" t="inlineStr">
        <is>
          <t xml:space="preserve">#1805</t>
        </is>
      </c>
      <c r="B1094" s="3" t="inlineStr">
        <is>
          <t xml:space="preserve">2026-10-04</t>
        </is>
      </c>
      <c r="C1094" s="3" t="inlineStr">
        <is>
          <t xml:space="preserve">SKU-D</t>
        </is>
      </c>
      <c r="D1094" s="3" t="inlineStr">
        <is>
          <t xml:space="preserve">Daily Duo</t>
        </is>
      </c>
      <c r="E1094" s="6">
        <f>IF('Settings'!$B$11="Scenario",IFERROR(INDEX('Catalogue'!$E$3:$E$100,MATCH(C1094,'Catalogue'!$B$3:$B$100,0)),F1094),F1094)</f>
        <v>79</v>
      </c>
      <c r="F1094" s="8">
        <v>79</v>
      </c>
      <c r="G1094" s="3">
        <v>1</v>
      </c>
      <c r="H1094" s="6">
        <f>IF('Settings'!$B$11="Scenario",ROUND(E1094*G1094*IFERROR(SUMIF('Pricing &amp; promotions'!$A$6:$A$8,L1094,'Pricing &amp; promotions'!$B$6:$B$8)/100,0),2),J1094)</f>
        <v>0.0</v>
      </c>
      <c r="I1094" s="6">
        <f>ROUND((E1094*G1094-H1094)/IF(OR(K1094=TRUE,K1094="TRUE",K1094="YES",K1094=1),1+'Settings'!$B$6/100,1),2)</f>
        <v>65.29</v>
      </c>
      <c r="J1094" s="8">
        <v>0.0</v>
      </c>
      <c r="K1094" s="3" t="inlineStr">
        <is>
          <t xml:space="preserve">TRUE</t>
        </is>
      </c>
      <c r="L1094" s="3"/>
      <c r="M1094" s="6">
        <f>ROUND(E1094*G1094-H1094,2)</f>
        <v>79.0</v>
      </c>
      <c r="N1094" s="5">
        <f>IF(COUNTIF($A$3:A1094,A1094)=1,1,0)</f>
        <v>1</v>
      </c>
      <c r="O1094" s="6">
        <f>IF(N1094=1,ROUND((SUMIFS($M$3:$M$1200,$A$3:$A$1200,A1094)+'Settings'!$B$13)*'Settings'!$B$14/100+'Settings'!$B$15,2),0)</f>
        <v>1.48</v>
      </c>
    </row>
    <row r="1095">
      <c r="A1095" s="3" t="inlineStr">
        <is>
          <t xml:space="preserve">#1806</t>
        </is>
      </c>
      <c r="B1095" s="3" t="inlineStr">
        <is>
          <t xml:space="preserve">2026-10-06</t>
        </is>
      </c>
      <c r="C1095" s="3" t="inlineStr">
        <is>
          <t xml:space="preserve">SKU-B</t>
        </is>
      </c>
      <c r="D1095" s="3" t="inlineStr">
        <is>
          <t xml:space="preserve">Barrier Balm</t>
        </is>
      </c>
      <c r="E1095" s="6">
        <f>IF('Settings'!$B$11="Scenario",IFERROR(INDEX('Catalogue'!$E$3:$E$100,MATCH(C1095,'Catalogue'!$B$3:$B$100,0)),F1095),F1095)</f>
        <v>19</v>
      </c>
      <c r="F1095" s="8">
        <v>19</v>
      </c>
      <c r="G1095" s="3">
        <v>1</v>
      </c>
      <c r="H1095" s="6">
        <f>IF('Settings'!$B$11="Scenario",ROUND(E1095*G1095*IFERROR(SUMIF('Pricing &amp; promotions'!$A$6:$A$8,L1095,'Pricing &amp; promotions'!$B$6:$B$8)/100,0),2),J1095)</f>
        <v>0.0</v>
      </c>
      <c r="I1095" s="6">
        <f>ROUND((E1095*G1095-H1095)/IF(OR(K1095=TRUE,K1095="TRUE",K1095="YES",K1095=1),1+'Settings'!$B$6/100,1),2)</f>
        <v>15.7</v>
      </c>
      <c r="J1095" s="8">
        <v>0.0</v>
      </c>
      <c r="K1095" s="3" t="inlineStr">
        <is>
          <t xml:space="preserve">TRUE</t>
        </is>
      </c>
      <c r="L1095" s="3"/>
      <c r="M1095" s="6">
        <f>ROUND(E1095*G1095-H1095,2)</f>
        <v>19.0</v>
      </c>
      <c r="N1095" s="5">
        <f>IF(COUNTIF($A$3:A1095,A1095)=1,1,0)</f>
        <v>1</v>
      </c>
      <c r="O1095" s="6">
        <f>IF(N1095=1,ROUND((SUMIFS($M$3:$M$1200,$A$3:$A$1200,A1095)+'Settings'!$B$13)*'Settings'!$B$14/100+'Settings'!$B$15,2),0)</f>
        <v>0.58</v>
      </c>
    </row>
    <row r="1096">
      <c r="A1096" s="3" t="inlineStr">
        <is>
          <t xml:space="preserve">#1807</t>
        </is>
      </c>
      <c r="B1096" s="3" t="inlineStr">
        <is>
          <t xml:space="preserve">2026-10-06</t>
        </is>
      </c>
      <c r="C1096" s="3" t="inlineStr">
        <is>
          <t xml:space="preserve">SKU-D</t>
        </is>
      </c>
      <c r="D1096" s="3" t="inlineStr">
        <is>
          <t xml:space="preserve">Daily Duo</t>
        </is>
      </c>
      <c r="E1096" s="6">
        <f>IF('Settings'!$B$11="Scenario",IFERROR(INDEX('Catalogue'!$E$3:$E$100,MATCH(C1096,'Catalogue'!$B$3:$B$100,0)),F1096),F1096)</f>
        <v>79</v>
      </c>
      <c r="F1096" s="8">
        <v>79</v>
      </c>
      <c r="G1096" s="3">
        <v>1</v>
      </c>
      <c r="H1096" s="6">
        <f>IF('Settings'!$B$11="Scenario",ROUND(E1096*G1096*IFERROR(SUMIF('Pricing &amp; promotions'!$A$6:$A$8,L1096,'Pricing &amp; promotions'!$B$6:$B$8)/100,0),2),J1096)</f>
        <v>0.0</v>
      </c>
      <c r="I1096" s="6">
        <f>ROUND((E1096*G1096-H1096)/IF(OR(K1096=TRUE,K1096="TRUE",K1096="YES",K1096=1),1+'Settings'!$B$6/100,1),2)</f>
        <v>65.29</v>
      </c>
      <c r="J1096" s="8">
        <v>0.0</v>
      </c>
      <c r="K1096" s="3" t="inlineStr">
        <is>
          <t xml:space="preserve">TRUE</t>
        </is>
      </c>
      <c r="L1096" s="3"/>
      <c r="M1096" s="6">
        <f>ROUND(E1096*G1096-H1096,2)</f>
        <v>79.0</v>
      </c>
      <c r="N1096" s="5">
        <f>IF(COUNTIF($A$3:A1096,A1096)=1,1,0)</f>
        <v>1</v>
      </c>
      <c r="O1096" s="6">
        <f>IF(N1096=1,ROUND((SUMIFS($M$3:$M$1200,$A$3:$A$1200,A1096)+'Settings'!$B$13)*'Settings'!$B$14/100+'Settings'!$B$15,2),0)</f>
        <v>1.48</v>
      </c>
    </row>
    <row r="1097">
      <c r="A1097" s="3" t="inlineStr">
        <is>
          <t xml:space="preserve">#1808</t>
        </is>
      </c>
      <c r="B1097" s="3" t="inlineStr">
        <is>
          <t xml:space="preserve">2026-10-06</t>
        </is>
      </c>
      <c r="C1097" s="3" t="inlineStr">
        <is>
          <t xml:space="preserve">SKU-E</t>
        </is>
      </c>
      <c r="D1097" s="3" t="inlineStr">
        <is>
          <t xml:space="preserve">Complete Ritual</t>
        </is>
      </c>
      <c r="E1097" s="6">
        <f>IF('Settings'!$B$11="Scenario",IFERROR(INDEX('Catalogue'!$E$3:$E$100,MATCH(C1097,'Catalogue'!$B$3:$B$100,0)),F1097),F1097)</f>
        <v>89</v>
      </c>
      <c r="F1097" s="8">
        <v>89</v>
      </c>
      <c r="G1097" s="3">
        <v>1</v>
      </c>
      <c r="H1097" s="6">
        <f>IF('Settings'!$B$11="Scenario",ROUND(E1097*G1097*IFERROR(SUMIF('Pricing &amp; promotions'!$A$6:$A$8,L1097,'Pricing &amp; promotions'!$B$6:$B$8)/100,0),2),J1097)</f>
        <v>0.0</v>
      </c>
      <c r="I1097" s="6">
        <f>ROUND((E1097*G1097-H1097)/IF(OR(K1097=TRUE,K1097="TRUE",K1097="YES",K1097=1),1+'Settings'!$B$6/100,1),2)</f>
        <v>73.55</v>
      </c>
      <c r="J1097" s="8">
        <v>0.0</v>
      </c>
      <c r="K1097" s="3" t="inlineStr">
        <is>
          <t xml:space="preserve">TRUE</t>
        </is>
      </c>
      <c r="L1097" s="3"/>
      <c r="M1097" s="6">
        <f>ROUND(E1097*G1097-H1097,2)</f>
        <v>89.0</v>
      </c>
      <c r="N1097" s="5">
        <f>IF(COUNTIF($A$3:A1097,A1097)=1,1,0)</f>
        <v>1</v>
      </c>
      <c r="O1097" s="6">
        <f>IF(N1097=1,ROUND((SUMIFS($M$3:$M$1200,$A$3:$A$1200,A1097)+'Settings'!$B$13)*'Settings'!$B$14/100+'Settings'!$B$15,2),0)</f>
        <v>1.63</v>
      </c>
    </row>
    <row r="1098">
      <c r="A1098" s="3" t="inlineStr">
        <is>
          <t xml:space="preserve">#1809</t>
        </is>
      </c>
      <c r="B1098" s="3" t="inlineStr">
        <is>
          <t xml:space="preserve">2026-10-07</t>
        </is>
      </c>
      <c r="C1098" s="3" t="inlineStr">
        <is>
          <t xml:space="preserve">SKU-E</t>
        </is>
      </c>
      <c r="D1098" s="3" t="inlineStr">
        <is>
          <t xml:space="preserve">Complete Ritual</t>
        </is>
      </c>
      <c r="E1098" s="6">
        <f>IF('Settings'!$B$11="Scenario",IFERROR(INDEX('Catalogue'!$E$3:$E$100,MATCH(C1098,'Catalogue'!$B$3:$B$100,0)),F1098),F1098)</f>
        <v>89</v>
      </c>
      <c r="F1098" s="8">
        <v>89</v>
      </c>
      <c r="G1098" s="3">
        <v>1</v>
      </c>
      <c r="H1098" s="6">
        <f>IF('Settings'!$B$11="Scenario",ROUND(E1098*G1098*IFERROR(SUMIF('Pricing &amp; promotions'!$A$6:$A$8,L1098,'Pricing &amp; promotions'!$B$6:$B$8)/100,0),2),J1098)</f>
        <v>13.35</v>
      </c>
      <c r="I1098" s="6">
        <f>ROUND((E1098*G1098-H1098)/IF(OR(K1098=TRUE,K1098="TRUE",K1098="YES",K1098=1),1+'Settings'!$B$6/100,1),2)</f>
        <v>62.52</v>
      </c>
      <c r="J1098" s="8">
        <v>13.35</v>
      </c>
      <c r="K1098" s="3" t="inlineStr">
        <is>
          <t xml:space="preserve">TRUE</t>
        </is>
      </c>
      <c r="L1098" s="3" t="inlineStr">
        <is>
          <t xml:space="preserve">SUMMER15</t>
        </is>
      </c>
      <c r="M1098" s="6">
        <f>ROUND(E1098*G1098-H1098,2)</f>
        <v>75.65</v>
      </c>
      <c r="N1098" s="5">
        <f>IF(COUNTIF($A$3:A1098,A1098)=1,1,0)</f>
        <v>1</v>
      </c>
      <c r="O1098" s="6">
        <f>IF(N1098=1,ROUND((SUMIFS($M$3:$M$1200,$A$3:$A$1200,A1098)+'Settings'!$B$13)*'Settings'!$B$14/100+'Settings'!$B$15,2),0)</f>
        <v>2.32</v>
      </c>
    </row>
    <row r="1099">
      <c r="A1099" s="3" t="inlineStr">
        <is>
          <t xml:space="preserve">#1809</t>
        </is>
      </c>
      <c r="B1099" s="3" t="inlineStr">
        <is>
          <t xml:space="preserve">2026-10-07</t>
        </is>
      </c>
      <c r="C1099" s="3" t="inlineStr">
        <is>
          <t xml:space="preserve">SKU-A</t>
        </is>
      </c>
      <c r="D1099" s="3" t="inlineStr">
        <is>
          <t xml:space="preserve">Renewal Serum</t>
        </is>
      </c>
      <c r="E1099" s="6">
        <f>IF('Settings'!$B$11="Scenario",IFERROR(INDEX('Catalogue'!$E$3:$E$100,MATCH(C1099,'Catalogue'!$B$3:$B$100,0)),F1099),F1099)</f>
        <v>69.9</v>
      </c>
      <c r="F1099" s="8">
        <v>69.9</v>
      </c>
      <c r="G1099" s="3">
        <v>1</v>
      </c>
      <c r="H1099" s="6">
        <f>IF('Settings'!$B$11="Scenario",ROUND(E1099*G1099*IFERROR(SUMIF('Pricing &amp; promotions'!$A$6:$A$8,L1099,'Pricing &amp; promotions'!$B$6:$B$8)/100,0),2),J1099)</f>
        <v>10.49</v>
      </c>
      <c r="I1099" s="6">
        <f>ROUND((E1099*G1099-H1099)/IF(OR(K1099=TRUE,K1099="TRUE",K1099="YES",K1099=1),1+'Settings'!$B$6/100,1),2)</f>
        <v>49.1</v>
      </c>
      <c r="J1099" s="8">
        <v>10.49</v>
      </c>
      <c r="K1099" s="3" t="inlineStr">
        <is>
          <t xml:space="preserve">TRUE</t>
        </is>
      </c>
      <c r="L1099" s="3" t="inlineStr">
        <is>
          <t xml:space="preserve">SUMMER15</t>
        </is>
      </c>
      <c r="M1099" s="6">
        <f>ROUND(E1099*G1099-H1099,2)</f>
        <v>59.41</v>
      </c>
      <c r="N1099" s="5">
        <f>IF(COUNTIF($A$3:A1099,A1099)=1,1,0)</f>
        <v>0</v>
      </c>
      <c r="O1099" s="6">
        <f>IF(N1099=1,ROUND((SUMIFS($M$3:$M$1200,$A$3:$A$1200,A1099)+'Settings'!$B$13)*'Settings'!$B$14/100+'Settings'!$B$15,2),0)</f>
        <v>0</v>
      </c>
    </row>
    <row r="1100">
      <c r="A1100" s="3" t="inlineStr">
        <is>
          <t xml:space="preserve">#1810</t>
        </is>
      </c>
      <c r="B1100" s="3" t="inlineStr">
        <is>
          <t xml:space="preserve">2026-10-07</t>
        </is>
      </c>
      <c r="C1100" s="3" t="inlineStr">
        <is>
          <t xml:space="preserve">SKU-D</t>
        </is>
      </c>
      <c r="D1100" s="3" t="inlineStr">
        <is>
          <t xml:space="preserve">Daily Duo</t>
        </is>
      </c>
      <c r="E1100" s="6">
        <f>IF('Settings'!$B$11="Scenario",IFERROR(INDEX('Catalogue'!$E$3:$E$100,MATCH(C1100,'Catalogue'!$B$3:$B$100,0)),F1100),F1100)</f>
        <v>79</v>
      </c>
      <c r="F1100" s="8">
        <v>79</v>
      </c>
      <c r="G1100" s="3">
        <v>1</v>
      </c>
      <c r="H1100" s="6">
        <f>IF('Settings'!$B$11="Scenario",ROUND(E1100*G1100*IFERROR(SUMIF('Pricing &amp; promotions'!$A$6:$A$8,L1100,'Pricing &amp; promotions'!$B$6:$B$8)/100,0),2),J1100)</f>
        <v>7.9</v>
      </c>
      <c r="I1100" s="6">
        <f>ROUND((E1100*G1100-H1100)/IF(OR(K1100=TRUE,K1100="TRUE",K1100="YES",K1100=1),1+'Settings'!$B$6/100,1),2)</f>
        <v>58.76</v>
      </c>
      <c r="J1100" s="8">
        <v>7.9</v>
      </c>
      <c r="K1100" s="3" t="inlineStr">
        <is>
          <t xml:space="preserve">TRUE</t>
        </is>
      </c>
      <c r="L1100" s="3" t="inlineStr">
        <is>
          <t xml:space="preserve">WELCOME10</t>
        </is>
      </c>
      <c r="M1100" s="6">
        <f>ROUND(E1100*G1100-H1100,2)</f>
        <v>71.1</v>
      </c>
      <c r="N1100" s="5">
        <f>IF(COUNTIF($A$3:A1100,A1100)=1,1,0)</f>
        <v>1</v>
      </c>
      <c r="O1100" s="6">
        <f>IF(N1100=1,ROUND((SUMIFS($M$3:$M$1200,$A$3:$A$1200,A1100)+'Settings'!$B$13)*'Settings'!$B$14/100+'Settings'!$B$15,2),0)</f>
        <v>1.36</v>
      </c>
    </row>
    <row r="1101">
      <c r="A1101" s="3" t="inlineStr">
        <is>
          <t xml:space="preserve">#1811</t>
        </is>
      </c>
      <c r="B1101" s="3" t="inlineStr">
        <is>
          <t xml:space="preserve">2026-10-07</t>
        </is>
      </c>
      <c r="C1101" s="3" t="inlineStr">
        <is>
          <t xml:space="preserve">SKU-E</t>
        </is>
      </c>
      <c r="D1101" s="3" t="inlineStr">
        <is>
          <t xml:space="preserve">Complete Ritual</t>
        </is>
      </c>
      <c r="E1101" s="6">
        <f>IF('Settings'!$B$11="Scenario",IFERROR(INDEX('Catalogue'!$E$3:$E$100,MATCH(C1101,'Catalogue'!$B$3:$B$100,0)),F1101),F1101)</f>
        <v>89</v>
      </c>
      <c r="F1101" s="8">
        <v>89</v>
      </c>
      <c r="G1101" s="3">
        <v>1</v>
      </c>
      <c r="H1101" s="6">
        <f>IF('Settings'!$B$11="Scenario",ROUND(E1101*G1101*IFERROR(SUMIF('Pricing &amp; promotions'!$A$6:$A$8,L1101,'Pricing &amp; promotions'!$B$6:$B$8)/100,0),2),J1101)</f>
        <v>0.0</v>
      </c>
      <c r="I1101" s="6">
        <f>ROUND((E1101*G1101-H1101)/IF(OR(K1101=TRUE,K1101="TRUE",K1101="YES",K1101=1),1+'Settings'!$B$6/100,1),2)</f>
        <v>73.55</v>
      </c>
      <c r="J1101" s="8">
        <v>0.0</v>
      </c>
      <c r="K1101" s="3" t="inlineStr">
        <is>
          <t xml:space="preserve">TRUE</t>
        </is>
      </c>
      <c r="L1101" s="3"/>
      <c r="M1101" s="6">
        <f>ROUND(E1101*G1101-H1101,2)</f>
        <v>89.0</v>
      </c>
      <c r="N1101" s="5">
        <f>IF(COUNTIF($A$3:A1101,A1101)=1,1,0)</f>
        <v>1</v>
      </c>
      <c r="O1101" s="6">
        <f>IF(N1101=1,ROUND((SUMIFS($M$3:$M$1200,$A$3:$A$1200,A1101)+'Settings'!$B$13)*'Settings'!$B$14/100+'Settings'!$B$15,2),0)</f>
        <v>1.63</v>
      </c>
    </row>
    <row r="1102">
      <c r="A1102" s="3" t="inlineStr">
        <is>
          <t xml:space="preserve">#1812</t>
        </is>
      </c>
      <c r="B1102" s="3" t="inlineStr">
        <is>
          <t xml:space="preserve">2026-10-07</t>
        </is>
      </c>
      <c r="C1102" s="3" t="inlineStr">
        <is>
          <t xml:space="preserve">SKU-E</t>
        </is>
      </c>
      <c r="D1102" s="3" t="inlineStr">
        <is>
          <t xml:space="preserve">Complete Ritual</t>
        </is>
      </c>
      <c r="E1102" s="6">
        <f>IF('Settings'!$B$11="Scenario",IFERROR(INDEX('Catalogue'!$E$3:$E$100,MATCH(C1102,'Catalogue'!$B$3:$B$100,0)),F1102),F1102)</f>
        <v>89</v>
      </c>
      <c r="F1102" s="8">
        <v>89</v>
      </c>
      <c r="G1102" s="3">
        <v>1</v>
      </c>
      <c r="H1102" s="6">
        <f>IF('Settings'!$B$11="Scenario",ROUND(E1102*G1102*IFERROR(SUMIF('Pricing &amp; promotions'!$A$6:$A$8,L1102,'Pricing &amp; promotions'!$B$6:$B$8)/100,0),2),J1102)</f>
        <v>0.0</v>
      </c>
      <c r="I1102" s="6">
        <f>ROUND((E1102*G1102-H1102)/IF(OR(K1102=TRUE,K1102="TRUE",K1102="YES",K1102=1),1+'Settings'!$B$6/100,1),2)</f>
        <v>73.55</v>
      </c>
      <c r="J1102" s="8">
        <v>0.0</v>
      </c>
      <c r="K1102" s="3" t="inlineStr">
        <is>
          <t xml:space="preserve">TRUE</t>
        </is>
      </c>
      <c r="L1102" s="3"/>
      <c r="M1102" s="6">
        <f>ROUND(E1102*G1102-H1102,2)</f>
        <v>89.0</v>
      </c>
      <c r="N1102" s="5">
        <f>IF(COUNTIF($A$3:A1102,A1102)=1,1,0)</f>
        <v>1</v>
      </c>
      <c r="O1102" s="6">
        <f>IF(N1102=1,ROUND((SUMIFS($M$3:$M$1200,$A$3:$A$1200,A1102)+'Settings'!$B$13)*'Settings'!$B$14/100+'Settings'!$B$15,2),0)</f>
        <v>2.81</v>
      </c>
    </row>
    <row r="1103">
      <c r="A1103" s="3" t="inlineStr">
        <is>
          <t xml:space="preserve">#1812</t>
        </is>
      </c>
      <c r="B1103" s="3" t="inlineStr">
        <is>
          <t xml:space="preserve">2026-10-07</t>
        </is>
      </c>
      <c r="C1103" s="3" t="inlineStr">
        <is>
          <t xml:space="preserve">SKU-D</t>
        </is>
      </c>
      <c r="D1103" s="3" t="inlineStr">
        <is>
          <t xml:space="preserve">Daily Duo</t>
        </is>
      </c>
      <c r="E1103" s="6">
        <f>IF('Settings'!$B$11="Scenario",IFERROR(INDEX('Catalogue'!$E$3:$E$100,MATCH(C1103,'Catalogue'!$B$3:$B$100,0)),F1103),F1103)</f>
        <v>79</v>
      </c>
      <c r="F1103" s="8">
        <v>79</v>
      </c>
      <c r="G1103" s="3">
        <v>1</v>
      </c>
      <c r="H1103" s="6">
        <f>IF('Settings'!$B$11="Scenario",ROUND(E1103*G1103*IFERROR(SUMIF('Pricing &amp; promotions'!$A$6:$A$8,L1103,'Pricing &amp; promotions'!$B$6:$B$8)/100,0),2),J1103)</f>
        <v>0.0</v>
      </c>
      <c r="I1103" s="6">
        <f>ROUND((E1103*G1103-H1103)/IF(OR(K1103=TRUE,K1103="TRUE",K1103="YES",K1103=1),1+'Settings'!$B$6/100,1),2)</f>
        <v>65.29</v>
      </c>
      <c r="J1103" s="8">
        <v>0.0</v>
      </c>
      <c r="K1103" s="3" t="inlineStr">
        <is>
          <t xml:space="preserve">TRUE</t>
        </is>
      </c>
      <c r="L1103" s="3"/>
      <c r="M1103" s="6">
        <f>ROUND(E1103*G1103-H1103,2)</f>
        <v>79.0</v>
      </c>
      <c r="N1103" s="5">
        <f>IF(COUNTIF($A$3:A1103,A1103)=1,1,0)</f>
        <v>0</v>
      </c>
      <c r="O1103" s="6">
        <f>IF(N1103=1,ROUND((SUMIFS($M$3:$M$1200,$A$3:$A$1200,A1103)+'Settings'!$B$13)*'Settings'!$B$14/100+'Settings'!$B$15,2),0)</f>
        <v>0</v>
      </c>
    </row>
    <row r="1104">
      <c r="A1104" s="3" t="inlineStr">
        <is>
          <t xml:space="preserve">#1813</t>
        </is>
      </c>
      <c r="B1104" s="3" t="inlineStr">
        <is>
          <t xml:space="preserve">2026-10-08</t>
        </is>
      </c>
      <c r="C1104" s="3" t="inlineStr">
        <is>
          <t xml:space="preserve">SKU-A</t>
        </is>
      </c>
      <c r="D1104" s="3" t="inlineStr">
        <is>
          <t xml:space="preserve">Renewal Serum</t>
        </is>
      </c>
      <c r="E1104" s="6">
        <f>IF('Settings'!$B$11="Scenario",IFERROR(INDEX('Catalogue'!$E$3:$E$100,MATCH(C1104,'Catalogue'!$B$3:$B$100,0)),F1104),F1104)</f>
        <v>69.9</v>
      </c>
      <c r="F1104" s="8">
        <v>69.9</v>
      </c>
      <c r="G1104" s="3">
        <v>1</v>
      </c>
      <c r="H1104" s="6">
        <f>IF('Settings'!$B$11="Scenario",ROUND(E1104*G1104*IFERROR(SUMIF('Pricing &amp; promotions'!$A$6:$A$8,L1104,'Pricing &amp; promotions'!$B$6:$B$8)/100,0),2),J1104)</f>
        <v>10.49</v>
      </c>
      <c r="I1104" s="6">
        <f>ROUND((E1104*G1104-H1104)/IF(OR(K1104=TRUE,K1104="TRUE",K1104="YES",K1104=1),1+'Settings'!$B$6/100,1),2)</f>
        <v>49.1</v>
      </c>
      <c r="J1104" s="8">
        <v>10.49</v>
      </c>
      <c r="K1104" s="3" t="inlineStr">
        <is>
          <t xml:space="preserve">TRUE</t>
        </is>
      </c>
      <c r="L1104" s="3" t="inlineStr">
        <is>
          <t xml:space="preserve">SUMMER15</t>
        </is>
      </c>
      <c r="M1104" s="6">
        <f>ROUND(E1104*G1104-H1104,2)</f>
        <v>59.41</v>
      </c>
      <c r="N1104" s="5">
        <f>IF(COUNTIF($A$3:A1104,A1104)=1,1,0)</f>
        <v>1</v>
      </c>
      <c r="O1104" s="6">
        <f>IF(N1104=1,ROUND((SUMIFS($M$3:$M$1200,$A$3:$A$1200,A1104)+'Settings'!$B$13)*'Settings'!$B$14/100+'Settings'!$B$15,2),0)</f>
        <v>4.46</v>
      </c>
    </row>
    <row r="1105">
      <c r="A1105" s="3" t="inlineStr">
        <is>
          <t xml:space="preserve">#1813</t>
        </is>
      </c>
      <c r="B1105" s="3" t="inlineStr">
        <is>
          <t xml:space="preserve">2026-10-08</t>
        </is>
      </c>
      <c r="C1105" s="3" t="inlineStr">
        <is>
          <t xml:space="preserve">SKU-D</t>
        </is>
      </c>
      <c r="D1105" s="3" t="inlineStr">
        <is>
          <t xml:space="preserve">Daily Duo</t>
        </is>
      </c>
      <c r="E1105" s="6">
        <f>IF('Settings'!$B$11="Scenario",IFERROR(INDEX('Catalogue'!$E$3:$E$100,MATCH(C1105,'Catalogue'!$B$3:$B$100,0)),F1105),F1105)</f>
        <v>79</v>
      </c>
      <c r="F1105" s="8">
        <v>79</v>
      </c>
      <c r="G1105" s="3">
        <v>1</v>
      </c>
      <c r="H1105" s="6">
        <f>IF('Settings'!$B$11="Scenario",ROUND(E1105*G1105*IFERROR(SUMIF('Pricing &amp; promotions'!$A$6:$A$8,L1105,'Pricing &amp; promotions'!$B$6:$B$8)/100,0),2),J1105)</f>
        <v>11.85</v>
      </c>
      <c r="I1105" s="6">
        <f>ROUND((E1105*G1105-H1105)/IF(OR(K1105=TRUE,K1105="TRUE",K1105="YES",K1105=1),1+'Settings'!$B$6/100,1),2)</f>
        <v>55.5</v>
      </c>
      <c r="J1105" s="8">
        <v>11.85</v>
      </c>
      <c r="K1105" s="3" t="inlineStr">
        <is>
          <t xml:space="preserve">TRUE</t>
        </is>
      </c>
      <c r="L1105" s="3" t="inlineStr">
        <is>
          <t xml:space="preserve">SUMMER15</t>
        </is>
      </c>
      <c r="M1105" s="6">
        <f>ROUND(E1105*G1105-H1105,2)</f>
        <v>67.15</v>
      </c>
      <c r="N1105" s="5">
        <f>IF(COUNTIF($A$3:A1105,A1105)=1,1,0)</f>
        <v>0</v>
      </c>
      <c r="O1105" s="6">
        <f>IF(N1105=1,ROUND((SUMIFS($M$3:$M$1200,$A$3:$A$1200,A1105)+'Settings'!$B$13)*'Settings'!$B$14/100+'Settings'!$B$15,2),0)</f>
        <v>0</v>
      </c>
    </row>
    <row r="1106">
      <c r="A1106" s="3" t="inlineStr">
        <is>
          <t xml:space="preserve">#1813</t>
        </is>
      </c>
      <c r="B1106" s="3" t="inlineStr">
        <is>
          <t xml:space="preserve">2026-10-08</t>
        </is>
      </c>
      <c r="C1106" s="3" t="inlineStr">
        <is>
          <t xml:space="preserve">SKU-E</t>
        </is>
      </c>
      <c r="D1106" s="3" t="inlineStr">
        <is>
          <t xml:space="preserve">Complete Ritual</t>
        </is>
      </c>
      <c r="E1106" s="6">
        <f>IF('Settings'!$B$11="Scenario",IFERROR(INDEX('Catalogue'!$E$3:$E$100,MATCH(C1106,'Catalogue'!$B$3:$B$100,0)),F1106),F1106)</f>
        <v>89</v>
      </c>
      <c r="F1106" s="8">
        <v>89</v>
      </c>
      <c r="G1106" s="3">
        <v>2</v>
      </c>
      <c r="H1106" s="6">
        <f>IF('Settings'!$B$11="Scenario",ROUND(E1106*G1106*IFERROR(SUMIF('Pricing &amp; promotions'!$A$6:$A$8,L1106,'Pricing &amp; promotions'!$B$6:$B$8)/100,0),2),J1106)</f>
        <v>26.7</v>
      </c>
      <c r="I1106" s="6">
        <f>ROUND((E1106*G1106-H1106)/IF(OR(K1106=TRUE,K1106="TRUE",K1106="YES",K1106=1),1+'Settings'!$B$6/100,1),2)</f>
        <v>125.04</v>
      </c>
      <c r="J1106" s="8">
        <v>26.7</v>
      </c>
      <c r="K1106" s="3" t="inlineStr">
        <is>
          <t xml:space="preserve">TRUE</t>
        </is>
      </c>
      <c r="L1106" s="3" t="inlineStr">
        <is>
          <t xml:space="preserve">SUMMER15</t>
        </is>
      </c>
      <c r="M1106" s="6">
        <f>ROUND(E1106*G1106-H1106,2)</f>
        <v>151.3</v>
      </c>
      <c r="N1106" s="5">
        <f>IF(COUNTIF($A$3:A1106,A1106)=1,1,0)</f>
        <v>0</v>
      </c>
      <c r="O1106" s="6">
        <f>IF(N1106=1,ROUND((SUMIFS($M$3:$M$1200,$A$3:$A$1200,A1106)+'Settings'!$B$13)*'Settings'!$B$14/100+'Settings'!$B$15,2),0)</f>
        <v>0</v>
      </c>
    </row>
    <row r="1107">
      <c r="A1107" s="3" t="inlineStr">
        <is>
          <t xml:space="preserve">#1814</t>
        </is>
      </c>
      <c r="B1107" s="3" t="inlineStr">
        <is>
          <t xml:space="preserve">2026-10-08</t>
        </is>
      </c>
      <c r="C1107" s="3" t="inlineStr">
        <is>
          <t xml:space="preserve">SKU-A</t>
        </is>
      </c>
      <c r="D1107" s="3" t="inlineStr">
        <is>
          <t xml:space="preserve">Renewal Serum</t>
        </is>
      </c>
      <c r="E1107" s="6">
        <f>IF('Settings'!$B$11="Scenario",IFERROR(INDEX('Catalogue'!$E$3:$E$100,MATCH(C1107,'Catalogue'!$B$3:$B$100,0)),F1107),F1107)</f>
        <v>69.9</v>
      </c>
      <c r="F1107" s="8">
        <v>69.9</v>
      </c>
      <c r="G1107" s="3">
        <v>1</v>
      </c>
      <c r="H1107" s="6">
        <f>IF('Settings'!$B$11="Scenario",ROUND(E1107*G1107*IFERROR(SUMIF('Pricing &amp; promotions'!$A$6:$A$8,L1107,'Pricing &amp; promotions'!$B$6:$B$8)/100,0),2),J1107)</f>
        <v>0.0</v>
      </c>
      <c r="I1107" s="6">
        <f>ROUND((E1107*G1107-H1107)/IF(OR(K1107=TRUE,K1107="TRUE",K1107="YES",K1107=1),1+'Settings'!$B$6/100,1),2)</f>
        <v>57.77</v>
      </c>
      <c r="J1107" s="8">
        <v>0.0</v>
      </c>
      <c r="K1107" s="3" t="inlineStr">
        <is>
          <t xml:space="preserve">TRUE</t>
        </is>
      </c>
      <c r="L1107" s="3"/>
      <c r="M1107" s="6">
        <f>ROUND(E1107*G1107-H1107,2)</f>
        <v>69.9</v>
      </c>
      <c r="N1107" s="5">
        <f>IF(COUNTIF($A$3:A1107,A1107)=1,1,0)</f>
        <v>1</v>
      </c>
      <c r="O1107" s="6">
        <f>IF(N1107=1,ROUND((SUMIFS($M$3:$M$1200,$A$3:$A$1200,A1107)+'Settings'!$B$13)*'Settings'!$B$14/100+'Settings'!$B$15,2),0)</f>
        <v>1.34</v>
      </c>
    </row>
    <row r="1108">
      <c r="A1108" s="3" t="inlineStr">
        <is>
          <t xml:space="preserve">#1815</t>
        </is>
      </c>
      <c r="B1108" s="3" t="inlineStr">
        <is>
          <t xml:space="preserve">2026-10-08</t>
        </is>
      </c>
      <c r="C1108" s="3" t="inlineStr">
        <is>
          <t xml:space="preserve">SKU-A</t>
        </is>
      </c>
      <c r="D1108" s="3" t="inlineStr">
        <is>
          <t xml:space="preserve">Renewal Serum</t>
        </is>
      </c>
      <c r="E1108" s="6">
        <f>IF('Settings'!$B$11="Scenario",IFERROR(INDEX('Catalogue'!$E$3:$E$100,MATCH(C1108,'Catalogue'!$B$3:$B$100,0)),F1108),F1108)</f>
        <v>69.9</v>
      </c>
      <c r="F1108" s="8">
        <v>69.9</v>
      </c>
      <c r="G1108" s="3">
        <v>1</v>
      </c>
      <c r="H1108" s="6">
        <f>IF('Settings'!$B$11="Scenario",ROUND(E1108*G1108*IFERROR(SUMIF('Pricing &amp; promotions'!$A$6:$A$8,L1108,'Pricing &amp; promotions'!$B$6:$B$8)/100,0),2),J1108)</f>
        <v>6.99</v>
      </c>
      <c r="I1108" s="6">
        <f>ROUND((E1108*G1108-H1108)/IF(OR(K1108=TRUE,K1108="TRUE",K1108="YES",K1108=1),1+'Settings'!$B$6/100,1),2)</f>
        <v>51.99</v>
      </c>
      <c r="J1108" s="8">
        <v>6.99</v>
      </c>
      <c r="K1108" s="3" t="inlineStr">
        <is>
          <t xml:space="preserve">TRUE</t>
        </is>
      </c>
      <c r="L1108" s="3" t="inlineStr">
        <is>
          <t xml:space="preserve">WELCOME10</t>
        </is>
      </c>
      <c r="M1108" s="6">
        <f>ROUND(E1108*G1108-H1108,2)</f>
        <v>62.91</v>
      </c>
      <c r="N1108" s="5">
        <f>IF(COUNTIF($A$3:A1108,A1108)=1,1,0)</f>
        <v>1</v>
      </c>
      <c r="O1108" s="6">
        <f>IF(N1108=1,ROUND((SUMIFS($M$3:$M$1200,$A$3:$A$1200,A1108)+'Settings'!$B$13)*'Settings'!$B$14/100+'Settings'!$B$15,2),0)</f>
        <v>2.44</v>
      </c>
    </row>
    <row r="1109">
      <c r="A1109" s="3" t="inlineStr">
        <is>
          <t xml:space="preserve">#1815</t>
        </is>
      </c>
      <c r="B1109" s="3" t="inlineStr">
        <is>
          <t xml:space="preserve">2026-10-08</t>
        </is>
      </c>
      <c r="C1109" s="3" t="inlineStr">
        <is>
          <t xml:space="preserve">SKU-E</t>
        </is>
      </c>
      <c r="D1109" s="3" t="inlineStr">
        <is>
          <t xml:space="preserve">Complete Ritual</t>
        </is>
      </c>
      <c r="E1109" s="6">
        <f>IF('Settings'!$B$11="Scenario",IFERROR(INDEX('Catalogue'!$E$3:$E$100,MATCH(C1109,'Catalogue'!$B$3:$B$100,0)),F1109),F1109)</f>
        <v>89</v>
      </c>
      <c r="F1109" s="8">
        <v>89</v>
      </c>
      <c r="G1109" s="3">
        <v>1</v>
      </c>
      <c r="H1109" s="6">
        <f>IF('Settings'!$B$11="Scenario",ROUND(E1109*G1109*IFERROR(SUMIF('Pricing &amp; promotions'!$A$6:$A$8,L1109,'Pricing &amp; promotions'!$B$6:$B$8)/100,0),2),J1109)</f>
        <v>8.9</v>
      </c>
      <c r="I1109" s="6">
        <f>ROUND((E1109*G1109-H1109)/IF(OR(K1109=TRUE,K1109="TRUE",K1109="YES",K1109=1),1+'Settings'!$B$6/100,1),2)</f>
        <v>66.2</v>
      </c>
      <c r="J1109" s="8">
        <v>8.9</v>
      </c>
      <c r="K1109" s="3" t="inlineStr">
        <is>
          <t xml:space="preserve">TRUE</t>
        </is>
      </c>
      <c r="L1109" s="3" t="inlineStr">
        <is>
          <t xml:space="preserve">WELCOME10</t>
        </is>
      </c>
      <c r="M1109" s="6">
        <f>ROUND(E1109*G1109-H1109,2)</f>
        <v>80.1</v>
      </c>
      <c r="N1109" s="5">
        <f>IF(COUNTIF($A$3:A1109,A1109)=1,1,0)</f>
        <v>0</v>
      </c>
      <c r="O1109" s="6">
        <f>IF(N1109=1,ROUND((SUMIFS($M$3:$M$1200,$A$3:$A$1200,A1109)+'Settings'!$B$13)*'Settings'!$B$14/100+'Settings'!$B$15,2),0)</f>
        <v>0</v>
      </c>
    </row>
    <row r="1110">
      <c r="A1110" s="3" t="inlineStr">
        <is>
          <t xml:space="preserve">#1816</t>
        </is>
      </c>
      <c r="B1110" s="3" t="inlineStr">
        <is>
          <t xml:space="preserve">2026-10-08</t>
        </is>
      </c>
      <c r="C1110" s="3" t="inlineStr">
        <is>
          <t xml:space="preserve">SKU-E</t>
        </is>
      </c>
      <c r="D1110" s="3" t="inlineStr">
        <is>
          <t xml:space="preserve">Complete Ritual</t>
        </is>
      </c>
      <c r="E1110" s="6">
        <f>IF('Settings'!$B$11="Scenario",IFERROR(INDEX('Catalogue'!$E$3:$E$100,MATCH(C1110,'Catalogue'!$B$3:$B$100,0)),F1110),F1110)</f>
        <v>89</v>
      </c>
      <c r="F1110" s="8">
        <v>89</v>
      </c>
      <c r="G1110" s="3">
        <v>2</v>
      </c>
      <c r="H1110" s="6">
        <f>IF('Settings'!$B$11="Scenario",ROUND(E1110*G1110*IFERROR(SUMIF('Pricing &amp; promotions'!$A$6:$A$8,L1110,'Pricing &amp; promotions'!$B$6:$B$8)/100,0),2),J1110)</f>
        <v>0.0</v>
      </c>
      <c r="I1110" s="6">
        <f>ROUND((E1110*G1110-H1110)/IF(OR(K1110=TRUE,K1110="TRUE",K1110="YES",K1110=1),1+'Settings'!$B$6/100,1),2)</f>
        <v>147.11</v>
      </c>
      <c r="J1110" s="8">
        <v>0.0</v>
      </c>
      <c r="K1110" s="3" t="inlineStr">
        <is>
          <t xml:space="preserve">TRUE</t>
        </is>
      </c>
      <c r="L1110" s="3"/>
      <c r="M1110" s="6">
        <f>ROUND(E1110*G1110-H1110,2)</f>
        <v>178.0</v>
      </c>
      <c r="N1110" s="5">
        <f>IF(COUNTIF($A$3:A1110,A1110)=1,1,0)</f>
        <v>1</v>
      </c>
      <c r="O1110" s="6">
        <f>IF(N1110=1,ROUND((SUMIFS($M$3:$M$1200,$A$3:$A$1200,A1110)+'Settings'!$B$13)*'Settings'!$B$14/100+'Settings'!$B$15,2),0)</f>
        <v>2.96</v>
      </c>
    </row>
    <row r="1111">
      <c r="A1111" s="3" t="inlineStr">
        <is>
          <t xml:space="preserve">#1817</t>
        </is>
      </c>
      <c r="B1111" s="3" t="inlineStr">
        <is>
          <t xml:space="preserve">2026-10-09</t>
        </is>
      </c>
      <c r="C1111" s="3" t="inlineStr">
        <is>
          <t xml:space="preserve">SKU-G</t>
        </is>
      </c>
      <c r="D1111" s="3" t="inlineStr">
        <is>
          <t xml:space="preserve">Daily Reset Set</t>
        </is>
      </c>
      <c r="E1111" s="6">
        <f>IF('Settings'!$B$11="Scenario",IFERROR(INDEX('Catalogue'!$E$3:$E$100,MATCH(C1111,'Catalogue'!$B$3:$B$100,0)),F1111),F1111)</f>
        <v>69</v>
      </c>
      <c r="F1111" s="8">
        <v>69</v>
      </c>
      <c r="G1111" s="3">
        <v>1</v>
      </c>
      <c r="H1111" s="6">
        <f>IF('Settings'!$B$11="Scenario",ROUND(E1111*G1111*IFERROR(SUMIF('Pricing &amp; promotions'!$A$6:$A$8,L1111,'Pricing &amp; promotions'!$B$6:$B$8)/100,0),2),J1111)</f>
        <v>6.9</v>
      </c>
      <c r="I1111" s="6">
        <f>ROUND((E1111*G1111-H1111)/IF(OR(K1111=TRUE,K1111="TRUE",K1111="YES",K1111=1),1+'Settings'!$B$6/100,1),2)</f>
        <v>51.32</v>
      </c>
      <c r="J1111" s="8">
        <v>6.9</v>
      </c>
      <c r="K1111" s="3" t="inlineStr">
        <is>
          <t xml:space="preserve">TRUE</t>
        </is>
      </c>
      <c r="L1111" s="3" t="inlineStr">
        <is>
          <t xml:space="preserve">WELCOME10</t>
        </is>
      </c>
      <c r="M1111" s="6">
        <f>ROUND(E1111*G1111-H1111,2)</f>
        <v>62.1</v>
      </c>
      <c r="N1111" s="5">
        <f>IF(COUNTIF($A$3:A1111,A1111)=1,1,0)</f>
        <v>1</v>
      </c>
      <c r="O1111" s="6">
        <f>IF(N1111=1,ROUND((SUMIFS($M$3:$M$1200,$A$3:$A$1200,A1111)+'Settings'!$B$13)*'Settings'!$B$14/100+'Settings'!$B$15,2),0)</f>
        <v>1.23</v>
      </c>
    </row>
    <row r="1112">
      <c r="A1112" s="3" t="inlineStr">
        <is>
          <t xml:space="preserve">#1818</t>
        </is>
      </c>
      <c r="B1112" s="3" t="inlineStr">
        <is>
          <t xml:space="preserve">2026-10-09</t>
        </is>
      </c>
      <c r="C1112" s="3" t="inlineStr">
        <is>
          <t xml:space="preserve">SKU-B</t>
        </is>
      </c>
      <c r="D1112" s="3" t="inlineStr">
        <is>
          <t xml:space="preserve">Barrier Balm</t>
        </is>
      </c>
      <c r="E1112" s="6">
        <f>IF('Settings'!$B$11="Scenario",IFERROR(INDEX('Catalogue'!$E$3:$E$100,MATCH(C1112,'Catalogue'!$B$3:$B$100,0)),F1112),F1112)</f>
        <v>19</v>
      </c>
      <c r="F1112" s="8">
        <v>19</v>
      </c>
      <c r="G1112" s="3">
        <v>1</v>
      </c>
      <c r="H1112" s="6">
        <f>IF('Settings'!$B$11="Scenario",ROUND(E1112*G1112*IFERROR(SUMIF('Pricing &amp; promotions'!$A$6:$A$8,L1112,'Pricing &amp; promotions'!$B$6:$B$8)/100,0),2),J1112)</f>
        <v>0.0</v>
      </c>
      <c r="I1112" s="6">
        <f>ROUND((E1112*G1112-H1112)/IF(OR(K1112=TRUE,K1112="TRUE",K1112="YES",K1112=1),1+'Settings'!$B$6/100,1),2)</f>
        <v>15.7</v>
      </c>
      <c r="J1112" s="8">
        <v>0.0</v>
      </c>
      <c r="K1112" s="3" t="inlineStr">
        <is>
          <t xml:space="preserve">TRUE</t>
        </is>
      </c>
      <c r="L1112" s="3"/>
      <c r="M1112" s="6">
        <f>ROUND(E1112*G1112-H1112,2)</f>
        <v>19.0</v>
      </c>
      <c r="N1112" s="5">
        <f>IF(COUNTIF($A$3:A1112,A1112)=1,1,0)</f>
        <v>1</v>
      </c>
      <c r="O1112" s="6">
        <f>IF(N1112=1,ROUND((SUMIFS($M$3:$M$1200,$A$3:$A$1200,A1112)+'Settings'!$B$13)*'Settings'!$B$14/100+'Settings'!$B$15,2),0)</f>
        <v>0.58</v>
      </c>
    </row>
    <row r="1113">
      <c r="A1113" s="3" t="inlineStr">
        <is>
          <t xml:space="preserve">#1819</t>
        </is>
      </c>
      <c r="B1113" s="3" t="inlineStr">
        <is>
          <t xml:space="preserve">2026-10-10</t>
        </is>
      </c>
      <c r="C1113" s="3" t="inlineStr">
        <is>
          <t xml:space="preserve">SKU-E</t>
        </is>
      </c>
      <c r="D1113" s="3" t="inlineStr">
        <is>
          <t xml:space="preserve">Complete Ritual</t>
        </is>
      </c>
      <c r="E1113" s="6">
        <f>IF('Settings'!$B$11="Scenario",IFERROR(INDEX('Catalogue'!$E$3:$E$100,MATCH(C1113,'Catalogue'!$B$3:$B$100,0)),F1113),F1113)</f>
        <v>89</v>
      </c>
      <c r="F1113" s="8">
        <v>89</v>
      </c>
      <c r="G1113" s="3">
        <v>1</v>
      </c>
      <c r="H1113" s="6">
        <f>IF('Settings'!$B$11="Scenario",ROUND(E1113*G1113*IFERROR(SUMIF('Pricing &amp; promotions'!$A$6:$A$8,L1113,'Pricing &amp; promotions'!$B$6:$B$8)/100,0),2),J1113)</f>
        <v>8.9</v>
      </c>
      <c r="I1113" s="6">
        <f>ROUND((E1113*G1113-H1113)/IF(OR(K1113=TRUE,K1113="TRUE",K1113="YES",K1113=1),1+'Settings'!$B$6/100,1),2)</f>
        <v>66.2</v>
      </c>
      <c r="J1113" s="8">
        <v>8.9</v>
      </c>
      <c r="K1113" s="3" t="inlineStr">
        <is>
          <t xml:space="preserve">TRUE</t>
        </is>
      </c>
      <c r="L1113" s="3" t="inlineStr">
        <is>
          <t xml:space="preserve">WELCOME10</t>
        </is>
      </c>
      <c r="M1113" s="6">
        <f>ROUND(E1113*G1113-H1113,2)</f>
        <v>80.1</v>
      </c>
      <c r="N1113" s="5">
        <f>IF(COUNTIF($A$3:A1113,A1113)=1,1,0)</f>
        <v>1</v>
      </c>
      <c r="O1113" s="6">
        <f>IF(N1113=1,ROUND((SUMIFS($M$3:$M$1200,$A$3:$A$1200,A1113)+'Settings'!$B$13)*'Settings'!$B$14/100+'Settings'!$B$15,2),0)</f>
        <v>1.5</v>
      </c>
    </row>
    <row r="1114">
      <c r="A1114" s="3" t="inlineStr">
        <is>
          <t xml:space="preserve">#1820</t>
        </is>
      </c>
      <c r="B1114" s="3" t="inlineStr">
        <is>
          <t xml:space="preserve">2026-10-10</t>
        </is>
      </c>
      <c r="C1114" s="3" t="inlineStr">
        <is>
          <t xml:space="preserve">SKU-D</t>
        </is>
      </c>
      <c r="D1114" s="3" t="inlineStr">
        <is>
          <t xml:space="preserve">Daily Duo</t>
        </is>
      </c>
      <c r="E1114" s="6">
        <f>IF('Settings'!$B$11="Scenario",IFERROR(INDEX('Catalogue'!$E$3:$E$100,MATCH(C1114,'Catalogue'!$B$3:$B$100,0)),F1114),F1114)</f>
        <v>79</v>
      </c>
      <c r="F1114" s="8">
        <v>79</v>
      </c>
      <c r="G1114" s="3">
        <v>1</v>
      </c>
      <c r="H1114" s="6">
        <f>IF('Settings'!$B$11="Scenario",ROUND(E1114*G1114*IFERROR(SUMIF('Pricing &amp; promotions'!$A$6:$A$8,L1114,'Pricing &amp; promotions'!$B$6:$B$8)/100,0),2),J1114)</f>
        <v>7.9</v>
      </c>
      <c r="I1114" s="6">
        <f>ROUND((E1114*G1114-H1114)/IF(OR(K1114=TRUE,K1114="TRUE",K1114="YES",K1114=1),1+'Settings'!$B$6/100,1),2)</f>
        <v>58.76</v>
      </c>
      <c r="J1114" s="8">
        <v>7.9</v>
      </c>
      <c r="K1114" s="3" t="inlineStr">
        <is>
          <t xml:space="preserve">TRUE</t>
        </is>
      </c>
      <c r="L1114" s="3" t="inlineStr">
        <is>
          <t xml:space="preserve">WELCOME10</t>
        </is>
      </c>
      <c r="M1114" s="6">
        <f>ROUND(E1114*G1114-H1114,2)</f>
        <v>71.1</v>
      </c>
      <c r="N1114" s="5">
        <f>IF(COUNTIF($A$3:A1114,A1114)=1,1,0)</f>
        <v>1</v>
      </c>
      <c r="O1114" s="6">
        <f>IF(N1114=1,ROUND((SUMIFS($M$3:$M$1200,$A$3:$A$1200,A1114)+'Settings'!$B$13)*'Settings'!$B$14/100+'Settings'!$B$15,2),0)</f>
        <v>1.36</v>
      </c>
    </row>
    <row r="1115">
      <c r="A1115" s="3" t="inlineStr">
        <is>
          <t xml:space="preserve">#1821</t>
        </is>
      </c>
      <c r="B1115" s="3" t="inlineStr">
        <is>
          <t xml:space="preserve">2026-10-10</t>
        </is>
      </c>
      <c r="C1115" s="3" t="inlineStr">
        <is>
          <t xml:space="preserve">SKU-E</t>
        </is>
      </c>
      <c r="D1115" s="3" t="inlineStr">
        <is>
          <t xml:space="preserve">Complete Ritual</t>
        </is>
      </c>
      <c r="E1115" s="6">
        <f>IF('Settings'!$B$11="Scenario",IFERROR(INDEX('Catalogue'!$E$3:$E$100,MATCH(C1115,'Catalogue'!$B$3:$B$100,0)),F1115),F1115)</f>
        <v>89</v>
      </c>
      <c r="F1115" s="8">
        <v>89</v>
      </c>
      <c r="G1115" s="3">
        <v>1</v>
      </c>
      <c r="H1115" s="6">
        <f>IF('Settings'!$B$11="Scenario",ROUND(E1115*G1115*IFERROR(SUMIF('Pricing &amp; promotions'!$A$6:$A$8,L1115,'Pricing &amp; promotions'!$B$6:$B$8)/100,0),2),J1115)</f>
        <v>8.9</v>
      </c>
      <c r="I1115" s="6">
        <f>ROUND((E1115*G1115-H1115)/IF(OR(K1115=TRUE,K1115="TRUE",K1115="YES",K1115=1),1+'Settings'!$B$6/100,1),2)</f>
        <v>66.2</v>
      </c>
      <c r="J1115" s="8">
        <v>8.9</v>
      </c>
      <c r="K1115" s="3" t="inlineStr">
        <is>
          <t xml:space="preserve">TRUE</t>
        </is>
      </c>
      <c r="L1115" s="3" t="inlineStr">
        <is>
          <t xml:space="preserve">WELCOME10</t>
        </is>
      </c>
      <c r="M1115" s="6">
        <f>ROUND(E1115*G1115-H1115,2)</f>
        <v>80.1</v>
      </c>
      <c r="N1115" s="5">
        <f>IF(COUNTIF($A$3:A1115,A1115)=1,1,0)</f>
        <v>1</v>
      </c>
      <c r="O1115" s="6">
        <f>IF(N1115=1,ROUND((SUMIFS($M$3:$M$1200,$A$3:$A$1200,A1115)+'Settings'!$B$13)*'Settings'!$B$14/100+'Settings'!$B$15,2),0)</f>
        <v>1.5</v>
      </c>
    </row>
    <row r="1116">
      <c r="A1116" s="3" t="inlineStr">
        <is>
          <t xml:space="preserve">#1822</t>
        </is>
      </c>
      <c r="B1116" s="3" t="inlineStr">
        <is>
          <t xml:space="preserve">2026-10-10</t>
        </is>
      </c>
      <c r="C1116" s="3" t="inlineStr">
        <is>
          <t xml:space="preserve">SKU-B</t>
        </is>
      </c>
      <c r="D1116" s="3" t="inlineStr">
        <is>
          <t xml:space="preserve">Barrier Balm</t>
        </is>
      </c>
      <c r="E1116" s="6">
        <f>IF('Settings'!$B$11="Scenario",IFERROR(INDEX('Catalogue'!$E$3:$E$100,MATCH(C1116,'Catalogue'!$B$3:$B$100,0)),F1116),F1116)</f>
        <v>19</v>
      </c>
      <c r="F1116" s="8">
        <v>19</v>
      </c>
      <c r="G1116" s="3">
        <v>2</v>
      </c>
      <c r="H1116" s="6">
        <f>IF('Settings'!$B$11="Scenario",ROUND(E1116*G1116*IFERROR(SUMIF('Pricing &amp; promotions'!$A$6:$A$8,L1116,'Pricing &amp; promotions'!$B$6:$B$8)/100,0),2),J1116)</f>
        <v>0.0</v>
      </c>
      <c r="I1116" s="6">
        <f>ROUND((E1116*G1116-H1116)/IF(OR(K1116=TRUE,K1116="TRUE",K1116="YES",K1116=1),1+'Settings'!$B$6/100,1),2)</f>
        <v>31.4</v>
      </c>
      <c r="J1116" s="8">
        <v>0.0</v>
      </c>
      <c r="K1116" s="3" t="inlineStr">
        <is>
          <t xml:space="preserve">TRUE</t>
        </is>
      </c>
      <c r="L1116" s="3"/>
      <c r="M1116" s="6">
        <f>ROUND(E1116*G1116-H1116,2)</f>
        <v>38.0</v>
      </c>
      <c r="N1116" s="5">
        <f>IF(COUNTIF($A$3:A1116,A1116)=1,1,0)</f>
        <v>1</v>
      </c>
      <c r="O1116" s="6">
        <f>IF(N1116=1,ROUND((SUMIFS($M$3:$M$1200,$A$3:$A$1200,A1116)+'Settings'!$B$13)*'Settings'!$B$14/100+'Settings'!$B$15,2),0)</f>
        <v>0.86</v>
      </c>
    </row>
    <row r="1117">
      <c r="A1117" s="3" t="inlineStr">
        <is>
          <t xml:space="preserve">#1823</t>
        </is>
      </c>
      <c r="B1117" s="3" t="inlineStr">
        <is>
          <t xml:space="preserve">2026-10-11</t>
        </is>
      </c>
      <c r="C1117" s="3" t="inlineStr">
        <is>
          <t xml:space="preserve">SKU-D</t>
        </is>
      </c>
      <c r="D1117" s="3" t="inlineStr">
        <is>
          <t xml:space="preserve">Daily Duo</t>
        </is>
      </c>
      <c r="E1117" s="6">
        <f>IF('Settings'!$B$11="Scenario",IFERROR(INDEX('Catalogue'!$E$3:$E$100,MATCH(C1117,'Catalogue'!$B$3:$B$100,0)),F1117),F1117)</f>
        <v>79</v>
      </c>
      <c r="F1117" s="8">
        <v>79</v>
      </c>
      <c r="G1117" s="3">
        <v>1</v>
      </c>
      <c r="H1117" s="6">
        <f>IF('Settings'!$B$11="Scenario",ROUND(E1117*G1117*IFERROR(SUMIF('Pricing &amp; promotions'!$A$6:$A$8,L1117,'Pricing &amp; promotions'!$B$6:$B$8)/100,0),2),J1117)</f>
        <v>0.0</v>
      </c>
      <c r="I1117" s="6">
        <f>ROUND((E1117*G1117-H1117)/IF(OR(K1117=TRUE,K1117="TRUE",K1117="YES",K1117=1),1+'Settings'!$B$6/100,1),2)</f>
        <v>65.29</v>
      </c>
      <c r="J1117" s="8">
        <v>0.0</v>
      </c>
      <c r="K1117" s="3" t="inlineStr">
        <is>
          <t xml:space="preserve">TRUE</t>
        </is>
      </c>
      <c r="L1117" s="3"/>
      <c r="M1117" s="6">
        <f>ROUND(E1117*G1117-H1117,2)</f>
        <v>79.0</v>
      </c>
      <c r="N1117" s="5">
        <f>IF(COUNTIF($A$3:A1117,A1117)=1,1,0)</f>
        <v>1</v>
      </c>
      <c r="O1117" s="6">
        <f>IF(N1117=1,ROUND((SUMIFS($M$3:$M$1200,$A$3:$A$1200,A1117)+'Settings'!$B$13)*'Settings'!$B$14/100+'Settings'!$B$15,2),0)</f>
        <v>1.48</v>
      </c>
    </row>
    <row r="1118">
      <c r="A1118" s="3" t="inlineStr">
        <is>
          <t xml:space="preserve">#1824</t>
        </is>
      </c>
      <c r="B1118" s="3" t="inlineStr">
        <is>
          <t xml:space="preserve">2026-10-11</t>
        </is>
      </c>
      <c r="C1118" s="3" t="inlineStr">
        <is>
          <t xml:space="preserve">SKU-A</t>
        </is>
      </c>
      <c r="D1118" s="3" t="inlineStr">
        <is>
          <t xml:space="preserve">Renewal Serum</t>
        </is>
      </c>
      <c r="E1118" s="6">
        <f>IF('Settings'!$B$11="Scenario",IFERROR(INDEX('Catalogue'!$E$3:$E$100,MATCH(C1118,'Catalogue'!$B$3:$B$100,0)),F1118),F1118)</f>
        <v>69.9</v>
      </c>
      <c r="F1118" s="8">
        <v>69.9</v>
      </c>
      <c r="G1118" s="3">
        <v>1</v>
      </c>
      <c r="H1118" s="6">
        <f>IF('Settings'!$B$11="Scenario",ROUND(E1118*G1118*IFERROR(SUMIF('Pricing &amp; promotions'!$A$6:$A$8,L1118,'Pricing &amp; promotions'!$B$6:$B$8)/100,0),2),J1118)</f>
        <v>0.0</v>
      </c>
      <c r="I1118" s="6">
        <f>ROUND((E1118*G1118-H1118)/IF(OR(K1118=TRUE,K1118="TRUE",K1118="YES",K1118=1),1+'Settings'!$B$6/100,1),2)</f>
        <v>57.77</v>
      </c>
      <c r="J1118" s="8">
        <v>0.0</v>
      </c>
      <c r="K1118" s="3" t="inlineStr">
        <is>
          <t xml:space="preserve">TRUE</t>
        </is>
      </c>
      <c r="L1118" s="3"/>
      <c r="M1118" s="6">
        <f>ROUND(E1118*G1118-H1118,2)</f>
        <v>69.9</v>
      </c>
      <c r="N1118" s="5">
        <f>IF(COUNTIF($A$3:A1118,A1118)=1,1,0)</f>
        <v>1</v>
      </c>
      <c r="O1118" s="6">
        <f>IF(N1118=1,ROUND((SUMIFS($M$3:$M$1200,$A$3:$A$1200,A1118)+'Settings'!$B$13)*'Settings'!$B$14/100+'Settings'!$B$15,2),0)</f>
        <v>2.53</v>
      </c>
    </row>
    <row r="1119">
      <c r="A1119" s="3" t="inlineStr">
        <is>
          <t xml:space="preserve">#1824</t>
        </is>
      </c>
      <c r="B1119" s="3" t="inlineStr">
        <is>
          <t xml:space="preserve">2026-10-11</t>
        </is>
      </c>
      <c r="C1119" s="3" t="inlineStr">
        <is>
          <t xml:space="preserve">SKU-D</t>
        </is>
      </c>
      <c r="D1119" s="3" t="inlineStr">
        <is>
          <t xml:space="preserve">Daily Duo</t>
        </is>
      </c>
      <c r="E1119" s="6">
        <f>IF('Settings'!$B$11="Scenario",IFERROR(INDEX('Catalogue'!$E$3:$E$100,MATCH(C1119,'Catalogue'!$B$3:$B$100,0)),F1119),F1119)</f>
        <v>79</v>
      </c>
      <c r="F1119" s="8">
        <v>79</v>
      </c>
      <c r="G1119" s="3">
        <v>1</v>
      </c>
      <c r="H1119" s="6">
        <f>IF('Settings'!$B$11="Scenario",ROUND(E1119*G1119*IFERROR(SUMIF('Pricing &amp; promotions'!$A$6:$A$8,L1119,'Pricing &amp; promotions'!$B$6:$B$8)/100,0),2),J1119)</f>
        <v>0.0</v>
      </c>
      <c r="I1119" s="6">
        <f>ROUND((E1119*G1119-H1119)/IF(OR(K1119=TRUE,K1119="TRUE",K1119="YES",K1119=1),1+'Settings'!$B$6/100,1),2)</f>
        <v>65.29</v>
      </c>
      <c r="J1119" s="8">
        <v>0.0</v>
      </c>
      <c r="K1119" s="3" t="inlineStr">
        <is>
          <t xml:space="preserve">TRUE</t>
        </is>
      </c>
      <c r="L1119" s="3"/>
      <c r="M1119" s="6">
        <f>ROUND(E1119*G1119-H1119,2)</f>
        <v>79.0</v>
      </c>
      <c r="N1119" s="5">
        <f>IF(COUNTIF($A$3:A1119,A1119)=1,1,0)</f>
        <v>0</v>
      </c>
      <c r="O1119" s="6">
        <f>IF(N1119=1,ROUND((SUMIFS($M$3:$M$1200,$A$3:$A$1200,A1119)+'Settings'!$B$13)*'Settings'!$B$14/100+'Settings'!$B$15,2),0)</f>
        <v>0</v>
      </c>
    </row>
    <row r="1120">
      <c r="A1120" s="3" t="inlineStr">
        <is>
          <t xml:space="preserve">#1825</t>
        </is>
      </c>
      <c r="B1120" s="3" t="inlineStr">
        <is>
          <t xml:space="preserve">2026-10-11</t>
        </is>
      </c>
      <c r="C1120" s="3" t="inlineStr">
        <is>
          <t xml:space="preserve">SKU-B</t>
        </is>
      </c>
      <c r="D1120" s="3" t="inlineStr">
        <is>
          <t xml:space="preserve">Barrier Balm</t>
        </is>
      </c>
      <c r="E1120" s="6">
        <f>IF('Settings'!$B$11="Scenario",IFERROR(INDEX('Catalogue'!$E$3:$E$100,MATCH(C1120,'Catalogue'!$B$3:$B$100,0)),F1120),F1120)</f>
        <v>19</v>
      </c>
      <c r="F1120" s="8">
        <v>19</v>
      </c>
      <c r="G1120" s="3">
        <v>1</v>
      </c>
      <c r="H1120" s="6">
        <f>IF('Settings'!$B$11="Scenario",ROUND(E1120*G1120*IFERROR(SUMIF('Pricing &amp; promotions'!$A$6:$A$8,L1120,'Pricing &amp; promotions'!$B$6:$B$8)/100,0),2),J1120)</f>
        <v>1.9</v>
      </c>
      <c r="I1120" s="6">
        <f>ROUND((E1120*G1120-H1120)/IF(OR(K1120=TRUE,K1120="TRUE",K1120="YES",K1120=1),1+'Settings'!$B$6/100,1),2)</f>
        <v>14.13</v>
      </c>
      <c r="J1120" s="8">
        <v>1.9</v>
      </c>
      <c r="K1120" s="3" t="inlineStr">
        <is>
          <t xml:space="preserve">TRUE</t>
        </is>
      </c>
      <c r="L1120" s="3" t="inlineStr">
        <is>
          <t xml:space="preserve">WELCOME10</t>
        </is>
      </c>
      <c r="M1120" s="6">
        <f>ROUND(E1120*G1120-H1120,2)</f>
        <v>17.1</v>
      </c>
      <c r="N1120" s="5">
        <f>IF(COUNTIF($A$3:A1120,A1120)=1,1,0)</f>
        <v>1</v>
      </c>
      <c r="O1120" s="6">
        <f>IF(N1120=1,ROUND((SUMIFS($M$3:$M$1200,$A$3:$A$1200,A1120)+'Settings'!$B$13)*'Settings'!$B$14/100+'Settings'!$B$15,2),0)</f>
        <v>0.55</v>
      </c>
    </row>
    <row r="1121">
      <c r="A1121" s="3" t="inlineStr">
        <is>
          <t xml:space="preserve">#1826</t>
        </is>
      </c>
      <c r="B1121" s="3" t="inlineStr">
        <is>
          <t xml:space="preserve">2026-10-11</t>
        </is>
      </c>
      <c r="C1121" s="3" t="inlineStr">
        <is>
          <t xml:space="preserve">SKU-D</t>
        </is>
      </c>
      <c r="D1121" s="3" t="inlineStr">
        <is>
          <t xml:space="preserve">Daily Duo</t>
        </is>
      </c>
      <c r="E1121" s="6">
        <f>IF('Settings'!$B$11="Scenario",IFERROR(INDEX('Catalogue'!$E$3:$E$100,MATCH(C1121,'Catalogue'!$B$3:$B$100,0)),F1121),F1121)</f>
        <v>79</v>
      </c>
      <c r="F1121" s="8">
        <v>79</v>
      </c>
      <c r="G1121" s="3">
        <v>1</v>
      </c>
      <c r="H1121" s="6">
        <f>IF('Settings'!$B$11="Scenario",ROUND(E1121*G1121*IFERROR(SUMIF('Pricing &amp; promotions'!$A$6:$A$8,L1121,'Pricing &amp; promotions'!$B$6:$B$8)/100,0),2),J1121)</f>
        <v>15.8</v>
      </c>
      <c r="I1121" s="6">
        <f>ROUND((E1121*G1121-H1121)/IF(OR(K1121=TRUE,K1121="TRUE",K1121="YES",K1121=1),1+'Settings'!$B$6/100,1),2)</f>
        <v>52.23</v>
      </c>
      <c r="J1121" s="8">
        <v>15.8</v>
      </c>
      <c r="K1121" s="3" t="inlineStr">
        <is>
          <t xml:space="preserve">TRUE</t>
        </is>
      </c>
      <c r="L1121" s="3" t="inlineStr">
        <is>
          <t xml:space="preserve">VIP20</t>
        </is>
      </c>
      <c r="M1121" s="6">
        <f>ROUND(E1121*G1121-H1121,2)</f>
        <v>63.2</v>
      </c>
      <c r="N1121" s="5">
        <f>IF(COUNTIF($A$3:A1121,A1121)=1,1,0)</f>
        <v>1</v>
      </c>
      <c r="O1121" s="6">
        <f>IF(N1121=1,ROUND((SUMIFS($M$3:$M$1200,$A$3:$A$1200,A1121)+'Settings'!$B$13)*'Settings'!$B$14/100+'Settings'!$B$15,2),0)</f>
        <v>2.08</v>
      </c>
    </row>
    <row r="1122">
      <c r="A1122" s="3" t="inlineStr">
        <is>
          <t xml:space="preserve">#1826</t>
        </is>
      </c>
      <c r="B1122" s="3" t="inlineStr">
        <is>
          <t xml:space="preserve">2026-10-11</t>
        </is>
      </c>
      <c r="C1122" s="3" t="inlineStr">
        <is>
          <t xml:space="preserve">SKU-A</t>
        </is>
      </c>
      <c r="D1122" s="3" t="inlineStr">
        <is>
          <t xml:space="preserve">Renewal Serum</t>
        </is>
      </c>
      <c r="E1122" s="6">
        <f>IF('Settings'!$B$11="Scenario",IFERROR(INDEX('Catalogue'!$E$3:$E$100,MATCH(C1122,'Catalogue'!$B$3:$B$100,0)),F1122),F1122)</f>
        <v>69.9</v>
      </c>
      <c r="F1122" s="8">
        <v>69.9</v>
      </c>
      <c r="G1122" s="3">
        <v>1</v>
      </c>
      <c r="H1122" s="6">
        <f>IF('Settings'!$B$11="Scenario",ROUND(E1122*G1122*IFERROR(SUMIF('Pricing &amp; promotions'!$A$6:$A$8,L1122,'Pricing &amp; promotions'!$B$6:$B$8)/100,0),2),J1122)</f>
        <v>13.98</v>
      </c>
      <c r="I1122" s="6">
        <f>ROUND((E1122*G1122-H1122)/IF(OR(K1122=TRUE,K1122="TRUE",K1122="YES",K1122=1),1+'Settings'!$B$6/100,1),2)</f>
        <v>46.21</v>
      </c>
      <c r="J1122" s="8">
        <v>13.98</v>
      </c>
      <c r="K1122" s="3" t="inlineStr">
        <is>
          <t xml:space="preserve">TRUE</t>
        </is>
      </c>
      <c r="L1122" s="3" t="inlineStr">
        <is>
          <t xml:space="preserve">VIP20</t>
        </is>
      </c>
      <c r="M1122" s="6">
        <f>ROUND(E1122*G1122-H1122,2)</f>
        <v>55.92</v>
      </c>
      <c r="N1122" s="5">
        <f>IF(COUNTIF($A$3:A1122,A1122)=1,1,0)</f>
        <v>0</v>
      </c>
      <c r="O1122" s="6">
        <f>IF(N1122=1,ROUND((SUMIFS($M$3:$M$1200,$A$3:$A$1200,A1122)+'Settings'!$B$13)*'Settings'!$B$14/100+'Settings'!$B$15,2),0)</f>
        <v>0</v>
      </c>
    </row>
    <row r="1123">
      <c r="A1123" s="3" t="inlineStr">
        <is>
          <t xml:space="preserve">#1827</t>
        </is>
      </c>
      <c r="B1123" s="3" t="inlineStr">
        <is>
          <t xml:space="preserve">2026-10-12</t>
        </is>
      </c>
      <c r="C1123" s="3" t="inlineStr">
        <is>
          <t xml:space="preserve">SKU-F</t>
        </is>
      </c>
      <c r="D1123" s="3" t="inlineStr">
        <is>
          <t xml:space="preserve">Cloud Cleanser</t>
        </is>
      </c>
      <c r="E1123" s="6">
        <f>IF('Settings'!$B$11="Scenario",IFERROR(INDEX('Catalogue'!$E$3:$E$100,MATCH(C1123,'Catalogue'!$B$3:$B$100,0)),F1123),F1123)</f>
        <v>34</v>
      </c>
      <c r="F1123" s="8">
        <v>34</v>
      </c>
      <c r="G1123" s="3">
        <v>1</v>
      </c>
      <c r="H1123" s="6">
        <f>IF('Settings'!$B$11="Scenario",ROUND(E1123*G1123*IFERROR(SUMIF('Pricing &amp; promotions'!$A$6:$A$8,L1123,'Pricing &amp; promotions'!$B$6:$B$8)/100,0),2),J1123)</f>
        <v>0.0</v>
      </c>
      <c r="I1123" s="6">
        <f>ROUND((E1123*G1123-H1123)/IF(OR(K1123=TRUE,K1123="TRUE",K1123="YES",K1123=1),1+'Settings'!$B$6/100,1),2)</f>
        <v>28.1</v>
      </c>
      <c r="J1123" s="8">
        <v>0.0</v>
      </c>
      <c r="K1123" s="3" t="inlineStr">
        <is>
          <t xml:space="preserve">TRUE</t>
        </is>
      </c>
      <c r="L1123" s="3"/>
      <c r="M1123" s="6">
        <f>ROUND(E1123*G1123-H1123,2)</f>
        <v>34.0</v>
      </c>
      <c r="N1123" s="5">
        <f>IF(COUNTIF($A$3:A1123,A1123)=1,1,0)</f>
        <v>1</v>
      </c>
      <c r="O1123" s="6">
        <f>IF(N1123=1,ROUND((SUMIFS($M$3:$M$1200,$A$3:$A$1200,A1123)+'Settings'!$B$13)*'Settings'!$B$14/100+'Settings'!$B$15,2),0)</f>
        <v>0.8</v>
      </c>
    </row>
    <row r="1124">
      <c r="A1124" s="3" t="inlineStr">
        <is>
          <t xml:space="preserve">#1828</t>
        </is>
      </c>
      <c r="B1124" s="3" t="inlineStr">
        <is>
          <t xml:space="preserve">2026-10-12</t>
        </is>
      </c>
      <c r="C1124" s="3" t="inlineStr">
        <is>
          <t xml:space="preserve">SKU-A</t>
        </is>
      </c>
      <c r="D1124" s="3" t="inlineStr">
        <is>
          <t xml:space="preserve">Renewal Serum</t>
        </is>
      </c>
      <c r="E1124" s="6">
        <f>IF('Settings'!$B$11="Scenario",IFERROR(INDEX('Catalogue'!$E$3:$E$100,MATCH(C1124,'Catalogue'!$B$3:$B$100,0)),F1124),F1124)</f>
        <v>69.9</v>
      </c>
      <c r="F1124" s="8">
        <v>69.9</v>
      </c>
      <c r="G1124" s="3">
        <v>1</v>
      </c>
      <c r="H1124" s="6">
        <f>IF('Settings'!$B$11="Scenario",ROUND(E1124*G1124*IFERROR(SUMIF('Pricing &amp; promotions'!$A$6:$A$8,L1124,'Pricing &amp; promotions'!$B$6:$B$8)/100,0),2),J1124)</f>
        <v>0.0</v>
      </c>
      <c r="I1124" s="6">
        <f>ROUND((E1124*G1124-H1124)/IF(OR(K1124=TRUE,K1124="TRUE",K1124="YES",K1124=1),1+'Settings'!$B$6/100,1),2)</f>
        <v>57.77</v>
      </c>
      <c r="J1124" s="8">
        <v>0.0</v>
      </c>
      <c r="K1124" s="3" t="inlineStr">
        <is>
          <t xml:space="preserve">TRUE</t>
        </is>
      </c>
      <c r="L1124" s="3"/>
      <c r="M1124" s="6">
        <f>ROUND(E1124*G1124-H1124,2)</f>
        <v>69.9</v>
      </c>
      <c r="N1124" s="5">
        <f>IF(COUNTIF($A$3:A1124,A1124)=1,1,0)</f>
        <v>1</v>
      </c>
      <c r="O1124" s="6">
        <f>IF(N1124=1,ROUND((SUMIFS($M$3:$M$1200,$A$3:$A$1200,A1124)+'Settings'!$B$13)*'Settings'!$B$14/100+'Settings'!$B$15,2),0)</f>
        <v>1.34</v>
      </c>
    </row>
    <row r="1125">
      <c r="A1125" s="3" t="inlineStr">
        <is>
          <t xml:space="preserve">#1829</t>
        </is>
      </c>
      <c r="B1125" s="3" t="inlineStr">
        <is>
          <t xml:space="preserve">2026-10-12</t>
        </is>
      </c>
      <c r="C1125" s="3" t="inlineStr">
        <is>
          <t xml:space="preserve">SKU-B</t>
        </is>
      </c>
      <c r="D1125" s="3" t="inlineStr">
        <is>
          <t xml:space="preserve">Barrier Balm</t>
        </is>
      </c>
      <c r="E1125" s="6">
        <f>IF('Settings'!$B$11="Scenario",IFERROR(INDEX('Catalogue'!$E$3:$E$100,MATCH(C1125,'Catalogue'!$B$3:$B$100,0)),F1125),F1125)</f>
        <v>19</v>
      </c>
      <c r="F1125" s="8">
        <v>19</v>
      </c>
      <c r="G1125" s="3">
        <v>1</v>
      </c>
      <c r="H1125" s="6">
        <f>IF('Settings'!$B$11="Scenario",ROUND(E1125*G1125*IFERROR(SUMIF('Pricing &amp; promotions'!$A$6:$A$8,L1125,'Pricing &amp; promotions'!$B$6:$B$8)/100,0),2),J1125)</f>
        <v>0.0</v>
      </c>
      <c r="I1125" s="6">
        <f>ROUND((E1125*G1125-H1125)/IF(OR(K1125=TRUE,K1125="TRUE",K1125="YES",K1125=1),1+'Settings'!$B$6/100,1),2)</f>
        <v>15.7</v>
      </c>
      <c r="J1125" s="8">
        <v>0.0</v>
      </c>
      <c r="K1125" s="3" t="inlineStr">
        <is>
          <t xml:space="preserve">TRUE</t>
        </is>
      </c>
      <c r="L1125" s="3"/>
      <c r="M1125" s="6">
        <f>ROUND(E1125*G1125-H1125,2)</f>
        <v>19.0</v>
      </c>
      <c r="N1125" s="5">
        <f>IF(COUNTIF($A$3:A1125,A1125)=1,1,0)</f>
        <v>1</v>
      </c>
      <c r="O1125" s="6">
        <f>IF(N1125=1,ROUND((SUMIFS($M$3:$M$1200,$A$3:$A$1200,A1125)+'Settings'!$B$13)*'Settings'!$B$14/100+'Settings'!$B$15,2),0)</f>
        <v>2.65</v>
      </c>
    </row>
    <row r="1126">
      <c r="A1126" s="3" t="inlineStr">
        <is>
          <t xml:space="preserve">#1829</t>
        </is>
      </c>
      <c r="B1126" s="3" t="inlineStr">
        <is>
          <t xml:space="preserve">2026-10-12</t>
        </is>
      </c>
      <c r="C1126" s="3" t="inlineStr">
        <is>
          <t xml:space="preserve">SKU-A</t>
        </is>
      </c>
      <c r="D1126" s="3" t="inlineStr">
        <is>
          <t xml:space="preserve">Renewal Serum</t>
        </is>
      </c>
      <c r="E1126" s="6">
        <f>IF('Settings'!$B$11="Scenario",IFERROR(INDEX('Catalogue'!$E$3:$E$100,MATCH(C1126,'Catalogue'!$B$3:$B$100,0)),F1126),F1126)</f>
        <v>69.9</v>
      </c>
      <c r="F1126" s="8">
        <v>69.9</v>
      </c>
      <c r="G1126" s="3">
        <v>1</v>
      </c>
      <c r="H1126" s="6">
        <f>IF('Settings'!$B$11="Scenario",ROUND(E1126*G1126*IFERROR(SUMIF('Pricing &amp; promotions'!$A$6:$A$8,L1126,'Pricing &amp; promotions'!$B$6:$B$8)/100,0),2),J1126)</f>
        <v>0.0</v>
      </c>
      <c r="I1126" s="6">
        <f>ROUND((E1126*G1126-H1126)/IF(OR(K1126=TRUE,K1126="TRUE",K1126="YES",K1126=1),1+'Settings'!$B$6/100,1),2)</f>
        <v>57.77</v>
      </c>
      <c r="J1126" s="8">
        <v>0.0</v>
      </c>
      <c r="K1126" s="3" t="inlineStr">
        <is>
          <t xml:space="preserve">TRUE</t>
        </is>
      </c>
      <c r="L1126" s="3"/>
      <c r="M1126" s="6">
        <f>ROUND(E1126*G1126-H1126,2)</f>
        <v>69.9</v>
      </c>
      <c r="N1126" s="5">
        <f>IF(COUNTIF($A$3:A1126,A1126)=1,1,0)</f>
        <v>0</v>
      </c>
      <c r="O1126" s="6">
        <f>IF(N1126=1,ROUND((SUMIFS($M$3:$M$1200,$A$3:$A$1200,A1126)+'Settings'!$B$13)*'Settings'!$B$14/100+'Settings'!$B$15,2),0)</f>
        <v>0</v>
      </c>
    </row>
    <row r="1127">
      <c r="A1127" s="3" t="inlineStr">
        <is>
          <t xml:space="preserve">#1829</t>
        </is>
      </c>
      <c r="B1127" s="3" t="inlineStr">
        <is>
          <t xml:space="preserve">2026-10-12</t>
        </is>
      </c>
      <c r="C1127" s="3" t="inlineStr">
        <is>
          <t xml:space="preserve">SKU-F</t>
        </is>
      </c>
      <c r="D1127" s="3" t="inlineStr">
        <is>
          <t xml:space="preserve">Cloud Cleanser</t>
        </is>
      </c>
      <c r="E1127" s="6">
        <f>IF('Settings'!$B$11="Scenario",IFERROR(INDEX('Catalogue'!$E$3:$E$100,MATCH(C1127,'Catalogue'!$B$3:$B$100,0)),F1127),F1127)</f>
        <v>34</v>
      </c>
      <c r="F1127" s="8">
        <v>34</v>
      </c>
      <c r="G1127" s="3">
        <v>2</v>
      </c>
      <c r="H1127" s="6">
        <f>IF('Settings'!$B$11="Scenario",ROUND(E1127*G1127*IFERROR(SUMIF('Pricing &amp; promotions'!$A$6:$A$8,L1127,'Pricing &amp; promotions'!$B$6:$B$8)/100,0),2),J1127)</f>
        <v>0.0</v>
      </c>
      <c r="I1127" s="6">
        <f>ROUND((E1127*G1127-H1127)/IF(OR(K1127=TRUE,K1127="TRUE",K1127="YES",K1127=1),1+'Settings'!$B$6/100,1),2)</f>
        <v>56.2</v>
      </c>
      <c r="J1127" s="8">
        <v>0.0</v>
      </c>
      <c r="K1127" s="3" t="inlineStr">
        <is>
          <t xml:space="preserve">TRUE</t>
        </is>
      </c>
      <c r="L1127" s="3"/>
      <c r="M1127" s="6">
        <f>ROUND(E1127*G1127-H1127,2)</f>
        <v>68.0</v>
      </c>
      <c r="N1127" s="5">
        <f>IF(COUNTIF($A$3:A1127,A1127)=1,1,0)</f>
        <v>0</v>
      </c>
      <c r="O1127" s="6">
        <f>IF(N1127=1,ROUND((SUMIFS($M$3:$M$1200,$A$3:$A$1200,A1127)+'Settings'!$B$13)*'Settings'!$B$14/100+'Settings'!$B$15,2),0)</f>
        <v>0</v>
      </c>
    </row>
    <row r="1128">
      <c r="A1128" s="3" t="inlineStr">
        <is>
          <t xml:space="preserve">#1830</t>
        </is>
      </c>
      <c r="B1128" s="3" t="inlineStr">
        <is>
          <t xml:space="preserve">2026-10-12</t>
        </is>
      </c>
      <c r="C1128" s="3" t="inlineStr">
        <is>
          <t xml:space="preserve">SKU-E</t>
        </is>
      </c>
      <c r="D1128" s="3" t="inlineStr">
        <is>
          <t xml:space="preserve">Complete Ritual</t>
        </is>
      </c>
      <c r="E1128" s="6">
        <f>IF('Settings'!$B$11="Scenario",IFERROR(INDEX('Catalogue'!$E$3:$E$100,MATCH(C1128,'Catalogue'!$B$3:$B$100,0)),F1128),F1128)</f>
        <v>89</v>
      </c>
      <c r="F1128" s="8">
        <v>89</v>
      </c>
      <c r="G1128" s="3">
        <v>1</v>
      </c>
      <c r="H1128" s="6">
        <f>IF('Settings'!$B$11="Scenario",ROUND(E1128*G1128*IFERROR(SUMIF('Pricing &amp; promotions'!$A$6:$A$8,L1128,'Pricing &amp; promotions'!$B$6:$B$8)/100,0),2),J1128)</f>
        <v>0.0</v>
      </c>
      <c r="I1128" s="6">
        <f>ROUND((E1128*G1128-H1128)/IF(OR(K1128=TRUE,K1128="TRUE",K1128="YES",K1128=1),1+'Settings'!$B$6/100,1),2)</f>
        <v>73.55</v>
      </c>
      <c r="J1128" s="8">
        <v>0.0</v>
      </c>
      <c r="K1128" s="3" t="inlineStr">
        <is>
          <t xml:space="preserve">TRUE</t>
        </is>
      </c>
      <c r="L1128" s="3"/>
      <c r="M1128" s="6">
        <f>ROUND(E1128*G1128-H1128,2)</f>
        <v>89.0</v>
      </c>
      <c r="N1128" s="5">
        <f>IF(COUNTIF($A$3:A1128,A1128)=1,1,0)</f>
        <v>1</v>
      </c>
      <c r="O1128" s="6">
        <f>IF(N1128=1,ROUND((SUMIFS($M$3:$M$1200,$A$3:$A$1200,A1128)+'Settings'!$B$13)*'Settings'!$B$14/100+'Settings'!$B$15,2),0)</f>
        <v>2.68</v>
      </c>
    </row>
    <row r="1129">
      <c r="A1129" s="3" t="inlineStr">
        <is>
          <t xml:space="preserve">#1830</t>
        </is>
      </c>
      <c r="B1129" s="3" t="inlineStr">
        <is>
          <t xml:space="preserve">2026-10-12</t>
        </is>
      </c>
      <c r="C1129" s="3" t="inlineStr">
        <is>
          <t xml:space="preserve">SKU-A</t>
        </is>
      </c>
      <c r="D1129" s="3" t="inlineStr">
        <is>
          <t xml:space="preserve">Renewal Serum</t>
        </is>
      </c>
      <c r="E1129" s="6">
        <f>IF('Settings'!$B$11="Scenario",IFERROR(INDEX('Catalogue'!$E$3:$E$100,MATCH(C1129,'Catalogue'!$B$3:$B$100,0)),F1129),F1129)</f>
        <v>69.9</v>
      </c>
      <c r="F1129" s="8">
        <v>69.9</v>
      </c>
      <c r="G1129" s="3">
        <v>1</v>
      </c>
      <c r="H1129" s="6">
        <f>IF('Settings'!$B$11="Scenario",ROUND(E1129*G1129*IFERROR(SUMIF('Pricing &amp; promotions'!$A$6:$A$8,L1129,'Pricing &amp; promotions'!$B$6:$B$8)/100,0),2),J1129)</f>
        <v>0.0</v>
      </c>
      <c r="I1129" s="6">
        <f>ROUND((E1129*G1129-H1129)/IF(OR(K1129=TRUE,K1129="TRUE",K1129="YES",K1129=1),1+'Settings'!$B$6/100,1),2)</f>
        <v>57.77</v>
      </c>
      <c r="J1129" s="8">
        <v>0.0</v>
      </c>
      <c r="K1129" s="3" t="inlineStr">
        <is>
          <t xml:space="preserve">TRUE</t>
        </is>
      </c>
      <c r="L1129" s="3"/>
      <c r="M1129" s="6">
        <f>ROUND(E1129*G1129-H1129,2)</f>
        <v>69.9</v>
      </c>
      <c r="N1129" s="5">
        <f>IF(COUNTIF($A$3:A1129,A1129)=1,1,0)</f>
        <v>0</v>
      </c>
      <c r="O1129" s="6">
        <f>IF(N1129=1,ROUND((SUMIFS($M$3:$M$1200,$A$3:$A$1200,A1129)+'Settings'!$B$13)*'Settings'!$B$14/100+'Settings'!$B$15,2),0)</f>
        <v>0</v>
      </c>
    </row>
    <row r="1130">
      <c r="A1130" s="3" t="inlineStr">
        <is>
          <t xml:space="preserve">#1831</t>
        </is>
      </c>
      <c r="B1130" s="3" t="inlineStr">
        <is>
          <t xml:space="preserve">2026-10-13</t>
        </is>
      </c>
      <c r="C1130" s="3" t="inlineStr">
        <is>
          <t xml:space="preserve">SKU-C</t>
        </is>
      </c>
      <c r="D1130" s="3" t="inlineStr">
        <is>
          <t xml:space="preserve">Contour Stone</t>
        </is>
      </c>
      <c r="E1130" s="6">
        <f>IF('Settings'!$B$11="Scenario",IFERROR(INDEX('Catalogue'!$E$3:$E$100,MATCH(C1130,'Catalogue'!$B$3:$B$100,0)),F1130),F1130)</f>
        <v>29</v>
      </c>
      <c r="F1130" s="8">
        <v>29</v>
      </c>
      <c r="G1130" s="3">
        <v>1</v>
      </c>
      <c r="H1130" s="6">
        <f>IF('Settings'!$B$11="Scenario",ROUND(E1130*G1130*IFERROR(SUMIF('Pricing &amp; promotions'!$A$6:$A$8,L1130,'Pricing &amp; promotions'!$B$6:$B$8)/100,0),2),J1130)</f>
        <v>0.0</v>
      </c>
      <c r="I1130" s="6">
        <f>ROUND((E1130*G1130-H1130)/IF(OR(K1130=TRUE,K1130="TRUE",K1130="YES",K1130=1),1+'Settings'!$B$6/100,1),2)</f>
        <v>23.97</v>
      </c>
      <c r="J1130" s="8">
        <v>0.0</v>
      </c>
      <c r="K1130" s="3" t="inlineStr">
        <is>
          <t xml:space="preserve">TRUE</t>
        </is>
      </c>
      <c r="L1130" s="3"/>
      <c r="M1130" s="6">
        <f>ROUND(E1130*G1130-H1130,2)</f>
        <v>29.0</v>
      </c>
      <c r="N1130" s="5">
        <f>IF(COUNTIF($A$3:A1130,A1130)=1,1,0)</f>
        <v>1</v>
      </c>
      <c r="O1130" s="6">
        <f>IF(N1130=1,ROUND((SUMIFS($M$3:$M$1200,$A$3:$A$1200,A1130)+'Settings'!$B$13)*'Settings'!$B$14/100+'Settings'!$B$15,2),0)</f>
        <v>0.73</v>
      </c>
    </row>
    <row r="1131">
      <c r="A1131" s="3" t="inlineStr">
        <is>
          <t xml:space="preserve">#1832</t>
        </is>
      </c>
      <c r="B1131" s="3" t="inlineStr">
        <is>
          <t xml:space="preserve">2026-10-14</t>
        </is>
      </c>
      <c r="C1131" s="3" t="inlineStr">
        <is>
          <t xml:space="preserve">SKU-D</t>
        </is>
      </c>
      <c r="D1131" s="3" t="inlineStr">
        <is>
          <t xml:space="preserve">Daily Duo</t>
        </is>
      </c>
      <c r="E1131" s="6">
        <f>IF('Settings'!$B$11="Scenario",IFERROR(INDEX('Catalogue'!$E$3:$E$100,MATCH(C1131,'Catalogue'!$B$3:$B$100,0)),F1131),F1131)</f>
        <v>79</v>
      </c>
      <c r="F1131" s="8">
        <v>79</v>
      </c>
      <c r="G1131" s="3">
        <v>2</v>
      </c>
      <c r="H1131" s="6">
        <f>IF('Settings'!$B$11="Scenario",ROUND(E1131*G1131*IFERROR(SUMIF('Pricing &amp; promotions'!$A$6:$A$8,L1131,'Pricing &amp; promotions'!$B$6:$B$8)/100,0),2),J1131)</f>
        <v>15.8</v>
      </c>
      <c r="I1131" s="6">
        <f>ROUND((E1131*G1131-H1131)/IF(OR(K1131=TRUE,K1131="TRUE",K1131="YES",K1131=1),1+'Settings'!$B$6/100,1),2)</f>
        <v>117.52</v>
      </c>
      <c r="J1131" s="8">
        <v>15.8</v>
      </c>
      <c r="K1131" s="3" t="inlineStr">
        <is>
          <t xml:space="preserve">TRUE</t>
        </is>
      </c>
      <c r="L1131" s="3" t="inlineStr">
        <is>
          <t xml:space="preserve">WELCOME10</t>
        </is>
      </c>
      <c r="M1131" s="6">
        <f>ROUND(E1131*G1131-H1131,2)</f>
        <v>142.2</v>
      </c>
      <c r="N1131" s="5">
        <f>IF(COUNTIF($A$3:A1131,A1131)=1,1,0)</f>
        <v>1</v>
      </c>
      <c r="O1131" s="6">
        <f>IF(N1131=1,ROUND((SUMIFS($M$3:$M$1200,$A$3:$A$1200,A1131)+'Settings'!$B$13)*'Settings'!$B$14/100+'Settings'!$B$15,2),0)</f>
        <v>3.37</v>
      </c>
    </row>
    <row r="1132">
      <c r="A1132" s="3" t="inlineStr">
        <is>
          <t xml:space="preserve">#1832</t>
        </is>
      </c>
      <c r="B1132" s="3" t="inlineStr">
        <is>
          <t xml:space="preserve">2026-10-14</t>
        </is>
      </c>
      <c r="C1132" s="3" t="inlineStr">
        <is>
          <t xml:space="preserve">SKU-A</t>
        </is>
      </c>
      <c r="D1132" s="3" t="inlineStr">
        <is>
          <t xml:space="preserve">Renewal Serum</t>
        </is>
      </c>
      <c r="E1132" s="6">
        <f>IF('Settings'!$B$11="Scenario",IFERROR(INDEX('Catalogue'!$E$3:$E$100,MATCH(C1132,'Catalogue'!$B$3:$B$100,0)),F1132),F1132)</f>
        <v>69.9</v>
      </c>
      <c r="F1132" s="8">
        <v>69.9</v>
      </c>
      <c r="G1132" s="3">
        <v>1</v>
      </c>
      <c r="H1132" s="6">
        <f>IF('Settings'!$B$11="Scenario",ROUND(E1132*G1132*IFERROR(SUMIF('Pricing &amp; promotions'!$A$6:$A$8,L1132,'Pricing &amp; promotions'!$B$6:$B$8)/100,0),2),J1132)</f>
        <v>6.99</v>
      </c>
      <c r="I1132" s="6">
        <f>ROUND((E1132*G1132-H1132)/IF(OR(K1132=TRUE,K1132="TRUE",K1132="YES",K1132=1),1+'Settings'!$B$6/100,1),2)</f>
        <v>51.99</v>
      </c>
      <c r="J1132" s="8">
        <v>6.99</v>
      </c>
      <c r="K1132" s="3" t="inlineStr">
        <is>
          <t xml:space="preserve">TRUE</t>
        </is>
      </c>
      <c r="L1132" s="3" t="inlineStr">
        <is>
          <t xml:space="preserve">WELCOME10</t>
        </is>
      </c>
      <c r="M1132" s="6">
        <f>ROUND(E1132*G1132-H1132,2)</f>
        <v>62.91</v>
      </c>
      <c r="N1132" s="5">
        <f>IF(COUNTIF($A$3:A1132,A1132)=1,1,0)</f>
        <v>0</v>
      </c>
      <c r="O1132" s="6">
        <f>IF(N1132=1,ROUND((SUMIFS($M$3:$M$1200,$A$3:$A$1200,A1132)+'Settings'!$B$13)*'Settings'!$B$14/100+'Settings'!$B$15,2),0)</f>
        <v>0</v>
      </c>
    </row>
    <row r="1133">
      <c r="A1133" s="3" t="inlineStr">
        <is>
          <t xml:space="preserve">#1833</t>
        </is>
      </c>
      <c r="B1133" s="3" t="inlineStr">
        <is>
          <t xml:space="preserve">2026-10-14</t>
        </is>
      </c>
      <c r="C1133" s="3" t="inlineStr">
        <is>
          <t xml:space="preserve">SKU-A</t>
        </is>
      </c>
      <c r="D1133" s="3" t="inlineStr">
        <is>
          <t xml:space="preserve">Renewal Serum</t>
        </is>
      </c>
      <c r="E1133" s="6">
        <f>IF('Settings'!$B$11="Scenario",IFERROR(INDEX('Catalogue'!$E$3:$E$100,MATCH(C1133,'Catalogue'!$B$3:$B$100,0)),F1133),F1133)</f>
        <v>69.9</v>
      </c>
      <c r="F1133" s="8">
        <v>69.9</v>
      </c>
      <c r="G1133" s="3">
        <v>1</v>
      </c>
      <c r="H1133" s="6">
        <f>IF('Settings'!$B$11="Scenario",ROUND(E1133*G1133*IFERROR(SUMIF('Pricing &amp; promotions'!$A$6:$A$8,L1133,'Pricing &amp; promotions'!$B$6:$B$8)/100,0),2),J1133)</f>
        <v>10.49</v>
      </c>
      <c r="I1133" s="6">
        <f>ROUND((E1133*G1133-H1133)/IF(OR(K1133=TRUE,K1133="TRUE",K1133="YES",K1133=1),1+'Settings'!$B$6/100,1),2)</f>
        <v>49.1</v>
      </c>
      <c r="J1133" s="8">
        <v>10.49</v>
      </c>
      <c r="K1133" s="3" t="inlineStr">
        <is>
          <t xml:space="preserve">TRUE</t>
        </is>
      </c>
      <c r="L1133" s="3" t="inlineStr">
        <is>
          <t xml:space="preserve">SUMMER15</t>
        </is>
      </c>
      <c r="M1133" s="6">
        <f>ROUND(E1133*G1133-H1133,2)</f>
        <v>59.41</v>
      </c>
      <c r="N1133" s="5">
        <f>IF(COUNTIF($A$3:A1133,A1133)=1,1,0)</f>
        <v>1</v>
      </c>
      <c r="O1133" s="6">
        <f>IF(N1133=1,ROUND((SUMIFS($M$3:$M$1200,$A$3:$A$1200,A1133)+'Settings'!$B$13)*'Settings'!$B$14/100+'Settings'!$B$15,2),0)</f>
        <v>1.19</v>
      </c>
    </row>
    <row r="1134">
      <c r="A1134" s="3" t="inlineStr">
        <is>
          <t xml:space="preserve">#1834</t>
        </is>
      </c>
      <c r="B1134" s="3" t="inlineStr">
        <is>
          <t xml:space="preserve">2026-10-14</t>
        </is>
      </c>
      <c r="C1134" s="3" t="inlineStr">
        <is>
          <t xml:space="preserve">SKU-D</t>
        </is>
      </c>
      <c r="D1134" s="3" t="inlineStr">
        <is>
          <t xml:space="preserve">Daily Duo</t>
        </is>
      </c>
      <c r="E1134" s="6">
        <f>IF('Settings'!$B$11="Scenario",IFERROR(INDEX('Catalogue'!$E$3:$E$100,MATCH(C1134,'Catalogue'!$B$3:$B$100,0)),F1134),F1134)</f>
        <v>79</v>
      </c>
      <c r="F1134" s="8">
        <v>79</v>
      </c>
      <c r="G1134" s="3">
        <v>1</v>
      </c>
      <c r="H1134" s="6">
        <f>IF('Settings'!$B$11="Scenario",ROUND(E1134*G1134*IFERROR(SUMIF('Pricing &amp; promotions'!$A$6:$A$8,L1134,'Pricing &amp; promotions'!$B$6:$B$8)/100,0),2),J1134)</f>
        <v>0.0</v>
      </c>
      <c r="I1134" s="6">
        <f>ROUND((E1134*G1134-H1134)/IF(OR(K1134=TRUE,K1134="TRUE",K1134="YES",K1134=1),1+'Settings'!$B$6/100,1),2)</f>
        <v>65.29</v>
      </c>
      <c r="J1134" s="8">
        <v>0.0</v>
      </c>
      <c r="K1134" s="3" t="inlineStr">
        <is>
          <t xml:space="preserve">TRUE</t>
        </is>
      </c>
      <c r="L1134" s="3"/>
      <c r="M1134" s="6">
        <f>ROUND(E1134*G1134-H1134,2)</f>
        <v>79.0</v>
      </c>
      <c r="N1134" s="5">
        <f>IF(COUNTIF($A$3:A1134,A1134)=1,1,0)</f>
        <v>1</v>
      </c>
      <c r="O1134" s="6">
        <f>IF(N1134=1,ROUND((SUMIFS($M$3:$M$1200,$A$3:$A$1200,A1134)+'Settings'!$B$13)*'Settings'!$B$14/100+'Settings'!$B$15,2),0)</f>
        <v>1.48</v>
      </c>
    </row>
    <row r="1135">
      <c r="A1135" s="3" t="inlineStr">
        <is>
          <t xml:space="preserve">#1835</t>
        </is>
      </c>
      <c r="B1135" s="3" t="inlineStr">
        <is>
          <t xml:space="preserve">2026-10-15</t>
        </is>
      </c>
      <c r="C1135" s="3" t="inlineStr">
        <is>
          <t xml:space="preserve">SKU-F</t>
        </is>
      </c>
      <c r="D1135" s="3" t="inlineStr">
        <is>
          <t xml:space="preserve">Cloud Cleanser</t>
        </is>
      </c>
      <c r="E1135" s="6">
        <f>IF('Settings'!$B$11="Scenario",IFERROR(INDEX('Catalogue'!$E$3:$E$100,MATCH(C1135,'Catalogue'!$B$3:$B$100,0)),F1135),F1135)</f>
        <v>34</v>
      </c>
      <c r="F1135" s="8">
        <v>34</v>
      </c>
      <c r="G1135" s="3">
        <v>1</v>
      </c>
      <c r="H1135" s="6">
        <f>IF('Settings'!$B$11="Scenario",ROUND(E1135*G1135*IFERROR(SUMIF('Pricing &amp; promotions'!$A$6:$A$8,L1135,'Pricing &amp; promotions'!$B$6:$B$8)/100,0),2),J1135)</f>
        <v>0.0</v>
      </c>
      <c r="I1135" s="6">
        <f>ROUND((E1135*G1135-H1135)/IF(OR(K1135=TRUE,K1135="TRUE",K1135="YES",K1135=1),1+'Settings'!$B$6/100,1),2)</f>
        <v>28.1</v>
      </c>
      <c r="J1135" s="8">
        <v>0.0</v>
      </c>
      <c r="K1135" s="3" t="inlineStr">
        <is>
          <t xml:space="preserve">TRUE</t>
        </is>
      </c>
      <c r="L1135" s="3"/>
      <c r="M1135" s="6">
        <f>ROUND(E1135*G1135-H1135,2)</f>
        <v>34.0</v>
      </c>
      <c r="N1135" s="5">
        <f>IF(COUNTIF($A$3:A1135,A1135)=1,1,0)</f>
        <v>1</v>
      </c>
      <c r="O1135" s="6">
        <f>IF(N1135=1,ROUND((SUMIFS($M$3:$M$1200,$A$3:$A$1200,A1135)+'Settings'!$B$13)*'Settings'!$B$14/100+'Settings'!$B$15,2),0)</f>
        <v>2.9</v>
      </c>
    </row>
    <row r="1136">
      <c r="A1136" s="3" t="inlineStr">
        <is>
          <t xml:space="preserve">#1835</t>
        </is>
      </c>
      <c r="B1136" s="3" t="inlineStr">
        <is>
          <t xml:space="preserve">2026-10-15</t>
        </is>
      </c>
      <c r="C1136" s="3" t="inlineStr">
        <is>
          <t xml:space="preserve">SKU-A</t>
        </is>
      </c>
      <c r="D1136" s="3" t="inlineStr">
        <is>
          <t xml:space="preserve">Renewal Serum</t>
        </is>
      </c>
      <c r="E1136" s="6">
        <f>IF('Settings'!$B$11="Scenario",IFERROR(INDEX('Catalogue'!$E$3:$E$100,MATCH(C1136,'Catalogue'!$B$3:$B$100,0)),F1136),F1136)</f>
        <v>69.9</v>
      </c>
      <c r="F1136" s="8">
        <v>69.9</v>
      </c>
      <c r="G1136" s="3">
        <v>2</v>
      </c>
      <c r="H1136" s="6">
        <f>IF('Settings'!$B$11="Scenario",ROUND(E1136*G1136*IFERROR(SUMIF('Pricing &amp; promotions'!$A$6:$A$8,L1136,'Pricing &amp; promotions'!$B$6:$B$8)/100,0),2),J1136)</f>
        <v>0.0</v>
      </c>
      <c r="I1136" s="6">
        <f>ROUND((E1136*G1136-H1136)/IF(OR(K1136=TRUE,K1136="TRUE",K1136="YES",K1136=1),1+'Settings'!$B$6/100,1),2)</f>
        <v>115.54</v>
      </c>
      <c r="J1136" s="8">
        <v>0.0</v>
      </c>
      <c r="K1136" s="3" t="inlineStr">
        <is>
          <t xml:space="preserve">TRUE</t>
        </is>
      </c>
      <c r="L1136" s="3"/>
      <c r="M1136" s="6">
        <f>ROUND(E1136*G1136-H1136,2)</f>
        <v>139.8</v>
      </c>
      <c r="N1136" s="5">
        <f>IF(COUNTIF($A$3:A1136,A1136)=1,1,0)</f>
        <v>0</v>
      </c>
      <c r="O1136" s="6">
        <f>IF(N1136=1,ROUND((SUMIFS($M$3:$M$1200,$A$3:$A$1200,A1136)+'Settings'!$B$13)*'Settings'!$B$14/100+'Settings'!$B$15,2),0)</f>
        <v>0</v>
      </c>
    </row>
    <row r="1137">
      <c r="A1137" s="3" t="inlineStr">
        <is>
          <t xml:space="preserve">#1836</t>
        </is>
      </c>
      <c r="B1137" s="3" t="inlineStr">
        <is>
          <t xml:space="preserve">2026-10-16</t>
        </is>
      </c>
      <c r="C1137" s="3" t="inlineStr">
        <is>
          <t xml:space="preserve">SKU-A</t>
        </is>
      </c>
      <c r="D1137" s="3" t="inlineStr">
        <is>
          <t xml:space="preserve">Renewal Serum</t>
        </is>
      </c>
      <c r="E1137" s="6">
        <f>IF('Settings'!$B$11="Scenario",IFERROR(INDEX('Catalogue'!$E$3:$E$100,MATCH(C1137,'Catalogue'!$B$3:$B$100,0)),F1137),F1137)</f>
        <v>69.9</v>
      </c>
      <c r="F1137" s="8">
        <v>69.9</v>
      </c>
      <c r="G1137" s="3">
        <v>2</v>
      </c>
      <c r="H1137" s="6">
        <f>IF('Settings'!$B$11="Scenario",ROUND(E1137*G1137*IFERROR(SUMIF('Pricing &amp; promotions'!$A$6:$A$8,L1137,'Pricing &amp; promotions'!$B$6:$B$8)/100,0),2),J1137)</f>
        <v>0.0</v>
      </c>
      <c r="I1137" s="6">
        <f>ROUND((E1137*G1137-H1137)/IF(OR(K1137=TRUE,K1137="TRUE",K1137="YES",K1137=1),1+'Settings'!$B$6/100,1),2)</f>
        <v>115.54</v>
      </c>
      <c r="J1137" s="8">
        <v>0.0</v>
      </c>
      <c r="K1137" s="3" t="inlineStr">
        <is>
          <t xml:space="preserve">TRUE</t>
        </is>
      </c>
      <c r="L1137" s="3"/>
      <c r="M1137" s="6">
        <f>ROUND(E1137*G1137-H1137,2)</f>
        <v>139.8</v>
      </c>
      <c r="N1137" s="5">
        <f>IF(COUNTIF($A$3:A1137,A1137)=1,1,0)</f>
        <v>1</v>
      </c>
      <c r="O1137" s="6">
        <f>IF(N1137=1,ROUND((SUMIFS($M$3:$M$1200,$A$3:$A$1200,A1137)+'Settings'!$B$13)*'Settings'!$B$14/100+'Settings'!$B$15,2),0)</f>
        <v>2.39</v>
      </c>
    </row>
    <row r="1138">
      <c r="A1138" s="3" t="inlineStr">
        <is>
          <t xml:space="preserve">#1837</t>
        </is>
      </c>
      <c r="B1138" s="3" t="inlineStr">
        <is>
          <t xml:space="preserve">2026-10-16</t>
        </is>
      </c>
      <c r="C1138" s="3" t="inlineStr">
        <is>
          <t xml:space="preserve">SKU-B</t>
        </is>
      </c>
      <c r="D1138" s="3" t="inlineStr">
        <is>
          <t xml:space="preserve">Barrier Balm</t>
        </is>
      </c>
      <c r="E1138" s="6">
        <f>IF('Settings'!$B$11="Scenario",IFERROR(INDEX('Catalogue'!$E$3:$E$100,MATCH(C1138,'Catalogue'!$B$3:$B$100,0)),F1138),F1138)</f>
        <v>19</v>
      </c>
      <c r="F1138" s="8">
        <v>19</v>
      </c>
      <c r="G1138" s="3">
        <v>1</v>
      </c>
      <c r="H1138" s="6">
        <f>IF('Settings'!$B$11="Scenario",ROUND(E1138*G1138*IFERROR(SUMIF('Pricing &amp; promotions'!$A$6:$A$8,L1138,'Pricing &amp; promotions'!$B$6:$B$8)/100,0),2),J1138)</f>
        <v>0.0</v>
      </c>
      <c r="I1138" s="6">
        <f>ROUND((E1138*G1138-H1138)/IF(OR(K1138=TRUE,K1138="TRUE",K1138="YES",K1138=1),1+'Settings'!$B$6/100,1),2)</f>
        <v>15.7</v>
      </c>
      <c r="J1138" s="8">
        <v>0.0</v>
      </c>
      <c r="K1138" s="3" t="inlineStr">
        <is>
          <t xml:space="preserve">TRUE</t>
        </is>
      </c>
      <c r="L1138" s="3"/>
      <c r="M1138" s="6">
        <f>ROUND(E1138*G1138-H1138,2)</f>
        <v>19.0</v>
      </c>
      <c r="N1138" s="5">
        <f>IF(COUNTIF($A$3:A1138,A1138)=1,1,0)</f>
        <v>1</v>
      </c>
      <c r="O1138" s="6">
        <f>IF(N1138=1,ROUND((SUMIFS($M$3:$M$1200,$A$3:$A$1200,A1138)+'Settings'!$B$13)*'Settings'!$B$14/100+'Settings'!$B$15,2),0)</f>
        <v>0.58</v>
      </c>
    </row>
    <row r="1139">
      <c r="A1139" s="3" t="inlineStr">
        <is>
          <t xml:space="preserve">#1838</t>
        </is>
      </c>
      <c r="B1139" s="3" t="inlineStr">
        <is>
          <t xml:space="preserve">2026-10-16</t>
        </is>
      </c>
      <c r="C1139" s="3" t="inlineStr">
        <is>
          <t xml:space="preserve">SKU-E</t>
        </is>
      </c>
      <c r="D1139" s="3" t="inlineStr">
        <is>
          <t xml:space="preserve">Complete Ritual</t>
        </is>
      </c>
      <c r="E1139" s="6">
        <f>IF('Settings'!$B$11="Scenario",IFERROR(INDEX('Catalogue'!$E$3:$E$100,MATCH(C1139,'Catalogue'!$B$3:$B$100,0)),F1139),F1139)</f>
        <v>89</v>
      </c>
      <c r="F1139" s="8">
        <v>89</v>
      </c>
      <c r="G1139" s="3">
        <v>1</v>
      </c>
      <c r="H1139" s="6">
        <f>IF('Settings'!$B$11="Scenario",ROUND(E1139*G1139*IFERROR(SUMIF('Pricing &amp; promotions'!$A$6:$A$8,L1139,'Pricing &amp; promotions'!$B$6:$B$8)/100,0),2),J1139)</f>
        <v>13.35</v>
      </c>
      <c r="I1139" s="6">
        <f>ROUND((E1139*G1139-H1139)/IF(OR(K1139=TRUE,K1139="TRUE",K1139="YES",K1139=1),1+'Settings'!$B$6/100,1),2)</f>
        <v>62.52</v>
      </c>
      <c r="J1139" s="8">
        <v>13.35</v>
      </c>
      <c r="K1139" s="3" t="inlineStr">
        <is>
          <t xml:space="preserve">TRUE</t>
        </is>
      </c>
      <c r="L1139" s="3" t="inlineStr">
        <is>
          <t xml:space="preserve">SUMMER15</t>
        </is>
      </c>
      <c r="M1139" s="6">
        <f>ROUND(E1139*G1139-H1139,2)</f>
        <v>75.65</v>
      </c>
      <c r="N1139" s="5">
        <f>IF(COUNTIF($A$3:A1139,A1139)=1,1,0)</f>
        <v>1</v>
      </c>
      <c r="O1139" s="6">
        <f>IF(N1139=1,ROUND((SUMIFS($M$3:$M$1200,$A$3:$A$1200,A1139)+'Settings'!$B$13)*'Settings'!$B$14/100+'Settings'!$B$15,2),0)</f>
        <v>3.44</v>
      </c>
    </row>
    <row r="1140">
      <c r="A1140" s="3" t="inlineStr">
        <is>
          <t xml:space="preserve">#1838</t>
        </is>
      </c>
      <c r="B1140" s="3" t="inlineStr">
        <is>
          <t xml:space="preserve">2026-10-16</t>
        </is>
      </c>
      <c r="C1140" s="3" t="inlineStr">
        <is>
          <t xml:space="preserve">SKU-D</t>
        </is>
      </c>
      <c r="D1140" s="3" t="inlineStr">
        <is>
          <t xml:space="preserve">Daily Duo</t>
        </is>
      </c>
      <c r="E1140" s="6">
        <f>IF('Settings'!$B$11="Scenario",IFERROR(INDEX('Catalogue'!$E$3:$E$100,MATCH(C1140,'Catalogue'!$B$3:$B$100,0)),F1140),F1140)</f>
        <v>79</v>
      </c>
      <c r="F1140" s="8">
        <v>79</v>
      </c>
      <c r="G1140" s="3">
        <v>2</v>
      </c>
      <c r="H1140" s="6">
        <f>IF('Settings'!$B$11="Scenario",ROUND(E1140*G1140*IFERROR(SUMIF('Pricing &amp; promotions'!$A$6:$A$8,L1140,'Pricing &amp; promotions'!$B$6:$B$8)/100,0),2),J1140)</f>
        <v>23.7</v>
      </c>
      <c r="I1140" s="6">
        <f>ROUND((E1140*G1140-H1140)/IF(OR(K1140=TRUE,K1140="TRUE",K1140="YES",K1140=1),1+'Settings'!$B$6/100,1),2)</f>
        <v>110.99</v>
      </c>
      <c r="J1140" s="8">
        <v>23.7</v>
      </c>
      <c r="K1140" s="3" t="inlineStr">
        <is>
          <t xml:space="preserve">TRUE</t>
        </is>
      </c>
      <c r="L1140" s="3" t="inlineStr">
        <is>
          <t xml:space="preserve">SUMMER15</t>
        </is>
      </c>
      <c r="M1140" s="6">
        <f>ROUND(E1140*G1140-H1140,2)</f>
        <v>134.3</v>
      </c>
      <c r="N1140" s="5">
        <f>IF(COUNTIF($A$3:A1140,A1140)=1,1,0)</f>
        <v>0</v>
      </c>
      <c r="O1140" s="6">
        <f>IF(N1140=1,ROUND((SUMIFS($M$3:$M$1200,$A$3:$A$1200,A1140)+'Settings'!$B$13)*'Settings'!$B$14/100+'Settings'!$B$15,2),0)</f>
        <v>0</v>
      </c>
    </row>
    <row r="1141">
      <c r="A1141" s="3" t="inlineStr">
        <is>
          <t xml:space="preserve">#1839</t>
        </is>
      </c>
      <c r="B1141" s="3" t="inlineStr">
        <is>
          <t xml:space="preserve">2026-10-16</t>
        </is>
      </c>
      <c r="C1141" s="3" t="inlineStr">
        <is>
          <t xml:space="preserve">SKU-E</t>
        </is>
      </c>
      <c r="D1141" s="3" t="inlineStr">
        <is>
          <t xml:space="preserve">Complete Ritual</t>
        </is>
      </c>
      <c r="E1141" s="6">
        <f>IF('Settings'!$B$11="Scenario",IFERROR(INDEX('Catalogue'!$E$3:$E$100,MATCH(C1141,'Catalogue'!$B$3:$B$100,0)),F1141),F1141)</f>
        <v>89</v>
      </c>
      <c r="F1141" s="8">
        <v>89</v>
      </c>
      <c r="G1141" s="3">
        <v>1</v>
      </c>
      <c r="H1141" s="6">
        <f>IF('Settings'!$B$11="Scenario",ROUND(E1141*G1141*IFERROR(SUMIF('Pricing &amp; promotions'!$A$6:$A$8,L1141,'Pricing &amp; promotions'!$B$6:$B$8)/100,0),2),J1141)</f>
        <v>0.0</v>
      </c>
      <c r="I1141" s="6">
        <f>ROUND((E1141*G1141-H1141)/IF(OR(K1141=TRUE,K1141="TRUE",K1141="YES",K1141=1),1+'Settings'!$B$6/100,1),2)</f>
        <v>73.55</v>
      </c>
      <c r="J1141" s="8">
        <v>0.0</v>
      </c>
      <c r="K1141" s="3" t="inlineStr">
        <is>
          <t xml:space="preserve">TRUE</t>
        </is>
      </c>
      <c r="L1141" s="3"/>
      <c r="M1141" s="6">
        <f>ROUND(E1141*G1141-H1141,2)</f>
        <v>89.0</v>
      </c>
      <c r="N1141" s="5">
        <f>IF(COUNTIF($A$3:A1141,A1141)=1,1,0)</f>
        <v>1</v>
      </c>
      <c r="O1141" s="6">
        <f>IF(N1141=1,ROUND((SUMIFS($M$3:$M$1200,$A$3:$A$1200,A1141)+'Settings'!$B$13)*'Settings'!$B$14/100+'Settings'!$B$15,2),0)</f>
        <v>1.63</v>
      </c>
    </row>
    <row r="1142">
      <c r="A1142" s="3" t="inlineStr">
        <is>
          <t xml:space="preserve">#1840</t>
        </is>
      </c>
      <c r="B1142" s="3" t="inlineStr">
        <is>
          <t xml:space="preserve">2026-10-17</t>
        </is>
      </c>
      <c r="C1142" s="3" t="inlineStr">
        <is>
          <t xml:space="preserve">SKU-D</t>
        </is>
      </c>
      <c r="D1142" s="3" t="inlineStr">
        <is>
          <t xml:space="preserve">Daily Duo</t>
        </is>
      </c>
      <c r="E1142" s="6">
        <f>IF('Settings'!$B$11="Scenario",IFERROR(INDEX('Catalogue'!$E$3:$E$100,MATCH(C1142,'Catalogue'!$B$3:$B$100,0)),F1142),F1142)</f>
        <v>79</v>
      </c>
      <c r="F1142" s="8">
        <v>79</v>
      </c>
      <c r="G1142" s="3">
        <v>1</v>
      </c>
      <c r="H1142" s="6">
        <f>IF('Settings'!$B$11="Scenario",ROUND(E1142*G1142*IFERROR(SUMIF('Pricing &amp; promotions'!$A$6:$A$8,L1142,'Pricing &amp; promotions'!$B$6:$B$8)/100,0),2),J1142)</f>
        <v>11.85</v>
      </c>
      <c r="I1142" s="6">
        <f>ROUND((E1142*G1142-H1142)/IF(OR(K1142=TRUE,K1142="TRUE",K1142="YES",K1142=1),1+'Settings'!$B$6/100,1),2)</f>
        <v>55.5</v>
      </c>
      <c r="J1142" s="8">
        <v>11.85</v>
      </c>
      <c r="K1142" s="3" t="inlineStr">
        <is>
          <t xml:space="preserve">TRUE</t>
        </is>
      </c>
      <c r="L1142" s="3" t="inlineStr">
        <is>
          <t xml:space="preserve">SUMMER15</t>
        </is>
      </c>
      <c r="M1142" s="6">
        <f>ROUND(E1142*G1142-H1142,2)</f>
        <v>67.15</v>
      </c>
      <c r="N1142" s="5">
        <f>IF(COUNTIF($A$3:A1142,A1142)=1,1,0)</f>
        <v>1</v>
      </c>
      <c r="O1142" s="6">
        <f>IF(N1142=1,ROUND((SUMIFS($M$3:$M$1200,$A$3:$A$1200,A1142)+'Settings'!$B$13)*'Settings'!$B$14/100+'Settings'!$B$15,2),0)</f>
        <v>1.54</v>
      </c>
    </row>
    <row r="1143">
      <c r="A1143" s="3" t="inlineStr">
        <is>
          <t xml:space="preserve">#1840</t>
        </is>
      </c>
      <c r="B1143" s="3" t="inlineStr">
        <is>
          <t xml:space="preserve">2026-10-17</t>
        </is>
      </c>
      <c r="C1143" s="3" t="inlineStr">
        <is>
          <t xml:space="preserve">SKU-B</t>
        </is>
      </c>
      <c r="D1143" s="3" t="inlineStr">
        <is>
          <t xml:space="preserve">Barrier Balm</t>
        </is>
      </c>
      <c r="E1143" s="6">
        <f>IF('Settings'!$B$11="Scenario",IFERROR(INDEX('Catalogue'!$E$3:$E$100,MATCH(C1143,'Catalogue'!$B$3:$B$100,0)),F1143),F1143)</f>
        <v>19</v>
      </c>
      <c r="F1143" s="8">
        <v>19</v>
      </c>
      <c r="G1143" s="3">
        <v>1</v>
      </c>
      <c r="H1143" s="6">
        <f>IF('Settings'!$B$11="Scenario",ROUND(E1143*G1143*IFERROR(SUMIF('Pricing &amp; promotions'!$A$6:$A$8,L1143,'Pricing &amp; promotions'!$B$6:$B$8)/100,0),2),J1143)</f>
        <v>2.85</v>
      </c>
      <c r="I1143" s="6">
        <f>ROUND((E1143*G1143-H1143)/IF(OR(K1143=TRUE,K1143="TRUE",K1143="YES",K1143=1),1+'Settings'!$B$6/100,1),2)</f>
        <v>13.35</v>
      </c>
      <c r="J1143" s="8">
        <v>2.85</v>
      </c>
      <c r="K1143" s="3" t="inlineStr">
        <is>
          <t xml:space="preserve">TRUE</t>
        </is>
      </c>
      <c r="L1143" s="3" t="inlineStr">
        <is>
          <t xml:space="preserve">SUMMER15</t>
        </is>
      </c>
      <c r="M1143" s="6">
        <f>ROUND(E1143*G1143-H1143,2)</f>
        <v>16.15</v>
      </c>
      <c r="N1143" s="5">
        <f>IF(COUNTIF($A$3:A1143,A1143)=1,1,0)</f>
        <v>0</v>
      </c>
      <c r="O1143" s="6">
        <f>IF(N1143=1,ROUND((SUMIFS($M$3:$M$1200,$A$3:$A$1200,A1143)+'Settings'!$B$13)*'Settings'!$B$14/100+'Settings'!$B$15,2),0)</f>
        <v>0</v>
      </c>
    </row>
    <row r="1144">
      <c r="A1144" s="3" t="inlineStr">
        <is>
          <t xml:space="preserve">#1841</t>
        </is>
      </c>
      <c r="B1144" s="3" t="inlineStr">
        <is>
          <t xml:space="preserve">2026-10-17</t>
        </is>
      </c>
      <c r="C1144" s="3" t="inlineStr">
        <is>
          <t xml:space="preserve">SKU-B</t>
        </is>
      </c>
      <c r="D1144" s="3" t="inlineStr">
        <is>
          <t xml:space="preserve">Barrier Balm</t>
        </is>
      </c>
      <c r="E1144" s="6">
        <f>IF('Settings'!$B$11="Scenario",IFERROR(INDEX('Catalogue'!$E$3:$E$100,MATCH(C1144,'Catalogue'!$B$3:$B$100,0)),F1144),F1144)</f>
        <v>19</v>
      </c>
      <c r="F1144" s="8">
        <v>19</v>
      </c>
      <c r="G1144" s="3">
        <v>1</v>
      </c>
      <c r="H1144" s="6">
        <f>IF('Settings'!$B$11="Scenario",ROUND(E1144*G1144*IFERROR(SUMIF('Pricing &amp; promotions'!$A$6:$A$8,L1144,'Pricing &amp; promotions'!$B$6:$B$8)/100,0),2),J1144)</f>
        <v>1.9</v>
      </c>
      <c r="I1144" s="6">
        <f>ROUND((E1144*G1144-H1144)/IF(OR(K1144=TRUE,K1144="TRUE",K1144="YES",K1144=1),1+'Settings'!$B$6/100,1),2)</f>
        <v>14.13</v>
      </c>
      <c r="J1144" s="8">
        <v>1.9</v>
      </c>
      <c r="K1144" s="3" t="inlineStr">
        <is>
          <t xml:space="preserve">TRUE</t>
        </is>
      </c>
      <c r="L1144" s="3" t="inlineStr">
        <is>
          <t xml:space="preserve">WELCOME10</t>
        </is>
      </c>
      <c r="M1144" s="6">
        <f>ROUND(E1144*G1144-H1144,2)</f>
        <v>17.1</v>
      </c>
      <c r="N1144" s="5">
        <f>IF(COUNTIF($A$3:A1144,A1144)=1,1,0)</f>
        <v>1</v>
      </c>
      <c r="O1144" s="6">
        <f>IF(N1144=1,ROUND((SUMIFS($M$3:$M$1200,$A$3:$A$1200,A1144)+'Settings'!$B$13)*'Settings'!$B$14/100+'Settings'!$B$15,2),0)</f>
        <v>1.49</v>
      </c>
    </row>
    <row r="1145">
      <c r="A1145" s="3" t="inlineStr">
        <is>
          <t xml:space="preserve">#1841</t>
        </is>
      </c>
      <c r="B1145" s="3" t="inlineStr">
        <is>
          <t xml:space="preserve">2026-10-17</t>
        </is>
      </c>
      <c r="C1145" s="3" t="inlineStr">
        <is>
          <t xml:space="preserve">SKU-A</t>
        </is>
      </c>
      <c r="D1145" s="3" t="inlineStr">
        <is>
          <t xml:space="preserve">Renewal Serum</t>
        </is>
      </c>
      <c r="E1145" s="6">
        <f>IF('Settings'!$B$11="Scenario",IFERROR(INDEX('Catalogue'!$E$3:$E$100,MATCH(C1145,'Catalogue'!$B$3:$B$100,0)),F1145),F1145)</f>
        <v>69.9</v>
      </c>
      <c r="F1145" s="8">
        <v>69.9</v>
      </c>
      <c r="G1145" s="3">
        <v>1</v>
      </c>
      <c r="H1145" s="6">
        <f>IF('Settings'!$B$11="Scenario",ROUND(E1145*G1145*IFERROR(SUMIF('Pricing &amp; promotions'!$A$6:$A$8,L1145,'Pricing &amp; promotions'!$B$6:$B$8)/100,0),2),J1145)</f>
        <v>6.99</v>
      </c>
      <c r="I1145" s="6">
        <f>ROUND((E1145*G1145-H1145)/IF(OR(K1145=TRUE,K1145="TRUE",K1145="YES",K1145=1),1+'Settings'!$B$6/100,1),2)</f>
        <v>51.99</v>
      </c>
      <c r="J1145" s="8">
        <v>6.99</v>
      </c>
      <c r="K1145" s="3" t="inlineStr">
        <is>
          <t xml:space="preserve">TRUE</t>
        </is>
      </c>
      <c r="L1145" s="3" t="inlineStr">
        <is>
          <t xml:space="preserve">WELCOME10</t>
        </is>
      </c>
      <c r="M1145" s="6">
        <f>ROUND(E1145*G1145-H1145,2)</f>
        <v>62.91</v>
      </c>
      <c r="N1145" s="5">
        <f>IF(COUNTIF($A$3:A1145,A1145)=1,1,0)</f>
        <v>0</v>
      </c>
      <c r="O1145" s="6">
        <f>IF(N1145=1,ROUND((SUMIFS($M$3:$M$1200,$A$3:$A$1200,A1145)+'Settings'!$B$13)*'Settings'!$B$14/100+'Settings'!$B$15,2),0)</f>
        <v>0</v>
      </c>
    </row>
    <row r="1146">
      <c r="A1146" s="3" t="inlineStr">
        <is>
          <t xml:space="preserve">#1842</t>
        </is>
      </c>
      <c r="B1146" s="3" t="inlineStr">
        <is>
          <t xml:space="preserve">2026-10-17</t>
        </is>
      </c>
      <c r="C1146" s="3" t="inlineStr">
        <is>
          <t xml:space="preserve">SKU-B</t>
        </is>
      </c>
      <c r="D1146" s="3" t="inlineStr">
        <is>
          <t xml:space="preserve">Barrier Balm</t>
        </is>
      </c>
      <c r="E1146" s="6">
        <f>IF('Settings'!$B$11="Scenario",IFERROR(INDEX('Catalogue'!$E$3:$E$100,MATCH(C1146,'Catalogue'!$B$3:$B$100,0)),F1146),F1146)</f>
        <v>19</v>
      </c>
      <c r="F1146" s="8">
        <v>19</v>
      </c>
      <c r="G1146" s="3">
        <v>1</v>
      </c>
      <c r="H1146" s="6">
        <f>IF('Settings'!$B$11="Scenario",ROUND(E1146*G1146*IFERROR(SUMIF('Pricing &amp; promotions'!$A$6:$A$8,L1146,'Pricing &amp; promotions'!$B$6:$B$8)/100,0),2),J1146)</f>
        <v>0.0</v>
      </c>
      <c r="I1146" s="6">
        <f>ROUND((E1146*G1146-H1146)/IF(OR(K1146=TRUE,K1146="TRUE",K1146="YES",K1146=1),1+'Settings'!$B$6/100,1),2)</f>
        <v>15.7</v>
      </c>
      <c r="J1146" s="8">
        <v>0.0</v>
      </c>
      <c r="K1146" s="3" t="inlineStr">
        <is>
          <t xml:space="preserve">TRUE</t>
        </is>
      </c>
      <c r="L1146" s="3"/>
      <c r="M1146" s="6">
        <f>ROUND(E1146*G1146-H1146,2)</f>
        <v>19.0</v>
      </c>
      <c r="N1146" s="5">
        <f>IF(COUNTIF($A$3:A1146,A1146)=1,1,0)</f>
        <v>1</v>
      </c>
      <c r="O1146" s="6">
        <f>IF(N1146=1,ROUND((SUMIFS($M$3:$M$1200,$A$3:$A$1200,A1146)+'Settings'!$B$13)*'Settings'!$B$14/100+'Settings'!$B$15,2),0)</f>
        <v>2.12</v>
      </c>
    </row>
    <row r="1147">
      <c r="A1147" s="3" t="inlineStr">
        <is>
          <t xml:space="preserve">#1842</t>
        </is>
      </c>
      <c r="B1147" s="3" t="inlineStr">
        <is>
          <t xml:space="preserve">2026-10-17</t>
        </is>
      </c>
      <c r="C1147" s="3" t="inlineStr">
        <is>
          <t xml:space="preserve">SKU-F</t>
        </is>
      </c>
      <c r="D1147" s="3" t="inlineStr">
        <is>
          <t xml:space="preserve">Cloud Cleanser</t>
        </is>
      </c>
      <c r="E1147" s="6">
        <f>IF('Settings'!$B$11="Scenario",IFERROR(INDEX('Catalogue'!$E$3:$E$100,MATCH(C1147,'Catalogue'!$B$3:$B$100,0)),F1147),F1147)</f>
        <v>34</v>
      </c>
      <c r="F1147" s="8">
        <v>34</v>
      </c>
      <c r="G1147" s="3">
        <v>1</v>
      </c>
      <c r="H1147" s="6">
        <f>IF('Settings'!$B$11="Scenario",ROUND(E1147*G1147*IFERROR(SUMIF('Pricing &amp; promotions'!$A$6:$A$8,L1147,'Pricing &amp; promotions'!$B$6:$B$8)/100,0),2),J1147)</f>
        <v>0.0</v>
      </c>
      <c r="I1147" s="6">
        <f>ROUND((E1147*G1147-H1147)/IF(OR(K1147=TRUE,K1147="TRUE",K1147="YES",K1147=1),1+'Settings'!$B$6/100,1),2)</f>
        <v>28.1</v>
      </c>
      <c r="J1147" s="8">
        <v>0.0</v>
      </c>
      <c r="K1147" s="3" t="inlineStr">
        <is>
          <t xml:space="preserve">TRUE</t>
        </is>
      </c>
      <c r="L1147" s="3"/>
      <c r="M1147" s="6">
        <f>ROUND(E1147*G1147-H1147,2)</f>
        <v>34.0</v>
      </c>
      <c r="N1147" s="5">
        <f>IF(COUNTIF($A$3:A1147,A1147)=1,1,0)</f>
        <v>0</v>
      </c>
      <c r="O1147" s="6">
        <f>IF(N1147=1,ROUND((SUMIFS($M$3:$M$1200,$A$3:$A$1200,A1147)+'Settings'!$B$13)*'Settings'!$B$14/100+'Settings'!$B$15,2),0)</f>
        <v>0</v>
      </c>
    </row>
    <row r="1148">
      <c r="A1148" s="3" t="inlineStr">
        <is>
          <t xml:space="preserve">#1842</t>
        </is>
      </c>
      <c r="B1148" s="3" t="inlineStr">
        <is>
          <t xml:space="preserve">2026-10-17</t>
        </is>
      </c>
      <c r="C1148" s="3" t="inlineStr">
        <is>
          <t xml:space="preserve">SKU-G</t>
        </is>
      </c>
      <c r="D1148" s="3" t="inlineStr">
        <is>
          <t xml:space="preserve">Daily Reset Set</t>
        </is>
      </c>
      <c r="E1148" s="6">
        <f>IF('Settings'!$B$11="Scenario",IFERROR(INDEX('Catalogue'!$E$3:$E$100,MATCH(C1148,'Catalogue'!$B$3:$B$100,0)),F1148),F1148)</f>
        <v>69</v>
      </c>
      <c r="F1148" s="8">
        <v>69</v>
      </c>
      <c r="G1148" s="3">
        <v>1</v>
      </c>
      <c r="H1148" s="6">
        <f>IF('Settings'!$B$11="Scenario",ROUND(E1148*G1148*IFERROR(SUMIF('Pricing &amp; promotions'!$A$6:$A$8,L1148,'Pricing &amp; promotions'!$B$6:$B$8)/100,0),2),J1148)</f>
        <v>0.0</v>
      </c>
      <c r="I1148" s="6">
        <f>ROUND((E1148*G1148-H1148)/IF(OR(K1148=TRUE,K1148="TRUE",K1148="YES",K1148=1),1+'Settings'!$B$6/100,1),2)</f>
        <v>57.02</v>
      </c>
      <c r="J1148" s="8">
        <v>0.0</v>
      </c>
      <c r="K1148" s="3" t="inlineStr">
        <is>
          <t xml:space="preserve">TRUE</t>
        </is>
      </c>
      <c r="L1148" s="3"/>
      <c r="M1148" s="6">
        <f>ROUND(E1148*G1148-H1148,2)</f>
        <v>69.0</v>
      </c>
      <c r="N1148" s="5">
        <f>IF(COUNTIF($A$3:A1148,A1148)=1,1,0)</f>
        <v>0</v>
      </c>
      <c r="O1148" s="6">
        <f>IF(N1148=1,ROUND((SUMIFS($M$3:$M$1200,$A$3:$A$1200,A1148)+'Settings'!$B$13)*'Settings'!$B$14/100+'Settings'!$B$15,2),0)</f>
        <v>0</v>
      </c>
    </row>
    <row r="1149">
      <c r="A1149" s="3" t="inlineStr">
        <is>
          <t xml:space="preserve">#1843</t>
        </is>
      </c>
      <c r="B1149" s="3" t="inlineStr">
        <is>
          <t xml:space="preserve">2026-10-17</t>
        </is>
      </c>
      <c r="C1149" s="3" t="inlineStr">
        <is>
          <t xml:space="preserve">SKU-C</t>
        </is>
      </c>
      <c r="D1149" s="3" t="inlineStr">
        <is>
          <t xml:space="preserve">Contour Stone</t>
        </is>
      </c>
      <c r="E1149" s="6">
        <f>IF('Settings'!$B$11="Scenario",IFERROR(INDEX('Catalogue'!$E$3:$E$100,MATCH(C1149,'Catalogue'!$B$3:$B$100,0)),F1149),F1149)</f>
        <v>29</v>
      </c>
      <c r="F1149" s="8">
        <v>29</v>
      </c>
      <c r="G1149" s="3">
        <v>1</v>
      </c>
      <c r="H1149" s="6">
        <f>IF('Settings'!$B$11="Scenario",ROUND(E1149*G1149*IFERROR(SUMIF('Pricing &amp; promotions'!$A$6:$A$8,L1149,'Pricing &amp; promotions'!$B$6:$B$8)/100,0),2),J1149)</f>
        <v>2.9</v>
      </c>
      <c r="I1149" s="6">
        <f>ROUND((E1149*G1149-H1149)/IF(OR(K1149=TRUE,K1149="TRUE",K1149="YES",K1149=1),1+'Settings'!$B$6/100,1),2)</f>
        <v>21.57</v>
      </c>
      <c r="J1149" s="8">
        <v>2.9</v>
      </c>
      <c r="K1149" s="3" t="inlineStr">
        <is>
          <t xml:space="preserve">TRUE</t>
        </is>
      </c>
      <c r="L1149" s="3" t="inlineStr">
        <is>
          <t xml:space="preserve">WELCOME10</t>
        </is>
      </c>
      <c r="M1149" s="6">
        <f>ROUND(E1149*G1149-H1149,2)</f>
        <v>26.1</v>
      </c>
      <c r="N1149" s="5">
        <f>IF(COUNTIF($A$3:A1149,A1149)=1,1,0)</f>
        <v>1</v>
      </c>
      <c r="O1149" s="6">
        <f>IF(N1149=1,ROUND((SUMIFS($M$3:$M$1200,$A$3:$A$1200,A1149)+'Settings'!$B$13)*'Settings'!$B$14/100+'Settings'!$B$15,2),0)</f>
        <v>0.69</v>
      </c>
    </row>
    <row r="1150">
      <c r="A1150" s="3" t="inlineStr">
        <is>
          <t xml:space="preserve">#1844</t>
        </is>
      </c>
      <c r="B1150" s="3" t="inlineStr">
        <is>
          <t xml:space="preserve">2026-10-17</t>
        </is>
      </c>
      <c r="C1150" s="3" t="inlineStr">
        <is>
          <t xml:space="preserve">SKU-D</t>
        </is>
      </c>
      <c r="D1150" s="3" t="inlineStr">
        <is>
          <t xml:space="preserve">Daily Duo</t>
        </is>
      </c>
      <c r="E1150" s="6">
        <f>IF('Settings'!$B$11="Scenario",IFERROR(INDEX('Catalogue'!$E$3:$E$100,MATCH(C1150,'Catalogue'!$B$3:$B$100,0)),F1150),F1150)</f>
        <v>79</v>
      </c>
      <c r="F1150" s="8">
        <v>79</v>
      </c>
      <c r="G1150" s="3">
        <v>1</v>
      </c>
      <c r="H1150" s="6">
        <f>IF('Settings'!$B$11="Scenario",ROUND(E1150*G1150*IFERROR(SUMIF('Pricing &amp; promotions'!$A$6:$A$8,L1150,'Pricing &amp; promotions'!$B$6:$B$8)/100,0),2),J1150)</f>
        <v>0.0</v>
      </c>
      <c r="I1150" s="6">
        <f>ROUND((E1150*G1150-H1150)/IF(OR(K1150=TRUE,K1150="TRUE",K1150="YES",K1150=1),1+'Settings'!$B$6/100,1),2)</f>
        <v>65.29</v>
      </c>
      <c r="J1150" s="8">
        <v>0.0</v>
      </c>
      <c r="K1150" s="3" t="inlineStr">
        <is>
          <t xml:space="preserve">TRUE</t>
        </is>
      </c>
      <c r="L1150" s="3"/>
      <c r="M1150" s="6">
        <f>ROUND(E1150*G1150-H1150,2)</f>
        <v>79.0</v>
      </c>
      <c r="N1150" s="5">
        <f>IF(COUNTIF($A$3:A1150,A1150)=1,1,0)</f>
        <v>1</v>
      </c>
      <c r="O1150" s="6">
        <f>IF(N1150=1,ROUND((SUMIFS($M$3:$M$1200,$A$3:$A$1200,A1150)+'Settings'!$B$13)*'Settings'!$B$14/100+'Settings'!$B$15,2),0)</f>
        <v>1.48</v>
      </c>
    </row>
    <row r="1151">
      <c r="A1151" s="3" t="inlineStr">
        <is>
          <t xml:space="preserve">#1845</t>
        </is>
      </c>
      <c r="B1151" s="3" t="inlineStr">
        <is>
          <t xml:space="preserve">2026-10-17</t>
        </is>
      </c>
      <c r="C1151" s="3" t="inlineStr">
        <is>
          <t xml:space="preserve">SKU-A</t>
        </is>
      </c>
      <c r="D1151" s="3" t="inlineStr">
        <is>
          <t xml:space="preserve">Renewal Serum</t>
        </is>
      </c>
      <c r="E1151" s="6">
        <f>IF('Settings'!$B$11="Scenario",IFERROR(INDEX('Catalogue'!$E$3:$E$100,MATCH(C1151,'Catalogue'!$B$3:$B$100,0)),F1151),F1151)</f>
        <v>69.9</v>
      </c>
      <c r="F1151" s="8">
        <v>69.9</v>
      </c>
      <c r="G1151" s="3">
        <v>1</v>
      </c>
      <c r="H1151" s="6">
        <f>IF('Settings'!$B$11="Scenario",ROUND(E1151*G1151*IFERROR(SUMIF('Pricing &amp; promotions'!$A$6:$A$8,L1151,'Pricing &amp; promotions'!$B$6:$B$8)/100,0),2),J1151)</f>
        <v>10.49</v>
      </c>
      <c r="I1151" s="6">
        <f>ROUND((E1151*G1151-H1151)/IF(OR(K1151=TRUE,K1151="TRUE",K1151="YES",K1151=1),1+'Settings'!$B$6/100,1),2)</f>
        <v>49.1</v>
      </c>
      <c r="J1151" s="8">
        <v>10.49</v>
      </c>
      <c r="K1151" s="3" t="inlineStr">
        <is>
          <t xml:space="preserve">TRUE</t>
        </is>
      </c>
      <c r="L1151" s="3" t="inlineStr">
        <is>
          <t xml:space="preserve">SUMMER15</t>
        </is>
      </c>
      <c r="M1151" s="6">
        <f>ROUND(E1151*G1151-H1151,2)</f>
        <v>59.41</v>
      </c>
      <c r="N1151" s="5">
        <f>IF(COUNTIF($A$3:A1151,A1151)=1,1,0)</f>
        <v>1</v>
      </c>
      <c r="O1151" s="6">
        <f>IF(N1151=1,ROUND((SUMIFS($M$3:$M$1200,$A$3:$A$1200,A1151)+'Settings'!$B$13)*'Settings'!$B$14/100+'Settings'!$B$15,2),0)</f>
        <v>1.19</v>
      </c>
    </row>
    <row r="1152">
      <c r="A1152" s="3" t="inlineStr">
        <is>
          <t xml:space="preserve">#1846</t>
        </is>
      </c>
      <c r="B1152" s="3" t="inlineStr">
        <is>
          <t xml:space="preserve">2026-10-18</t>
        </is>
      </c>
      <c r="C1152" s="3" t="inlineStr">
        <is>
          <t xml:space="preserve">SKU-D</t>
        </is>
      </c>
      <c r="D1152" s="3" t="inlineStr">
        <is>
          <t xml:space="preserve">Daily Duo</t>
        </is>
      </c>
      <c r="E1152" s="6">
        <f>IF('Settings'!$B$11="Scenario",IFERROR(INDEX('Catalogue'!$E$3:$E$100,MATCH(C1152,'Catalogue'!$B$3:$B$100,0)),F1152),F1152)</f>
        <v>79</v>
      </c>
      <c r="F1152" s="8">
        <v>79</v>
      </c>
      <c r="G1152" s="3">
        <v>1</v>
      </c>
      <c r="H1152" s="6">
        <f>IF('Settings'!$B$11="Scenario",ROUND(E1152*G1152*IFERROR(SUMIF('Pricing &amp; promotions'!$A$6:$A$8,L1152,'Pricing &amp; promotions'!$B$6:$B$8)/100,0),2),J1152)</f>
        <v>15.8</v>
      </c>
      <c r="I1152" s="6">
        <f>ROUND((E1152*G1152-H1152)/IF(OR(K1152=TRUE,K1152="TRUE",K1152="YES",K1152=1),1+'Settings'!$B$6/100,1),2)</f>
        <v>52.23</v>
      </c>
      <c r="J1152" s="8">
        <v>15.8</v>
      </c>
      <c r="K1152" s="3" t="inlineStr">
        <is>
          <t xml:space="preserve">TRUE</t>
        </is>
      </c>
      <c r="L1152" s="3" t="inlineStr">
        <is>
          <t xml:space="preserve">VIP20</t>
        </is>
      </c>
      <c r="M1152" s="6">
        <f>ROUND(E1152*G1152-H1152,2)</f>
        <v>63.2</v>
      </c>
      <c r="N1152" s="5">
        <f>IF(COUNTIF($A$3:A1152,A1152)=1,1,0)</f>
        <v>1</v>
      </c>
      <c r="O1152" s="6">
        <f>IF(N1152=1,ROUND((SUMIFS($M$3:$M$1200,$A$3:$A$1200,A1152)+'Settings'!$B$13)*'Settings'!$B$14/100+'Settings'!$B$15,2),0)</f>
        <v>1.24</v>
      </c>
    </row>
    <row r="1153">
      <c r="A1153" s="3" t="inlineStr">
        <is>
          <t xml:space="preserve">#1847</t>
        </is>
      </c>
      <c r="B1153" s="3" t="inlineStr">
        <is>
          <t xml:space="preserve">2026-10-18</t>
        </is>
      </c>
      <c r="C1153" s="3" t="inlineStr">
        <is>
          <t xml:space="preserve">SKU-G</t>
        </is>
      </c>
      <c r="D1153" s="3" t="inlineStr">
        <is>
          <t xml:space="preserve">Daily Reset Set</t>
        </is>
      </c>
      <c r="E1153" s="6">
        <f>IF('Settings'!$B$11="Scenario",IFERROR(INDEX('Catalogue'!$E$3:$E$100,MATCH(C1153,'Catalogue'!$B$3:$B$100,0)),F1153),F1153)</f>
        <v>69</v>
      </c>
      <c r="F1153" s="8">
        <v>69</v>
      </c>
      <c r="G1153" s="3">
        <v>1</v>
      </c>
      <c r="H1153" s="6">
        <f>IF('Settings'!$B$11="Scenario",ROUND(E1153*G1153*IFERROR(SUMIF('Pricing &amp; promotions'!$A$6:$A$8,L1153,'Pricing &amp; promotions'!$B$6:$B$8)/100,0),2),J1153)</f>
        <v>6.9</v>
      </c>
      <c r="I1153" s="6">
        <f>ROUND((E1153*G1153-H1153)/IF(OR(K1153=TRUE,K1153="TRUE",K1153="YES",K1153=1),1+'Settings'!$B$6/100,1),2)</f>
        <v>51.32</v>
      </c>
      <c r="J1153" s="8">
        <v>6.9</v>
      </c>
      <c r="K1153" s="3" t="inlineStr">
        <is>
          <t xml:space="preserve">TRUE</t>
        </is>
      </c>
      <c r="L1153" s="3" t="inlineStr">
        <is>
          <t xml:space="preserve">WELCOME10</t>
        </is>
      </c>
      <c r="M1153" s="6">
        <f>ROUND(E1153*G1153-H1153,2)</f>
        <v>62.1</v>
      </c>
      <c r="N1153" s="5">
        <f>IF(COUNTIF($A$3:A1153,A1153)=1,1,0)</f>
        <v>1</v>
      </c>
      <c r="O1153" s="6">
        <f>IF(N1153=1,ROUND((SUMIFS($M$3:$M$1200,$A$3:$A$1200,A1153)+'Settings'!$B$13)*'Settings'!$B$14/100+'Settings'!$B$15,2),0)</f>
        <v>1.23</v>
      </c>
    </row>
    <row r="1154">
      <c r="A1154" s="3" t="inlineStr">
        <is>
          <t xml:space="preserve">#1848</t>
        </is>
      </c>
      <c r="B1154" s="3" t="inlineStr">
        <is>
          <t xml:space="preserve">2026-10-18</t>
        </is>
      </c>
      <c r="C1154" s="3" t="inlineStr">
        <is>
          <t xml:space="preserve">SKU-G</t>
        </is>
      </c>
      <c r="D1154" s="3" t="inlineStr">
        <is>
          <t xml:space="preserve">Daily Reset Set</t>
        </is>
      </c>
      <c r="E1154" s="6">
        <f>IF('Settings'!$B$11="Scenario",IFERROR(INDEX('Catalogue'!$E$3:$E$100,MATCH(C1154,'Catalogue'!$B$3:$B$100,0)),F1154),F1154)</f>
        <v>69</v>
      </c>
      <c r="F1154" s="8">
        <v>69</v>
      </c>
      <c r="G1154" s="3">
        <v>1</v>
      </c>
      <c r="H1154" s="6">
        <f>IF('Settings'!$B$11="Scenario",ROUND(E1154*G1154*IFERROR(SUMIF('Pricing &amp; promotions'!$A$6:$A$8,L1154,'Pricing &amp; promotions'!$B$6:$B$8)/100,0),2),J1154)</f>
        <v>10.35</v>
      </c>
      <c r="I1154" s="6">
        <f>ROUND((E1154*G1154-H1154)/IF(OR(K1154=TRUE,K1154="TRUE",K1154="YES",K1154=1),1+'Settings'!$B$6/100,1),2)</f>
        <v>48.47</v>
      </c>
      <c r="J1154" s="8">
        <v>10.35</v>
      </c>
      <c r="K1154" s="3" t="inlineStr">
        <is>
          <t xml:space="preserve">TRUE</t>
        </is>
      </c>
      <c r="L1154" s="3" t="inlineStr">
        <is>
          <t xml:space="preserve">SUMMER15</t>
        </is>
      </c>
      <c r="M1154" s="6">
        <f>ROUND(E1154*G1154-H1154,2)</f>
        <v>58.65</v>
      </c>
      <c r="N1154" s="5">
        <f>IF(COUNTIF($A$3:A1154,A1154)=1,1,0)</f>
        <v>1</v>
      </c>
      <c r="O1154" s="6">
        <f>IF(N1154=1,ROUND((SUMIFS($M$3:$M$1200,$A$3:$A$1200,A1154)+'Settings'!$B$13)*'Settings'!$B$14/100+'Settings'!$B$15,2),0)</f>
        <v>1.17</v>
      </c>
    </row>
    <row r="1155">
      <c r="A1155" s="3" t="inlineStr">
        <is>
          <t xml:space="preserve">#1849</t>
        </is>
      </c>
      <c r="B1155" s="3" t="inlineStr">
        <is>
          <t xml:space="preserve">2026-10-19</t>
        </is>
      </c>
      <c r="C1155" s="3" t="inlineStr">
        <is>
          <t xml:space="preserve">SKU-E</t>
        </is>
      </c>
      <c r="D1155" s="3" t="inlineStr">
        <is>
          <t xml:space="preserve">Complete Ritual</t>
        </is>
      </c>
      <c r="E1155" s="6">
        <f>IF('Settings'!$B$11="Scenario",IFERROR(INDEX('Catalogue'!$E$3:$E$100,MATCH(C1155,'Catalogue'!$B$3:$B$100,0)),F1155),F1155)</f>
        <v>89</v>
      </c>
      <c r="F1155" s="8">
        <v>89</v>
      </c>
      <c r="G1155" s="3">
        <v>1</v>
      </c>
      <c r="H1155" s="6">
        <f>IF('Settings'!$B$11="Scenario",ROUND(E1155*G1155*IFERROR(SUMIF('Pricing &amp; promotions'!$A$6:$A$8,L1155,'Pricing &amp; promotions'!$B$6:$B$8)/100,0),2),J1155)</f>
        <v>8.9</v>
      </c>
      <c r="I1155" s="6">
        <f>ROUND((E1155*G1155-H1155)/IF(OR(K1155=TRUE,K1155="TRUE",K1155="YES",K1155=1),1+'Settings'!$B$6/100,1),2)</f>
        <v>66.2</v>
      </c>
      <c r="J1155" s="8">
        <v>8.9</v>
      </c>
      <c r="K1155" s="3" t="inlineStr">
        <is>
          <t xml:space="preserve">TRUE</t>
        </is>
      </c>
      <c r="L1155" s="3" t="inlineStr">
        <is>
          <t xml:space="preserve">WELCOME10</t>
        </is>
      </c>
      <c r="M1155" s="6">
        <f>ROUND(E1155*G1155-H1155,2)</f>
        <v>80.1</v>
      </c>
      <c r="N1155" s="5">
        <f>IF(COUNTIF($A$3:A1155,A1155)=1,1,0)</f>
        <v>1</v>
      </c>
      <c r="O1155" s="6">
        <f>IF(N1155=1,ROUND((SUMIFS($M$3:$M$1200,$A$3:$A$1200,A1155)+'Settings'!$B$13)*'Settings'!$B$14/100+'Settings'!$B$15,2),0)</f>
        <v>1.5</v>
      </c>
    </row>
    <row r="1156">
      <c r="A1156" s="3" t="inlineStr">
        <is>
          <t xml:space="preserve">#1850</t>
        </is>
      </c>
      <c r="B1156" s="3" t="inlineStr">
        <is>
          <t xml:space="preserve">2026-10-19</t>
        </is>
      </c>
      <c r="C1156" s="3" t="inlineStr">
        <is>
          <t xml:space="preserve">SKU-D</t>
        </is>
      </c>
      <c r="D1156" s="3" t="inlineStr">
        <is>
          <t xml:space="preserve">Daily Duo</t>
        </is>
      </c>
      <c r="E1156" s="6">
        <f>IF('Settings'!$B$11="Scenario",IFERROR(INDEX('Catalogue'!$E$3:$E$100,MATCH(C1156,'Catalogue'!$B$3:$B$100,0)),F1156),F1156)</f>
        <v>79</v>
      </c>
      <c r="F1156" s="8">
        <v>79</v>
      </c>
      <c r="G1156" s="3">
        <v>2</v>
      </c>
      <c r="H1156" s="6">
        <f>IF('Settings'!$B$11="Scenario",ROUND(E1156*G1156*IFERROR(SUMIF('Pricing &amp; promotions'!$A$6:$A$8,L1156,'Pricing &amp; promotions'!$B$6:$B$8)/100,0),2),J1156)</f>
        <v>15.8</v>
      </c>
      <c r="I1156" s="6">
        <f>ROUND((E1156*G1156-H1156)/IF(OR(K1156=TRUE,K1156="TRUE",K1156="YES",K1156=1),1+'Settings'!$B$6/100,1),2)</f>
        <v>117.52</v>
      </c>
      <c r="J1156" s="8">
        <v>15.8</v>
      </c>
      <c r="K1156" s="3" t="inlineStr">
        <is>
          <t xml:space="preserve">TRUE</t>
        </is>
      </c>
      <c r="L1156" s="3" t="inlineStr">
        <is>
          <t xml:space="preserve">WELCOME10</t>
        </is>
      </c>
      <c r="M1156" s="6">
        <f>ROUND(E1156*G1156-H1156,2)</f>
        <v>142.2</v>
      </c>
      <c r="N1156" s="5">
        <f>IF(COUNTIF($A$3:A1156,A1156)=1,1,0)</f>
        <v>1</v>
      </c>
      <c r="O1156" s="6">
        <f>IF(N1156=1,ROUND((SUMIFS($M$3:$M$1200,$A$3:$A$1200,A1156)+'Settings'!$B$13)*'Settings'!$B$14/100+'Settings'!$B$15,2),0)</f>
        <v>2.43</v>
      </c>
    </row>
    <row r="1157">
      <c r="A1157" s="3" t="inlineStr">
        <is>
          <t xml:space="preserve">#1851</t>
        </is>
      </c>
      <c r="B1157" s="3" t="inlineStr">
        <is>
          <t xml:space="preserve">2026-10-20</t>
        </is>
      </c>
      <c r="C1157" s="3" t="inlineStr">
        <is>
          <t xml:space="preserve">SKU-A</t>
        </is>
      </c>
      <c r="D1157" s="3" t="inlineStr">
        <is>
          <t xml:space="preserve">Renewal Serum</t>
        </is>
      </c>
      <c r="E1157" s="6">
        <f>IF('Settings'!$B$11="Scenario",IFERROR(INDEX('Catalogue'!$E$3:$E$100,MATCH(C1157,'Catalogue'!$B$3:$B$100,0)),F1157),F1157)</f>
        <v>69.9</v>
      </c>
      <c r="F1157" s="8">
        <v>69.9</v>
      </c>
      <c r="G1157" s="3">
        <v>1</v>
      </c>
      <c r="H1157" s="6">
        <f>IF('Settings'!$B$11="Scenario",ROUND(E1157*G1157*IFERROR(SUMIF('Pricing &amp; promotions'!$A$6:$A$8,L1157,'Pricing &amp; promotions'!$B$6:$B$8)/100,0),2),J1157)</f>
        <v>0.0</v>
      </c>
      <c r="I1157" s="6">
        <f>ROUND((E1157*G1157-H1157)/IF(OR(K1157=TRUE,K1157="TRUE",K1157="YES",K1157=1),1+'Settings'!$B$6/100,1),2)</f>
        <v>57.77</v>
      </c>
      <c r="J1157" s="8">
        <v>0.0</v>
      </c>
      <c r="K1157" s="3" t="inlineStr">
        <is>
          <t xml:space="preserve">TRUE</t>
        </is>
      </c>
      <c r="L1157" s="3"/>
      <c r="M1157" s="6">
        <f>ROUND(E1157*G1157-H1157,2)</f>
        <v>69.9</v>
      </c>
      <c r="N1157" s="5">
        <f>IF(COUNTIF($A$3:A1157,A1157)=1,1,0)</f>
        <v>1</v>
      </c>
      <c r="O1157" s="6">
        <f>IF(N1157=1,ROUND((SUMIFS($M$3:$M$1200,$A$3:$A$1200,A1157)+'Settings'!$B$13)*'Settings'!$B$14/100+'Settings'!$B$15,2),0)</f>
        <v>1.34</v>
      </c>
    </row>
    <row r="1158">
      <c r="A1158" s="3" t="inlineStr">
        <is>
          <t xml:space="preserve">#1852</t>
        </is>
      </c>
      <c r="B1158" s="3" t="inlineStr">
        <is>
          <t xml:space="preserve">2026-10-20</t>
        </is>
      </c>
      <c r="C1158" s="3" t="inlineStr">
        <is>
          <t xml:space="preserve">SKU-A</t>
        </is>
      </c>
      <c r="D1158" s="3" t="inlineStr">
        <is>
          <t xml:space="preserve">Renewal Serum</t>
        </is>
      </c>
      <c r="E1158" s="6">
        <f>IF('Settings'!$B$11="Scenario",IFERROR(INDEX('Catalogue'!$E$3:$E$100,MATCH(C1158,'Catalogue'!$B$3:$B$100,0)),F1158),F1158)</f>
        <v>69.9</v>
      </c>
      <c r="F1158" s="8">
        <v>69.9</v>
      </c>
      <c r="G1158" s="3">
        <v>2</v>
      </c>
      <c r="H1158" s="6">
        <f>IF('Settings'!$B$11="Scenario",ROUND(E1158*G1158*IFERROR(SUMIF('Pricing &amp; promotions'!$A$6:$A$8,L1158,'Pricing &amp; promotions'!$B$6:$B$8)/100,0),2),J1158)</f>
        <v>0.0</v>
      </c>
      <c r="I1158" s="6">
        <f>ROUND((E1158*G1158-H1158)/IF(OR(K1158=TRUE,K1158="TRUE",K1158="YES",K1158=1),1+'Settings'!$B$6/100,1),2)</f>
        <v>115.54</v>
      </c>
      <c r="J1158" s="8">
        <v>0.0</v>
      </c>
      <c r="K1158" s="3" t="inlineStr">
        <is>
          <t xml:space="preserve">TRUE</t>
        </is>
      </c>
      <c r="L1158" s="3"/>
      <c r="M1158" s="6">
        <f>ROUND(E1158*G1158-H1158,2)</f>
        <v>139.8</v>
      </c>
      <c r="N1158" s="5">
        <f>IF(COUNTIF($A$3:A1158,A1158)=1,1,0)</f>
        <v>1</v>
      </c>
      <c r="O1158" s="6">
        <f>IF(N1158=1,ROUND((SUMIFS($M$3:$M$1200,$A$3:$A$1200,A1158)+'Settings'!$B$13)*'Settings'!$B$14/100+'Settings'!$B$15,2),0)</f>
        <v>2.39</v>
      </c>
    </row>
    <row r="1159">
      <c r="A1159" s="3" t="inlineStr">
        <is>
          <t xml:space="preserve">#1853</t>
        </is>
      </c>
      <c r="B1159" s="3" t="inlineStr">
        <is>
          <t xml:space="preserve">2026-10-20</t>
        </is>
      </c>
      <c r="C1159" s="3" t="inlineStr">
        <is>
          <t xml:space="preserve">SKU-B</t>
        </is>
      </c>
      <c r="D1159" s="3" t="inlineStr">
        <is>
          <t xml:space="preserve">Barrier Balm</t>
        </is>
      </c>
      <c r="E1159" s="6">
        <f>IF('Settings'!$B$11="Scenario",IFERROR(INDEX('Catalogue'!$E$3:$E$100,MATCH(C1159,'Catalogue'!$B$3:$B$100,0)),F1159),F1159)</f>
        <v>19</v>
      </c>
      <c r="F1159" s="8">
        <v>19</v>
      </c>
      <c r="G1159" s="3">
        <v>2</v>
      </c>
      <c r="H1159" s="6">
        <f>IF('Settings'!$B$11="Scenario",ROUND(E1159*G1159*IFERROR(SUMIF('Pricing &amp; promotions'!$A$6:$A$8,L1159,'Pricing &amp; promotions'!$B$6:$B$8)/100,0),2),J1159)</f>
        <v>7.6</v>
      </c>
      <c r="I1159" s="6">
        <f>ROUND((E1159*G1159-H1159)/IF(OR(K1159=TRUE,K1159="TRUE",K1159="YES",K1159=1),1+'Settings'!$B$6/100,1),2)</f>
        <v>25.12</v>
      </c>
      <c r="J1159" s="8">
        <v>7.6</v>
      </c>
      <c r="K1159" s="3" t="inlineStr">
        <is>
          <t xml:space="preserve">TRUE</t>
        </is>
      </c>
      <c r="L1159" s="3" t="inlineStr">
        <is>
          <t xml:space="preserve">VIP20</t>
        </is>
      </c>
      <c r="M1159" s="6">
        <f>ROUND(E1159*G1159-H1159,2)</f>
        <v>30.4</v>
      </c>
      <c r="N1159" s="5">
        <f>IF(COUNTIF($A$3:A1159,A1159)=1,1,0)</f>
        <v>1</v>
      </c>
      <c r="O1159" s="6">
        <f>IF(N1159=1,ROUND((SUMIFS($M$3:$M$1200,$A$3:$A$1200,A1159)+'Settings'!$B$13)*'Settings'!$B$14/100+'Settings'!$B$15,2),0)</f>
        <v>1.59</v>
      </c>
    </row>
    <row r="1160">
      <c r="A1160" s="3" t="inlineStr">
        <is>
          <t xml:space="preserve">#1853</t>
        </is>
      </c>
      <c r="B1160" s="3" t="inlineStr">
        <is>
          <t xml:space="preserve">2026-10-20</t>
        </is>
      </c>
      <c r="C1160" s="3" t="inlineStr">
        <is>
          <t xml:space="preserve">SKU-A</t>
        </is>
      </c>
      <c r="D1160" s="3" t="inlineStr">
        <is>
          <t xml:space="preserve">Renewal Serum</t>
        </is>
      </c>
      <c r="E1160" s="6">
        <f>IF('Settings'!$B$11="Scenario",IFERROR(INDEX('Catalogue'!$E$3:$E$100,MATCH(C1160,'Catalogue'!$B$3:$B$100,0)),F1160),F1160)</f>
        <v>69.9</v>
      </c>
      <c r="F1160" s="8">
        <v>69.9</v>
      </c>
      <c r="G1160" s="3">
        <v>1</v>
      </c>
      <c r="H1160" s="6">
        <f>IF('Settings'!$B$11="Scenario",ROUND(E1160*G1160*IFERROR(SUMIF('Pricing &amp; promotions'!$A$6:$A$8,L1160,'Pricing &amp; promotions'!$B$6:$B$8)/100,0),2),J1160)</f>
        <v>13.98</v>
      </c>
      <c r="I1160" s="6">
        <f>ROUND((E1160*G1160-H1160)/IF(OR(K1160=TRUE,K1160="TRUE",K1160="YES",K1160=1),1+'Settings'!$B$6/100,1),2)</f>
        <v>46.21</v>
      </c>
      <c r="J1160" s="8">
        <v>13.98</v>
      </c>
      <c r="K1160" s="3" t="inlineStr">
        <is>
          <t xml:space="preserve">TRUE</t>
        </is>
      </c>
      <c r="L1160" s="3" t="inlineStr">
        <is>
          <t xml:space="preserve">VIP20</t>
        </is>
      </c>
      <c r="M1160" s="6">
        <f>ROUND(E1160*G1160-H1160,2)</f>
        <v>55.92</v>
      </c>
      <c r="N1160" s="5">
        <f>IF(COUNTIF($A$3:A1160,A1160)=1,1,0)</f>
        <v>0</v>
      </c>
      <c r="O1160" s="6">
        <f>IF(N1160=1,ROUND((SUMIFS($M$3:$M$1200,$A$3:$A$1200,A1160)+'Settings'!$B$13)*'Settings'!$B$14/100+'Settings'!$B$15,2),0)</f>
        <v>0</v>
      </c>
    </row>
    <row r="1161">
      <c r="A1161" s="3" t="inlineStr">
        <is>
          <t xml:space="preserve">#1854</t>
        </is>
      </c>
      <c r="B1161" s="3" t="inlineStr">
        <is>
          <t xml:space="preserve">2026-10-20</t>
        </is>
      </c>
      <c r="C1161" s="3" t="inlineStr">
        <is>
          <t xml:space="preserve">SKU-D</t>
        </is>
      </c>
      <c r="D1161" s="3" t="inlineStr">
        <is>
          <t xml:space="preserve">Daily Duo</t>
        </is>
      </c>
      <c r="E1161" s="6">
        <f>IF('Settings'!$B$11="Scenario",IFERROR(INDEX('Catalogue'!$E$3:$E$100,MATCH(C1161,'Catalogue'!$B$3:$B$100,0)),F1161),F1161)</f>
        <v>79</v>
      </c>
      <c r="F1161" s="8">
        <v>79</v>
      </c>
      <c r="G1161" s="3">
        <v>1</v>
      </c>
      <c r="H1161" s="6">
        <f>IF('Settings'!$B$11="Scenario",ROUND(E1161*G1161*IFERROR(SUMIF('Pricing &amp; promotions'!$A$6:$A$8,L1161,'Pricing &amp; promotions'!$B$6:$B$8)/100,0),2),J1161)</f>
        <v>7.9</v>
      </c>
      <c r="I1161" s="6">
        <f>ROUND((E1161*G1161-H1161)/IF(OR(K1161=TRUE,K1161="TRUE",K1161="YES",K1161=1),1+'Settings'!$B$6/100,1),2)</f>
        <v>58.76</v>
      </c>
      <c r="J1161" s="8">
        <v>7.9</v>
      </c>
      <c r="K1161" s="3" t="inlineStr">
        <is>
          <t xml:space="preserve">TRUE</t>
        </is>
      </c>
      <c r="L1161" s="3" t="inlineStr">
        <is>
          <t xml:space="preserve">WELCOME10</t>
        </is>
      </c>
      <c r="M1161" s="6">
        <f>ROUND(E1161*G1161-H1161,2)</f>
        <v>71.1</v>
      </c>
      <c r="N1161" s="5">
        <f>IF(COUNTIF($A$3:A1161,A1161)=1,1,0)</f>
        <v>1</v>
      </c>
      <c r="O1161" s="6">
        <f>IF(N1161=1,ROUND((SUMIFS($M$3:$M$1200,$A$3:$A$1200,A1161)+'Settings'!$B$13)*'Settings'!$B$14/100+'Settings'!$B$15,2),0)</f>
        <v>1.36</v>
      </c>
    </row>
    <row r="1162">
      <c r="A1162" s="3" t="inlineStr">
        <is>
          <t xml:space="preserve">#1855</t>
        </is>
      </c>
      <c r="B1162" s="3" t="inlineStr">
        <is>
          <t xml:space="preserve">2026-10-20</t>
        </is>
      </c>
      <c r="C1162" s="3" t="inlineStr">
        <is>
          <t xml:space="preserve">SKU-E</t>
        </is>
      </c>
      <c r="D1162" s="3" t="inlineStr">
        <is>
          <t xml:space="preserve">Complete Ritual</t>
        </is>
      </c>
      <c r="E1162" s="6">
        <f>IF('Settings'!$B$11="Scenario",IFERROR(INDEX('Catalogue'!$E$3:$E$100,MATCH(C1162,'Catalogue'!$B$3:$B$100,0)),F1162),F1162)</f>
        <v>89</v>
      </c>
      <c r="F1162" s="8">
        <v>89</v>
      </c>
      <c r="G1162" s="3">
        <v>2</v>
      </c>
      <c r="H1162" s="6">
        <f>IF('Settings'!$B$11="Scenario",ROUND(E1162*G1162*IFERROR(SUMIF('Pricing &amp; promotions'!$A$6:$A$8,L1162,'Pricing &amp; promotions'!$B$6:$B$8)/100,0),2),J1162)</f>
        <v>0.0</v>
      </c>
      <c r="I1162" s="6">
        <f>ROUND((E1162*G1162-H1162)/IF(OR(K1162=TRUE,K1162="TRUE",K1162="YES",K1162=1),1+'Settings'!$B$6/100,1),2)</f>
        <v>147.11</v>
      </c>
      <c r="J1162" s="8">
        <v>0.0</v>
      </c>
      <c r="K1162" s="3" t="inlineStr">
        <is>
          <t xml:space="preserve">TRUE</t>
        </is>
      </c>
      <c r="L1162" s="3"/>
      <c r="M1162" s="6">
        <f>ROUND(E1162*G1162-H1162,2)</f>
        <v>178.0</v>
      </c>
      <c r="N1162" s="5">
        <f>IF(COUNTIF($A$3:A1162,A1162)=1,1,0)</f>
        <v>1</v>
      </c>
      <c r="O1162" s="6">
        <f>IF(N1162=1,ROUND((SUMIFS($M$3:$M$1200,$A$3:$A$1200,A1162)+'Settings'!$B$13)*'Settings'!$B$14/100+'Settings'!$B$15,2),0)</f>
        <v>2.96</v>
      </c>
    </row>
    <row r="1163">
      <c r="A1163" s="3" t="inlineStr">
        <is>
          <t xml:space="preserve">#1856</t>
        </is>
      </c>
      <c r="B1163" s="3" t="inlineStr">
        <is>
          <t xml:space="preserve">2026-10-20</t>
        </is>
      </c>
      <c r="C1163" s="3" t="inlineStr">
        <is>
          <t xml:space="preserve">SKU-A</t>
        </is>
      </c>
      <c r="D1163" s="3" t="inlineStr">
        <is>
          <t xml:space="preserve">Renewal Serum</t>
        </is>
      </c>
      <c r="E1163" s="6">
        <f>IF('Settings'!$B$11="Scenario",IFERROR(INDEX('Catalogue'!$E$3:$E$100,MATCH(C1163,'Catalogue'!$B$3:$B$100,0)),F1163),F1163)</f>
        <v>69.9</v>
      </c>
      <c r="F1163" s="8">
        <v>69.9</v>
      </c>
      <c r="G1163" s="3">
        <v>2</v>
      </c>
      <c r="H1163" s="6">
        <f>IF('Settings'!$B$11="Scenario",ROUND(E1163*G1163*IFERROR(SUMIF('Pricing &amp; promotions'!$A$6:$A$8,L1163,'Pricing &amp; promotions'!$B$6:$B$8)/100,0),2),J1163)</f>
        <v>13.98</v>
      </c>
      <c r="I1163" s="6">
        <f>ROUND((E1163*G1163-H1163)/IF(OR(K1163=TRUE,K1163="TRUE",K1163="YES",K1163=1),1+'Settings'!$B$6/100,1),2)</f>
        <v>103.98</v>
      </c>
      <c r="J1163" s="8">
        <v>13.98</v>
      </c>
      <c r="K1163" s="3" t="inlineStr">
        <is>
          <t xml:space="preserve">TRUE</t>
        </is>
      </c>
      <c r="L1163" s="3" t="inlineStr">
        <is>
          <t xml:space="preserve">WELCOME10</t>
        </is>
      </c>
      <c r="M1163" s="6">
        <f>ROUND(E1163*G1163-H1163,2)</f>
        <v>125.82</v>
      </c>
      <c r="N1163" s="5">
        <f>IF(COUNTIF($A$3:A1163,A1163)=1,1,0)</f>
        <v>1</v>
      </c>
      <c r="O1163" s="6">
        <f>IF(N1163=1,ROUND((SUMIFS($M$3:$M$1200,$A$3:$A$1200,A1163)+'Settings'!$B$13)*'Settings'!$B$14/100+'Settings'!$B$15,2),0)</f>
        <v>2.18</v>
      </c>
    </row>
    <row r="1164">
      <c r="A1164" s="3" t="inlineStr">
        <is>
          <t xml:space="preserve">#1857</t>
        </is>
      </c>
      <c r="B1164" s="3" t="inlineStr">
        <is>
          <t xml:space="preserve">2026-10-22</t>
        </is>
      </c>
      <c r="C1164" s="3" t="inlineStr">
        <is>
          <t xml:space="preserve">SKU-D</t>
        </is>
      </c>
      <c r="D1164" s="3" t="inlineStr">
        <is>
          <t xml:space="preserve">Daily Duo</t>
        </is>
      </c>
      <c r="E1164" s="6">
        <f>IF('Settings'!$B$11="Scenario",IFERROR(INDEX('Catalogue'!$E$3:$E$100,MATCH(C1164,'Catalogue'!$B$3:$B$100,0)),F1164),F1164)</f>
        <v>79</v>
      </c>
      <c r="F1164" s="8">
        <v>79</v>
      </c>
      <c r="G1164" s="3">
        <v>1</v>
      </c>
      <c r="H1164" s="6">
        <f>IF('Settings'!$B$11="Scenario",ROUND(E1164*G1164*IFERROR(SUMIF('Pricing &amp; promotions'!$A$6:$A$8,L1164,'Pricing &amp; promotions'!$B$6:$B$8)/100,0),2),J1164)</f>
        <v>0.0</v>
      </c>
      <c r="I1164" s="6">
        <f>ROUND((E1164*G1164-H1164)/IF(OR(K1164=TRUE,K1164="TRUE",K1164="YES",K1164=1),1+'Settings'!$B$6/100,1),2)</f>
        <v>65.29</v>
      </c>
      <c r="J1164" s="8">
        <v>0.0</v>
      </c>
      <c r="K1164" s="3" t="inlineStr">
        <is>
          <t xml:space="preserve">TRUE</t>
        </is>
      </c>
      <c r="L1164" s="3"/>
      <c r="M1164" s="6">
        <f>ROUND(E1164*G1164-H1164,2)</f>
        <v>79.0</v>
      </c>
      <c r="N1164" s="5">
        <f>IF(COUNTIF($A$3:A1164,A1164)=1,1,0)</f>
        <v>1</v>
      </c>
      <c r="O1164" s="6">
        <f>IF(N1164=1,ROUND((SUMIFS($M$3:$M$1200,$A$3:$A$1200,A1164)+'Settings'!$B$13)*'Settings'!$B$14/100+'Settings'!$B$15,2),0)</f>
        <v>1.48</v>
      </c>
    </row>
    <row r="1165">
      <c r="A1165" s="3" t="inlineStr">
        <is>
          <t xml:space="preserve">#1858</t>
        </is>
      </c>
      <c r="B1165" s="3" t="inlineStr">
        <is>
          <t xml:space="preserve">2026-10-22</t>
        </is>
      </c>
      <c r="C1165" s="3" t="inlineStr">
        <is>
          <t xml:space="preserve">SKU-E</t>
        </is>
      </c>
      <c r="D1165" s="3" t="inlineStr">
        <is>
          <t xml:space="preserve">Complete Ritual</t>
        </is>
      </c>
      <c r="E1165" s="6">
        <f>IF('Settings'!$B$11="Scenario",IFERROR(INDEX('Catalogue'!$E$3:$E$100,MATCH(C1165,'Catalogue'!$B$3:$B$100,0)),F1165),F1165)</f>
        <v>89</v>
      </c>
      <c r="F1165" s="8">
        <v>89</v>
      </c>
      <c r="G1165" s="3">
        <v>1</v>
      </c>
      <c r="H1165" s="6">
        <f>IF('Settings'!$B$11="Scenario",ROUND(E1165*G1165*IFERROR(SUMIF('Pricing &amp; promotions'!$A$6:$A$8,L1165,'Pricing &amp; promotions'!$B$6:$B$8)/100,0),2),J1165)</f>
        <v>17.8</v>
      </c>
      <c r="I1165" s="6">
        <f>ROUND((E1165*G1165-H1165)/IF(OR(K1165=TRUE,K1165="TRUE",K1165="YES",K1165=1),1+'Settings'!$B$6/100,1),2)</f>
        <v>58.84</v>
      </c>
      <c r="J1165" s="8">
        <v>17.8</v>
      </c>
      <c r="K1165" s="3" t="inlineStr">
        <is>
          <t xml:space="preserve">TRUE</t>
        </is>
      </c>
      <c r="L1165" s="3" t="inlineStr">
        <is>
          <t xml:space="preserve">VIP20</t>
        </is>
      </c>
      <c r="M1165" s="6">
        <f>ROUND(E1165*G1165-H1165,2)</f>
        <v>71.2</v>
      </c>
      <c r="N1165" s="5">
        <f>IF(COUNTIF($A$3:A1165,A1165)=1,1,0)</f>
        <v>1</v>
      </c>
      <c r="O1165" s="6">
        <f>IF(N1165=1,ROUND((SUMIFS($M$3:$M$1200,$A$3:$A$1200,A1165)+'Settings'!$B$13)*'Settings'!$B$14/100+'Settings'!$B$15,2),0)</f>
        <v>2.2</v>
      </c>
    </row>
    <row r="1166">
      <c r="A1166" s="3" t="inlineStr">
        <is>
          <t xml:space="preserve">#1858</t>
        </is>
      </c>
      <c r="B1166" s="3" t="inlineStr">
        <is>
          <t xml:space="preserve">2026-10-22</t>
        </is>
      </c>
      <c r="C1166" s="3" t="inlineStr">
        <is>
          <t xml:space="preserve">SKU-A</t>
        </is>
      </c>
      <c r="D1166" s="3" t="inlineStr">
        <is>
          <t xml:space="preserve">Renewal Serum</t>
        </is>
      </c>
      <c r="E1166" s="6">
        <f>IF('Settings'!$B$11="Scenario",IFERROR(INDEX('Catalogue'!$E$3:$E$100,MATCH(C1166,'Catalogue'!$B$3:$B$100,0)),F1166),F1166)</f>
        <v>69.9</v>
      </c>
      <c r="F1166" s="8">
        <v>69.9</v>
      </c>
      <c r="G1166" s="3">
        <v>1</v>
      </c>
      <c r="H1166" s="6">
        <f>IF('Settings'!$B$11="Scenario",ROUND(E1166*G1166*IFERROR(SUMIF('Pricing &amp; promotions'!$A$6:$A$8,L1166,'Pricing &amp; promotions'!$B$6:$B$8)/100,0),2),J1166)</f>
        <v>13.98</v>
      </c>
      <c r="I1166" s="6">
        <f>ROUND((E1166*G1166-H1166)/IF(OR(K1166=TRUE,K1166="TRUE",K1166="YES",K1166=1),1+'Settings'!$B$6/100,1),2)</f>
        <v>46.21</v>
      </c>
      <c r="J1166" s="8">
        <v>13.98</v>
      </c>
      <c r="K1166" s="3" t="inlineStr">
        <is>
          <t xml:space="preserve">TRUE</t>
        </is>
      </c>
      <c r="L1166" s="3" t="inlineStr">
        <is>
          <t xml:space="preserve">VIP20</t>
        </is>
      </c>
      <c r="M1166" s="6">
        <f>ROUND(E1166*G1166-H1166,2)</f>
        <v>55.92</v>
      </c>
      <c r="N1166" s="5">
        <f>IF(COUNTIF($A$3:A1166,A1166)=1,1,0)</f>
        <v>0</v>
      </c>
      <c r="O1166" s="6">
        <f>IF(N1166=1,ROUND((SUMIFS($M$3:$M$1200,$A$3:$A$1200,A1166)+'Settings'!$B$13)*'Settings'!$B$14/100+'Settings'!$B$15,2),0)</f>
        <v>0</v>
      </c>
    </row>
    <row r="1167">
      <c r="A1167" s="3" t="inlineStr">
        <is>
          <t xml:space="preserve">#1859</t>
        </is>
      </c>
      <c r="B1167" s="3" t="inlineStr">
        <is>
          <t xml:space="preserve">2026-10-22</t>
        </is>
      </c>
      <c r="C1167" s="3" t="inlineStr">
        <is>
          <t xml:space="preserve">SKU-G</t>
        </is>
      </c>
      <c r="D1167" s="3" t="inlineStr">
        <is>
          <t xml:space="preserve">Daily Reset Set</t>
        </is>
      </c>
      <c r="E1167" s="6">
        <f>IF('Settings'!$B$11="Scenario",IFERROR(INDEX('Catalogue'!$E$3:$E$100,MATCH(C1167,'Catalogue'!$B$3:$B$100,0)),F1167),F1167)</f>
        <v>69</v>
      </c>
      <c r="F1167" s="8">
        <v>69</v>
      </c>
      <c r="G1167" s="3">
        <v>1</v>
      </c>
      <c r="H1167" s="6">
        <f>IF('Settings'!$B$11="Scenario",ROUND(E1167*G1167*IFERROR(SUMIF('Pricing &amp; promotions'!$A$6:$A$8,L1167,'Pricing &amp; promotions'!$B$6:$B$8)/100,0),2),J1167)</f>
        <v>0.0</v>
      </c>
      <c r="I1167" s="6">
        <f>ROUND((E1167*G1167-H1167)/IF(OR(K1167=TRUE,K1167="TRUE",K1167="YES",K1167=1),1+'Settings'!$B$6/100,1),2)</f>
        <v>57.02</v>
      </c>
      <c r="J1167" s="8">
        <v>0.0</v>
      </c>
      <c r="K1167" s="3" t="inlineStr">
        <is>
          <t xml:space="preserve">TRUE</t>
        </is>
      </c>
      <c r="L1167" s="3"/>
      <c r="M1167" s="6">
        <f>ROUND(E1167*G1167-H1167,2)</f>
        <v>69.0</v>
      </c>
      <c r="N1167" s="5">
        <f>IF(COUNTIF($A$3:A1167,A1167)=1,1,0)</f>
        <v>1</v>
      </c>
      <c r="O1167" s="6">
        <f>IF(N1167=1,ROUND((SUMIFS($M$3:$M$1200,$A$3:$A$1200,A1167)+'Settings'!$B$13)*'Settings'!$B$14/100+'Settings'!$B$15,2),0)</f>
        <v>2.51</v>
      </c>
    </row>
    <row r="1168">
      <c r="A1168" s="3" t="inlineStr">
        <is>
          <t xml:space="preserve">#1859</t>
        </is>
      </c>
      <c r="B1168" s="3" t="inlineStr">
        <is>
          <t xml:space="preserve">2026-10-22</t>
        </is>
      </c>
      <c r="C1168" s="3" t="inlineStr">
        <is>
          <t xml:space="preserve">SKU-D</t>
        </is>
      </c>
      <c r="D1168" s="3" t="inlineStr">
        <is>
          <t xml:space="preserve">Daily Duo</t>
        </is>
      </c>
      <c r="E1168" s="6">
        <f>IF('Settings'!$B$11="Scenario",IFERROR(INDEX('Catalogue'!$E$3:$E$100,MATCH(C1168,'Catalogue'!$B$3:$B$100,0)),F1168),F1168)</f>
        <v>79</v>
      </c>
      <c r="F1168" s="8">
        <v>79</v>
      </c>
      <c r="G1168" s="3">
        <v>1</v>
      </c>
      <c r="H1168" s="6">
        <f>IF('Settings'!$B$11="Scenario",ROUND(E1168*G1168*IFERROR(SUMIF('Pricing &amp; promotions'!$A$6:$A$8,L1168,'Pricing &amp; promotions'!$B$6:$B$8)/100,0),2),J1168)</f>
        <v>0.0</v>
      </c>
      <c r="I1168" s="6">
        <f>ROUND((E1168*G1168-H1168)/IF(OR(K1168=TRUE,K1168="TRUE",K1168="YES",K1168=1),1+'Settings'!$B$6/100,1),2)</f>
        <v>65.29</v>
      </c>
      <c r="J1168" s="8">
        <v>0.0</v>
      </c>
      <c r="K1168" s="3" t="inlineStr">
        <is>
          <t xml:space="preserve">TRUE</t>
        </is>
      </c>
      <c r="L1168" s="3"/>
      <c r="M1168" s="6">
        <f>ROUND(E1168*G1168-H1168,2)</f>
        <v>79.0</v>
      </c>
      <c r="N1168" s="5">
        <f>IF(COUNTIF($A$3:A1168,A1168)=1,1,0)</f>
        <v>0</v>
      </c>
      <c r="O1168" s="6">
        <f>IF(N1168=1,ROUND((SUMIFS($M$3:$M$1200,$A$3:$A$1200,A1168)+'Settings'!$B$13)*'Settings'!$B$14/100+'Settings'!$B$15,2),0)</f>
        <v>0</v>
      </c>
    </row>
    <row r="1169">
      <c r="A1169" s="3" t="inlineStr">
        <is>
          <t xml:space="preserve">#1860</t>
        </is>
      </c>
      <c r="B1169" s="3" t="inlineStr">
        <is>
          <t xml:space="preserve">2026-10-22</t>
        </is>
      </c>
      <c r="C1169" s="3" t="inlineStr">
        <is>
          <t xml:space="preserve">SKU-A</t>
        </is>
      </c>
      <c r="D1169" s="3" t="inlineStr">
        <is>
          <t xml:space="preserve">Renewal Serum</t>
        </is>
      </c>
      <c r="E1169" s="6">
        <f>IF('Settings'!$B$11="Scenario",IFERROR(INDEX('Catalogue'!$E$3:$E$100,MATCH(C1169,'Catalogue'!$B$3:$B$100,0)),F1169),F1169)</f>
        <v>69.9</v>
      </c>
      <c r="F1169" s="8">
        <v>69.9</v>
      </c>
      <c r="G1169" s="3">
        <v>1</v>
      </c>
      <c r="H1169" s="6">
        <f>IF('Settings'!$B$11="Scenario",ROUND(E1169*G1169*IFERROR(SUMIF('Pricing &amp; promotions'!$A$6:$A$8,L1169,'Pricing &amp; promotions'!$B$6:$B$8)/100,0),2),J1169)</f>
        <v>0.0</v>
      </c>
      <c r="I1169" s="6">
        <f>ROUND((E1169*G1169-H1169)/IF(OR(K1169=TRUE,K1169="TRUE",K1169="YES",K1169=1),1+'Settings'!$B$6/100,1),2)</f>
        <v>57.77</v>
      </c>
      <c r="J1169" s="8">
        <v>0.0</v>
      </c>
      <c r="K1169" s="3" t="inlineStr">
        <is>
          <t xml:space="preserve">TRUE</t>
        </is>
      </c>
      <c r="L1169" s="3"/>
      <c r="M1169" s="6">
        <f>ROUND(E1169*G1169-H1169,2)</f>
        <v>69.9</v>
      </c>
      <c r="N1169" s="5">
        <f>IF(COUNTIF($A$3:A1169,A1169)=1,1,0)</f>
        <v>1</v>
      </c>
      <c r="O1169" s="6">
        <f>IF(N1169=1,ROUND((SUMIFS($M$3:$M$1200,$A$3:$A$1200,A1169)+'Settings'!$B$13)*'Settings'!$B$14/100+'Settings'!$B$15,2),0)</f>
        <v>1.34</v>
      </c>
    </row>
    <row r="1170">
      <c r="A1170" s="3" t="inlineStr">
        <is>
          <t xml:space="preserve">#1861</t>
        </is>
      </c>
      <c r="B1170" s="3" t="inlineStr">
        <is>
          <t xml:space="preserve">2026-10-15</t>
        </is>
      </c>
      <c r="C1170" s="3" t="inlineStr">
        <is>
          <t xml:space="preserve">SKU-A</t>
        </is>
      </c>
      <c r="D1170" s="3" t="inlineStr">
        <is>
          <t xml:space="preserve">Renewal Serum</t>
        </is>
      </c>
      <c r="E1170" s="6">
        <f>IF('Settings'!$B$11="Scenario",IFERROR(INDEX('Catalogue'!$E$3:$E$100,MATCH(C1170,'Catalogue'!$B$3:$B$100,0)),F1170),F1170)</f>
        <v>69.9</v>
      </c>
      <c r="F1170" s="8">
        <v>69.9</v>
      </c>
      <c r="G1170" s="3">
        <v>1</v>
      </c>
      <c r="H1170" s="6">
        <f>IF('Settings'!$B$11="Scenario",ROUND(E1170*G1170*IFERROR(SUMIF('Pricing &amp; promotions'!$A$6:$A$8,L1170,'Pricing &amp; promotions'!$B$6:$B$8)/100,0),2),J1170)</f>
        <v>0.0</v>
      </c>
      <c r="I1170" s="6">
        <f>ROUND((E1170*G1170-H1170)/IF(OR(K1170=TRUE,K1170="TRUE",K1170="YES",K1170=1),1+'Settings'!$B$6/100,1),2)</f>
        <v>57.77</v>
      </c>
      <c r="J1170" s="8">
        <v>0.0</v>
      </c>
      <c r="K1170" s="3" t="inlineStr">
        <is>
          <t xml:space="preserve">TRUE</t>
        </is>
      </c>
      <c r="L1170" s="3"/>
      <c r="M1170" s="6">
        <f>ROUND(E1170*G1170-H1170,2)</f>
        <v>69.9</v>
      </c>
      <c r="N1170" s="5">
        <f>IF(COUNTIF($A$3:A1170,A1170)=1,1,0)</f>
        <v>1</v>
      </c>
      <c r="O1170" s="6">
        <f>IF(N1170=1,ROUND((SUMIFS($M$3:$M$1200,$A$3:$A$1200,A1170)+'Settings'!$B$13)*'Settings'!$B$14/100+'Settings'!$B$15,2),0)</f>
        <v>1.34</v>
      </c>
    </row>
    <row r="1171">
      <c r="A1171" s="3" t="inlineStr">
        <is>
          <t xml:space="preserve">#1862</t>
        </is>
      </c>
      <c r="B1171" s="3" t="inlineStr">
        <is>
          <t xml:space="preserve">2026-10-08</t>
        </is>
      </c>
      <c r="C1171" s="3" t="inlineStr">
        <is>
          <t xml:space="preserve">SKU-A</t>
        </is>
      </c>
      <c r="D1171" s="3" t="inlineStr">
        <is>
          <t xml:space="preserve">Renewal Serum</t>
        </is>
      </c>
      <c r="E1171" s="6">
        <f>IF('Settings'!$B$11="Scenario",IFERROR(INDEX('Catalogue'!$E$3:$E$100,MATCH(C1171,'Catalogue'!$B$3:$B$100,0)),F1171),F1171)</f>
        <v>69.9</v>
      </c>
      <c r="F1171" s="8">
        <v>69.9</v>
      </c>
      <c r="G1171" s="3">
        <v>1</v>
      </c>
      <c r="H1171" s="6">
        <f>IF('Settings'!$B$11="Scenario",ROUND(E1171*G1171*IFERROR(SUMIF('Pricing &amp; promotions'!$A$6:$A$8,L1171,'Pricing &amp; promotions'!$B$6:$B$8)/100,0),2),J1171)</f>
        <v>0.0</v>
      </c>
      <c r="I1171" s="6">
        <f>ROUND((E1171*G1171-H1171)/IF(OR(K1171=TRUE,K1171="TRUE",K1171="YES",K1171=1),1+'Settings'!$B$6/100,1),2)</f>
        <v>57.77</v>
      </c>
      <c r="J1171" s="8">
        <v>0.0</v>
      </c>
      <c r="K1171" s="3" t="inlineStr">
        <is>
          <t xml:space="preserve">TRUE</t>
        </is>
      </c>
      <c r="L1171" s="3"/>
      <c r="M1171" s="6">
        <f>ROUND(E1171*G1171-H1171,2)</f>
        <v>69.9</v>
      </c>
      <c r="N1171" s="5">
        <f>IF(COUNTIF($A$3:A1171,A1171)=1,1,0)</f>
        <v>1</v>
      </c>
      <c r="O1171" s="6">
        <f>IF(N1171=1,ROUND((SUMIFS($M$3:$M$1200,$A$3:$A$1200,A1171)+'Settings'!$B$13)*'Settings'!$B$14/100+'Settings'!$B$15,2),0)</f>
        <v>1.34</v>
      </c>
    </row>
    <row r="1172">
      <c r="A1172" s="3" t="inlineStr">
        <is>
          <t xml:space="preserve">#1863</t>
        </is>
      </c>
      <c r="B1172" s="3" t="inlineStr">
        <is>
          <t xml:space="preserve">2026-10-01</t>
        </is>
      </c>
      <c r="C1172" s="3" t="inlineStr">
        <is>
          <t xml:space="preserve">SKU-A</t>
        </is>
      </c>
      <c r="D1172" s="3" t="inlineStr">
        <is>
          <t xml:space="preserve">Renewal Serum</t>
        </is>
      </c>
      <c r="E1172" s="6">
        <f>IF('Settings'!$B$11="Scenario",IFERROR(INDEX('Catalogue'!$E$3:$E$100,MATCH(C1172,'Catalogue'!$B$3:$B$100,0)),F1172),F1172)</f>
        <v>69.9</v>
      </c>
      <c r="F1172" s="8">
        <v>69.9</v>
      </c>
      <c r="G1172" s="3">
        <v>1</v>
      </c>
      <c r="H1172" s="6">
        <f>IF('Settings'!$B$11="Scenario",ROUND(E1172*G1172*IFERROR(SUMIF('Pricing &amp; promotions'!$A$6:$A$8,L1172,'Pricing &amp; promotions'!$B$6:$B$8)/100,0),2),J1172)</f>
        <v>0.0</v>
      </c>
      <c r="I1172" s="6">
        <f>ROUND((E1172*G1172-H1172)/IF(OR(K1172=TRUE,K1172="TRUE",K1172="YES",K1172=1),1+'Settings'!$B$6/100,1),2)</f>
        <v>57.77</v>
      </c>
      <c r="J1172" s="8">
        <v>0.0</v>
      </c>
      <c r="K1172" s="3" t="inlineStr">
        <is>
          <t xml:space="preserve">TRUE</t>
        </is>
      </c>
      <c r="L1172" s="3"/>
      <c r="M1172" s="6">
        <f>ROUND(E1172*G1172-H1172,2)</f>
        <v>69.9</v>
      </c>
      <c r="N1172" s="5">
        <f>IF(COUNTIF($A$3:A1172,A1172)=1,1,0)</f>
        <v>1</v>
      </c>
      <c r="O1172" s="6">
        <f>IF(N1172=1,ROUND((SUMIFS($M$3:$M$1200,$A$3:$A$1200,A1172)+'Settings'!$B$13)*'Settings'!$B$14/100+'Settings'!$B$15,2),0)</f>
        <v>1.34</v>
      </c>
    </row>
    <row r="1173">
      <c r="A1173" s="3" t="inlineStr">
        <is>
          <t xml:space="preserve">#1864</t>
        </is>
      </c>
      <c r="B1173" s="3" t="inlineStr">
        <is>
          <t xml:space="preserve">2026-09-24</t>
        </is>
      </c>
      <c r="C1173" s="3" t="inlineStr">
        <is>
          <t xml:space="preserve">SKU-A</t>
        </is>
      </c>
      <c r="D1173" s="3" t="inlineStr">
        <is>
          <t xml:space="preserve">Renewal Serum</t>
        </is>
      </c>
      <c r="E1173" s="6">
        <f>IF('Settings'!$B$11="Scenario",IFERROR(INDEX('Catalogue'!$E$3:$E$100,MATCH(C1173,'Catalogue'!$B$3:$B$100,0)),F1173),F1173)</f>
        <v>69.9</v>
      </c>
      <c r="F1173" s="8">
        <v>69.9</v>
      </c>
      <c r="G1173" s="3">
        <v>1</v>
      </c>
      <c r="H1173" s="6">
        <f>IF('Settings'!$B$11="Scenario",ROUND(E1173*G1173*IFERROR(SUMIF('Pricing &amp; promotions'!$A$6:$A$8,L1173,'Pricing &amp; promotions'!$B$6:$B$8)/100,0),2),J1173)</f>
        <v>0.0</v>
      </c>
      <c r="I1173" s="6">
        <f>ROUND((E1173*G1173-H1173)/IF(OR(K1173=TRUE,K1173="TRUE",K1173="YES",K1173=1),1+'Settings'!$B$6/100,1),2)</f>
        <v>57.77</v>
      </c>
      <c r="J1173" s="8">
        <v>0.0</v>
      </c>
      <c r="K1173" s="3" t="inlineStr">
        <is>
          <t xml:space="preserve">TRUE</t>
        </is>
      </c>
      <c r="L1173" s="3"/>
      <c r="M1173" s="6">
        <f>ROUND(E1173*G1173-H1173,2)</f>
        <v>69.9</v>
      </c>
      <c r="N1173" s="5">
        <f>IF(COUNTIF($A$3:A1173,A1173)=1,1,0)</f>
        <v>1</v>
      </c>
      <c r="O1173" s="6">
        <f>IF(N1173=1,ROUND((SUMIFS($M$3:$M$1200,$A$3:$A$1200,A1173)+'Settings'!$B$13)*'Settings'!$B$14/100+'Settings'!$B$15,2),0)</f>
        <v>1.34</v>
      </c>
    </row>
    <row r="1174">
      <c r="A1174" s="3" t="inlineStr">
        <is>
          <t xml:space="preserve">#1865</t>
        </is>
      </c>
      <c r="B1174" s="3" t="inlineStr">
        <is>
          <t xml:space="preserve">2026-09-17</t>
        </is>
      </c>
      <c r="C1174" s="3" t="inlineStr">
        <is>
          <t xml:space="preserve">SKU-A</t>
        </is>
      </c>
      <c r="D1174" s="3" t="inlineStr">
        <is>
          <t xml:space="preserve">Renewal Serum</t>
        </is>
      </c>
      <c r="E1174" s="6">
        <f>IF('Settings'!$B$11="Scenario",IFERROR(INDEX('Catalogue'!$E$3:$E$100,MATCH(C1174,'Catalogue'!$B$3:$B$100,0)),F1174),F1174)</f>
        <v>69.9</v>
      </c>
      <c r="F1174" s="8">
        <v>69.9</v>
      </c>
      <c r="G1174" s="3">
        <v>1</v>
      </c>
      <c r="H1174" s="6">
        <f>IF('Settings'!$B$11="Scenario",ROUND(E1174*G1174*IFERROR(SUMIF('Pricing &amp; promotions'!$A$6:$A$8,L1174,'Pricing &amp; promotions'!$B$6:$B$8)/100,0),2),J1174)</f>
        <v>0.0</v>
      </c>
      <c r="I1174" s="6">
        <f>ROUND((E1174*G1174-H1174)/IF(OR(K1174=TRUE,K1174="TRUE",K1174="YES",K1174=1),1+'Settings'!$B$6/100,1),2)</f>
        <v>57.77</v>
      </c>
      <c r="J1174" s="8">
        <v>0.0</v>
      </c>
      <c r="K1174" s="3" t="inlineStr">
        <is>
          <t xml:space="preserve">TRUE</t>
        </is>
      </c>
      <c r="L1174" s="3"/>
      <c r="M1174" s="6">
        <f>ROUND(E1174*G1174-H1174,2)</f>
        <v>69.9</v>
      </c>
      <c r="N1174" s="5">
        <f>IF(COUNTIF($A$3:A1174,A1174)=1,1,0)</f>
        <v>1</v>
      </c>
      <c r="O1174" s="6">
        <f>IF(N1174=1,ROUND((SUMIFS($M$3:$M$1200,$A$3:$A$1200,A1174)+'Settings'!$B$13)*'Settings'!$B$14/100+'Settings'!$B$15,2),0)</f>
        <v>1.34</v>
      </c>
    </row>
    <row r="1175">
      <c r="A1175" s="3" t="inlineStr">
        <is>
          <t xml:space="preserve">#1866</t>
        </is>
      </c>
      <c r="B1175" s="3" t="inlineStr">
        <is>
          <t xml:space="preserve">2026-09-10</t>
        </is>
      </c>
      <c r="C1175" s="3" t="inlineStr">
        <is>
          <t xml:space="preserve">SKU-A</t>
        </is>
      </c>
      <c r="D1175" s="3" t="inlineStr">
        <is>
          <t xml:space="preserve">Renewal Serum</t>
        </is>
      </c>
      <c r="E1175" s="6">
        <f>IF('Settings'!$B$11="Scenario",IFERROR(INDEX('Catalogue'!$E$3:$E$100,MATCH(C1175,'Catalogue'!$B$3:$B$100,0)),F1175),F1175)</f>
        <v>69.9</v>
      </c>
      <c r="F1175" s="8">
        <v>69.9</v>
      </c>
      <c r="G1175" s="3">
        <v>1</v>
      </c>
      <c r="H1175" s="6">
        <f>IF('Settings'!$B$11="Scenario",ROUND(E1175*G1175*IFERROR(SUMIF('Pricing &amp; promotions'!$A$6:$A$8,L1175,'Pricing &amp; promotions'!$B$6:$B$8)/100,0),2),J1175)</f>
        <v>0.0</v>
      </c>
      <c r="I1175" s="6">
        <f>ROUND((E1175*G1175-H1175)/IF(OR(K1175=TRUE,K1175="TRUE",K1175="YES",K1175=1),1+'Settings'!$B$6/100,1),2)</f>
        <v>57.77</v>
      </c>
      <c r="J1175" s="8">
        <v>0.0</v>
      </c>
      <c r="K1175" s="3" t="inlineStr">
        <is>
          <t xml:space="preserve">TRUE</t>
        </is>
      </c>
      <c r="L1175" s="3"/>
      <c r="M1175" s="6">
        <f>ROUND(E1175*G1175-H1175,2)</f>
        <v>69.9</v>
      </c>
      <c r="N1175" s="5">
        <f>IF(COUNTIF($A$3:A1175,A1175)=1,1,0)</f>
        <v>1</v>
      </c>
      <c r="O1175" s="6">
        <f>IF(N1175=1,ROUND((SUMIFS($M$3:$M$1200,$A$3:$A$1200,A1175)+'Settings'!$B$13)*'Settings'!$B$14/100+'Settings'!$B$15,2),0)</f>
        <v>1.34</v>
      </c>
    </row>
    <row r="1176">
      <c r="A1176" s="3" t="inlineStr">
        <is>
          <t xml:space="preserve">#1867</t>
        </is>
      </c>
      <c r="B1176" s="3" t="inlineStr">
        <is>
          <t xml:space="preserve">2026-09-03</t>
        </is>
      </c>
      <c r="C1176" s="3" t="inlineStr">
        <is>
          <t xml:space="preserve">SKU-A</t>
        </is>
      </c>
      <c r="D1176" s="3" t="inlineStr">
        <is>
          <t xml:space="preserve">Renewal Serum</t>
        </is>
      </c>
      <c r="E1176" s="6">
        <f>IF('Settings'!$B$11="Scenario",IFERROR(INDEX('Catalogue'!$E$3:$E$100,MATCH(C1176,'Catalogue'!$B$3:$B$100,0)),F1176),F1176)</f>
        <v>69.9</v>
      </c>
      <c r="F1176" s="8">
        <v>69.9</v>
      </c>
      <c r="G1176" s="3">
        <v>1</v>
      </c>
      <c r="H1176" s="6">
        <f>IF('Settings'!$B$11="Scenario",ROUND(E1176*G1176*IFERROR(SUMIF('Pricing &amp; promotions'!$A$6:$A$8,L1176,'Pricing &amp; promotions'!$B$6:$B$8)/100,0),2),J1176)</f>
        <v>0.0</v>
      </c>
      <c r="I1176" s="6">
        <f>ROUND((E1176*G1176-H1176)/IF(OR(K1176=TRUE,K1176="TRUE",K1176="YES",K1176=1),1+'Settings'!$B$6/100,1),2)</f>
        <v>57.77</v>
      </c>
      <c r="J1176" s="8">
        <v>0.0</v>
      </c>
      <c r="K1176" s="3" t="inlineStr">
        <is>
          <t xml:space="preserve">TRUE</t>
        </is>
      </c>
      <c r="L1176" s="3"/>
      <c r="M1176" s="6">
        <f>ROUND(E1176*G1176-H1176,2)</f>
        <v>69.9</v>
      </c>
      <c r="N1176" s="5">
        <f>IF(COUNTIF($A$3:A1176,A1176)=1,1,0)</f>
        <v>1</v>
      </c>
      <c r="O1176" s="6">
        <f>IF(N1176=1,ROUND((SUMIFS($M$3:$M$1200,$A$3:$A$1200,A1176)+'Settings'!$B$13)*'Settings'!$B$14/100+'Settings'!$B$15,2),0)</f>
        <v>1.34</v>
      </c>
    </row>
    <row r="1177">
      <c r="A1177" s="3" t="inlineStr">
        <is>
          <t xml:space="preserve">#1868</t>
        </is>
      </c>
      <c r="B1177" s="3" t="inlineStr">
        <is>
          <t xml:space="preserve">2026-08-27</t>
        </is>
      </c>
      <c r="C1177" s="3" t="inlineStr">
        <is>
          <t xml:space="preserve">SKU-A</t>
        </is>
      </c>
      <c r="D1177" s="3" t="inlineStr">
        <is>
          <t xml:space="preserve">Renewal Serum</t>
        </is>
      </c>
      <c r="E1177" s="6">
        <f>IF('Settings'!$B$11="Scenario",IFERROR(INDEX('Catalogue'!$E$3:$E$100,MATCH(C1177,'Catalogue'!$B$3:$B$100,0)),F1177),F1177)</f>
        <v>69.9</v>
      </c>
      <c r="F1177" s="8">
        <v>69.9</v>
      </c>
      <c r="G1177" s="3">
        <v>1</v>
      </c>
      <c r="H1177" s="6">
        <f>IF('Settings'!$B$11="Scenario",ROUND(E1177*G1177*IFERROR(SUMIF('Pricing &amp; promotions'!$A$6:$A$8,L1177,'Pricing &amp; promotions'!$B$6:$B$8)/100,0),2),J1177)</f>
        <v>0.0</v>
      </c>
      <c r="I1177" s="6">
        <f>ROUND((E1177*G1177-H1177)/IF(OR(K1177=TRUE,K1177="TRUE",K1177="YES",K1177=1),1+'Settings'!$B$6/100,1),2)</f>
        <v>57.77</v>
      </c>
      <c r="J1177" s="8">
        <v>0.0</v>
      </c>
      <c r="K1177" s="3" t="inlineStr">
        <is>
          <t xml:space="preserve">TRUE</t>
        </is>
      </c>
      <c r="L1177" s="3"/>
      <c r="M1177" s="6">
        <f>ROUND(E1177*G1177-H1177,2)</f>
        <v>69.9</v>
      </c>
      <c r="N1177" s="5">
        <f>IF(COUNTIF($A$3:A1177,A1177)=1,1,0)</f>
        <v>1</v>
      </c>
      <c r="O1177" s="6">
        <f>IF(N1177=1,ROUND((SUMIFS($M$3:$M$1200,$A$3:$A$1200,A1177)+'Settings'!$B$13)*'Settings'!$B$14/100+'Settings'!$B$15,2),0)</f>
        <v>1.34</v>
      </c>
    </row>
    <row r="1178">
      <c r="A1178" s="3" t="inlineStr">
        <is>
          <t xml:space="preserve">#1869</t>
        </is>
      </c>
      <c r="B1178" s="3" t="inlineStr">
        <is>
          <t xml:space="preserve">2026-08-20</t>
        </is>
      </c>
      <c r="C1178" s="3" t="inlineStr">
        <is>
          <t xml:space="preserve">SKU-A</t>
        </is>
      </c>
      <c r="D1178" s="3" t="inlineStr">
        <is>
          <t xml:space="preserve">Renewal Serum</t>
        </is>
      </c>
      <c r="E1178" s="6">
        <f>IF('Settings'!$B$11="Scenario",IFERROR(INDEX('Catalogue'!$E$3:$E$100,MATCH(C1178,'Catalogue'!$B$3:$B$100,0)),F1178),F1178)</f>
        <v>69.9</v>
      </c>
      <c r="F1178" s="8">
        <v>69.9</v>
      </c>
      <c r="G1178" s="3">
        <v>1</v>
      </c>
      <c r="H1178" s="6">
        <f>IF('Settings'!$B$11="Scenario",ROUND(E1178*G1178*IFERROR(SUMIF('Pricing &amp; promotions'!$A$6:$A$8,L1178,'Pricing &amp; promotions'!$B$6:$B$8)/100,0),2),J1178)</f>
        <v>0.0</v>
      </c>
      <c r="I1178" s="6">
        <f>ROUND((E1178*G1178-H1178)/IF(OR(K1178=TRUE,K1178="TRUE",K1178="YES",K1178=1),1+'Settings'!$B$6/100,1),2)</f>
        <v>57.77</v>
      </c>
      <c r="J1178" s="8">
        <v>0.0</v>
      </c>
      <c r="K1178" s="3" t="inlineStr">
        <is>
          <t xml:space="preserve">TRUE</t>
        </is>
      </c>
      <c r="L1178" s="3"/>
      <c r="M1178" s="6">
        <f>ROUND(E1178*G1178-H1178,2)</f>
        <v>69.9</v>
      </c>
      <c r="N1178" s="5">
        <f>IF(COUNTIF($A$3:A1178,A1178)=1,1,0)</f>
        <v>1</v>
      </c>
      <c r="O1178" s="6">
        <f>IF(N1178=1,ROUND((SUMIFS($M$3:$M$1200,$A$3:$A$1200,A1178)+'Settings'!$B$13)*'Settings'!$B$14/100+'Settings'!$B$15,2),0)</f>
        <v>1.34</v>
      </c>
    </row>
    <row r="1179">
      <c r="A1179" s="3" t="inlineStr">
        <is>
          <t xml:space="preserve">#1870</t>
        </is>
      </c>
      <c r="B1179" s="3" t="inlineStr">
        <is>
          <t xml:space="preserve">2026-08-13</t>
        </is>
      </c>
      <c r="C1179" s="3" t="inlineStr">
        <is>
          <t xml:space="preserve">SKU-A</t>
        </is>
      </c>
      <c r="D1179" s="3" t="inlineStr">
        <is>
          <t xml:space="preserve">Renewal Serum</t>
        </is>
      </c>
      <c r="E1179" s="6">
        <f>IF('Settings'!$B$11="Scenario",IFERROR(INDEX('Catalogue'!$E$3:$E$100,MATCH(C1179,'Catalogue'!$B$3:$B$100,0)),F1179),F1179)</f>
        <v>69.9</v>
      </c>
      <c r="F1179" s="8">
        <v>69.9</v>
      </c>
      <c r="G1179" s="3">
        <v>1</v>
      </c>
      <c r="H1179" s="6">
        <f>IF('Settings'!$B$11="Scenario",ROUND(E1179*G1179*IFERROR(SUMIF('Pricing &amp; promotions'!$A$6:$A$8,L1179,'Pricing &amp; promotions'!$B$6:$B$8)/100,0),2),J1179)</f>
        <v>0.0</v>
      </c>
      <c r="I1179" s="6">
        <f>ROUND((E1179*G1179-H1179)/IF(OR(K1179=TRUE,K1179="TRUE",K1179="YES",K1179=1),1+'Settings'!$B$6/100,1),2)</f>
        <v>57.77</v>
      </c>
      <c r="J1179" s="8">
        <v>0.0</v>
      </c>
      <c r="K1179" s="3" t="inlineStr">
        <is>
          <t xml:space="preserve">TRUE</t>
        </is>
      </c>
      <c r="L1179" s="3"/>
      <c r="M1179" s="6">
        <f>ROUND(E1179*G1179-H1179,2)</f>
        <v>69.9</v>
      </c>
      <c r="N1179" s="5">
        <f>IF(COUNTIF($A$3:A1179,A1179)=1,1,0)</f>
        <v>1</v>
      </c>
      <c r="O1179" s="6">
        <f>IF(N1179=1,ROUND((SUMIFS($M$3:$M$1200,$A$3:$A$1200,A1179)+'Settings'!$B$13)*'Settings'!$B$14/100+'Settings'!$B$15,2),0)</f>
        <v>1.34</v>
      </c>
    </row>
    <row r="1180">
      <c r="A1180" s="3" t="inlineStr">
        <is>
          <t xml:space="preserve">#1871</t>
        </is>
      </c>
      <c r="B1180" s="3" t="inlineStr">
        <is>
          <t xml:space="preserve">2026-08-06</t>
        </is>
      </c>
      <c r="C1180" s="3" t="inlineStr">
        <is>
          <t xml:space="preserve">SKU-A</t>
        </is>
      </c>
      <c r="D1180" s="3" t="inlineStr">
        <is>
          <t xml:space="preserve">Renewal Serum</t>
        </is>
      </c>
      <c r="E1180" s="6">
        <f>IF('Settings'!$B$11="Scenario",IFERROR(INDEX('Catalogue'!$E$3:$E$100,MATCH(C1180,'Catalogue'!$B$3:$B$100,0)),F1180),F1180)</f>
        <v>69.9</v>
      </c>
      <c r="F1180" s="8">
        <v>69.9</v>
      </c>
      <c r="G1180" s="3">
        <v>1</v>
      </c>
      <c r="H1180" s="6">
        <f>IF('Settings'!$B$11="Scenario",ROUND(E1180*G1180*IFERROR(SUMIF('Pricing &amp; promotions'!$A$6:$A$8,L1180,'Pricing &amp; promotions'!$B$6:$B$8)/100,0),2),J1180)</f>
        <v>0.0</v>
      </c>
      <c r="I1180" s="6">
        <f>ROUND((E1180*G1180-H1180)/IF(OR(K1180=TRUE,K1180="TRUE",K1180="YES",K1180=1),1+'Settings'!$B$6/100,1),2)</f>
        <v>57.77</v>
      </c>
      <c r="J1180" s="8">
        <v>0.0</v>
      </c>
      <c r="K1180" s="3" t="inlineStr">
        <is>
          <t xml:space="preserve">TRUE</t>
        </is>
      </c>
      <c r="L1180" s="3"/>
      <c r="M1180" s="6">
        <f>ROUND(E1180*G1180-H1180,2)</f>
        <v>69.9</v>
      </c>
      <c r="N1180" s="5">
        <f>IF(COUNTIF($A$3:A1180,A1180)=1,1,0)</f>
        <v>1</v>
      </c>
      <c r="O1180" s="6">
        <f>IF(N1180=1,ROUND((SUMIFS($M$3:$M$1200,$A$3:$A$1200,A1180)+'Settings'!$B$13)*'Settings'!$B$14/100+'Settings'!$B$15,2),0)</f>
        <v>1.34</v>
      </c>
    </row>
    <row r="1181">
      <c r="A1181" s="3" t="inlineStr">
        <is>
          <t xml:space="preserve">#1872</t>
        </is>
      </c>
      <c r="B1181" s="3" t="inlineStr">
        <is>
          <t xml:space="preserve">2026-07-30</t>
        </is>
      </c>
      <c r="C1181" s="3" t="inlineStr">
        <is>
          <t xml:space="preserve">SKU-A</t>
        </is>
      </c>
      <c r="D1181" s="3" t="inlineStr">
        <is>
          <t xml:space="preserve">Renewal Serum</t>
        </is>
      </c>
      <c r="E1181" s="6">
        <f>IF('Settings'!$B$11="Scenario",IFERROR(INDEX('Catalogue'!$E$3:$E$100,MATCH(C1181,'Catalogue'!$B$3:$B$100,0)),F1181),F1181)</f>
        <v>69.9</v>
      </c>
      <c r="F1181" s="8">
        <v>69.9</v>
      </c>
      <c r="G1181" s="3">
        <v>1</v>
      </c>
      <c r="H1181" s="6">
        <f>IF('Settings'!$B$11="Scenario",ROUND(E1181*G1181*IFERROR(SUMIF('Pricing &amp; promotions'!$A$6:$A$8,L1181,'Pricing &amp; promotions'!$B$6:$B$8)/100,0),2),J1181)</f>
        <v>0.0</v>
      </c>
      <c r="I1181" s="6">
        <f>ROUND((E1181*G1181-H1181)/IF(OR(K1181=TRUE,K1181="TRUE",K1181="YES",K1181=1),1+'Settings'!$B$6/100,1),2)</f>
        <v>57.77</v>
      </c>
      <c r="J1181" s="8">
        <v>0.0</v>
      </c>
      <c r="K1181" s="3" t="inlineStr">
        <is>
          <t xml:space="preserve">TRUE</t>
        </is>
      </c>
      <c r="L1181" s="3"/>
      <c r="M1181" s="6">
        <f>ROUND(E1181*G1181-H1181,2)</f>
        <v>69.9</v>
      </c>
      <c r="N1181" s="5">
        <f>IF(COUNTIF($A$3:A1181,A1181)=1,1,0)</f>
        <v>1</v>
      </c>
      <c r="O1181" s="6">
        <f>IF(N1181=1,ROUND((SUMIFS($M$3:$M$1200,$A$3:$A$1200,A1181)+'Settings'!$B$13)*'Settings'!$B$14/100+'Settings'!$B$15,2),0)</f>
        <v>1.34</v>
      </c>
    </row>
    <row r="1182">
      <c r="A1182" s="3" t="inlineStr">
        <is>
          <t xml:space="preserve">#1873</t>
        </is>
      </c>
      <c r="B1182" s="3" t="inlineStr">
        <is>
          <t xml:space="preserve">2026-10-21</t>
        </is>
      </c>
      <c r="C1182" s="3" t="inlineStr">
        <is>
          <t xml:space="preserve">SKU-A</t>
        </is>
      </c>
      <c r="D1182" s="3" t="inlineStr">
        <is>
          <t xml:space="preserve">Renewal Serum</t>
        </is>
      </c>
      <c r="E1182" s="6">
        <f>IF('Settings'!$B$11="Scenario",IFERROR(INDEX('Catalogue'!$E$3:$E$100,MATCH(C1182,'Catalogue'!$B$3:$B$100,0)),F1182),F1182)</f>
        <v>69.9</v>
      </c>
      <c r="F1182" s="8">
        <v>69.9</v>
      </c>
      <c r="G1182" s="3">
        <v>1</v>
      </c>
      <c r="H1182" s="6">
        <f>IF('Settings'!$B$11="Scenario",ROUND(E1182*G1182*IFERROR(SUMIF('Pricing &amp; promotions'!$A$6:$A$8,L1182,'Pricing &amp; promotions'!$B$6:$B$8)/100,0),2),J1182)</f>
        <v>0.0</v>
      </c>
      <c r="I1182" s="6">
        <f>ROUND((E1182*G1182-H1182)/IF(OR(K1182=TRUE,K1182="TRUE",K1182="YES",K1182=1),1+'Settings'!$B$6/100,1),2)</f>
        <v>57.77</v>
      </c>
      <c r="J1182" s="8">
        <v>0.0</v>
      </c>
      <c r="K1182" s="3" t="inlineStr">
        <is>
          <t xml:space="preserve">TRUE</t>
        </is>
      </c>
      <c r="L1182" s="3"/>
      <c r="M1182" s="6">
        <f>ROUND(E1182*G1182-H1182,2)</f>
        <v>69.9</v>
      </c>
      <c r="N1182" s="5">
        <f>IF(COUNTIF($A$3:A1182,A1182)=1,1,0)</f>
        <v>1</v>
      </c>
      <c r="O1182" s="6">
        <f>IF(N1182=1,ROUND((SUMIFS($M$3:$M$1200,$A$3:$A$1200,A1182)+'Settings'!$B$13)*'Settings'!$B$14/100+'Settings'!$B$15,2),0)</f>
        <v>1.34</v>
      </c>
    </row>
    <row r="1183">
      <c r="A1183" s="3" t="inlineStr">
        <is>
          <t xml:space="preserve">#1874</t>
        </is>
      </c>
      <c r="B1183" s="3" t="inlineStr">
        <is>
          <t xml:space="preserve">2026-10-14</t>
        </is>
      </c>
      <c r="C1183" s="3" t="inlineStr">
        <is>
          <t xml:space="preserve">SKU-A</t>
        </is>
      </c>
      <c r="D1183" s="3" t="inlineStr">
        <is>
          <t xml:space="preserve">Renewal Serum</t>
        </is>
      </c>
      <c r="E1183" s="6">
        <f>IF('Settings'!$B$11="Scenario",IFERROR(INDEX('Catalogue'!$E$3:$E$100,MATCH(C1183,'Catalogue'!$B$3:$B$100,0)),F1183),F1183)</f>
        <v>69.9</v>
      </c>
      <c r="F1183" s="8">
        <v>69.9</v>
      </c>
      <c r="G1183" s="3">
        <v>1</v>
      </c>
      <c r="H1183" s="6">
        <f>IF('Settings'!$B$11="Scenario",ROUND(E1183*G1183*IFERROR(SUMIF('Pricing &amp; promotions'!$A$6:$A$8,L1183,'Pricing &amp; promotions'!$B$6:$B$8)/100,0),2),J1183)</f>
        <v>0.0</v>
      </c>
      <c r="I1183" s="6">
        <f>ROUND((E1183*G1183-H1183)/IF(OR(K1183=TRUE,K1183="TRUE",K1183="YES",K1183=1),1+'Settings'!$B$6/100,1),2)</f>
        <v>57.77</v>
      </c>
      <c r="J1183" s="8">
        <v>0.0</v>
      </c>
      <c r="K1183" s="3" t="inlineStr">
        <is>
          <t xml:space="preserve">TRUE</t>
        </is>
      </c>
      <c r="L1183" s="3"/>
      <c r="M1183" s="6">
        <f>ROUND(E1183*G1183-H1183,2)</f>
        <v>69.9</v>
      </c>
      <c r="N1183" s="5">
        <f>IF(COUNTIF($A$3:A1183,A1183)=1,1,0)</f>
        <v>1</v>
      </c>
      <c r="O1183" s="6">
        <f>IF(N1183=1,ROUND((SUMIFS($M$3:$M$1200,$A$3:$A$1200,A1183)+'Settings'!$B$13)*'Settings'!$B$14/100+'Settings'!$B$15,2),0)</f>
        <v>1.34</v>
      </c>
    </row>
    <row r="1184">
      <c r="A1184" s="3" t="inlineStr">
        <is>
          <t xml:space="preserve">#1875</t>
        </is>
      </c>
      <c r="B1184" s="3" t="inlineStr">
        <is>
          <t xml:space="preserve">2026-10-07</t>
        </is>
      </c>
      <c r="C1184" s="3" t="inlineStr">
        <is>
          <t xml:space="preserve">SKU-A</t>
        </is>
      </c>
      <c r="D1184" s="3" t="inlineStr">
        <is>
          <t xml:space="preserve">Renewal Serum</t>
        </is>
      </c>
      <c r="E1184" s="6">
        <f>IF('Settings'!$B$11="Scenario",IFERROR(INDEX('Catalogue'!$E$3:$E$100,MATCH(C1184,'Catalogue'!$B$3:$B$100,0)),F1184),F1184)</f>
        <v>69.9</v>
      </c>
      <c r="F1184" s="8">
        <v>69.9</v>
      </c>
      <c r="G1184" s="3">
        <v>1</v>
      </c>
      <c r="H1184" s="6">
        <f>IF('Settings'!$B$11="Scenario",ROUND(E1184*G1184*IFERROR(SUMIF('Pricing &amp; promotions'!$A$6:$A$8,L1184,'Pricing &amp; promotions'!$B$6:$B$8)/100,0),2),J1184)</f>
        <v>0.0</v>
      </c>
      <c r="I1184" s="6">
        <f>ROUND((E1184*G1184-H1184)/IF(OR(K1184=TRUE,K1184="TRUE",K1184="YES",K1184=1),1+'Settings'!$B$6/100,1),2)</f>
        <v>57.77</v>
      </c>
      <c r="J1184" s="8">
        <v>0.0</v>
      </c>
      <c r="K1184" s="3" t="inlineStr">
        <is>
          <t xml:space="preserve">TRUE</t>
        </is>
      </c>
      <c r="L1184" s="3"/>
      <c r="M1184" s="6">
        <f>ROUND(E1184*G1184-H1184,2)</f>
        <v>69.9</v>
      </c>
      <c r="N1184" s="5">
        <f>IF(COUNTIF($A$3:A1184,A1184)=1,1,0)</f>
        <v>1</v>
      </c>
      <c r="O1184" s="6">
        <f>IF(N1184=1,ROUND((SUMIFS($M$3:$M$1200,$A$3:$A$1200,A1184)+'Settings'!$B$13)*'Settings'!$B$14/100+'Settings'!$B$15,2),0)</f>
        <v>1.34</v>
      </c>
    </row>
    <row r="1185">
      <c r="A1185" s="3" t="inlineStr">
        <is>
          <t xml:space="preserve">#1876</t>
        </is>
      </c>
      <c r="B1185" s="3" t="inlineStr">
        <is>
          <t xml:space="preserve">2026-09-30</t>
        </is>
      </c>
      <c r="C1185" s="3" t="inlineStr">
        <is>
          <t xml:space="preserve">SKU-A</t>
        </is>
      </c>
      <c r="D1185" s="3" t="inlineStr">
        <is>
          <t xml:space="preserve">Renewal Serum</t>
        </is>
      </c>
      <c r="E1185" s="6">
        <f>IF('Settings'!$B$11="Scenario",IFERROR(INDEX('Catalogue'!$E$3:$E$100,MATCH(C1185,'Catalogue'!$B$3:$B$100,0)),F1185),F1185)</f>
        <v>69.9</v>
      </c>
      <c r="F1185" s="8">
        <v>69.9</v>
      </c>
      <c r="G1185" s="3">
        <v>1</v>
      </c>
      <c r="H1185" s="6">
        <f>IF('Settings'!$B$11="Scenario",ROUND(E1185*G1185*IFERROR(SUMIF('Pricing &amp; promotions'!$A$6:$A$8,L1185,'Pricing &amp; promotions'!$B$6:$B$8)/100,0),2),J1185)</f>
        <v>0.0</v>
      </c>
      <c r="I1185" s="6">
        <f>ROUND((E1185*G1185-H1185)/IF(OR(K1185=TRUE,K1185="TRUE",K1185="YES",K1185=1),1+'Settings'!$B$6/100,1),2)</f>
        <v>57.77</v>
      </c>
      <c r="J1185" s="8">
        <v>0.0</v>
      </c>
      <c r="K1185" s="3" t="inlineStr">
        <is>
          <t xml:space="preserve">TRUE</t>
        </is>
      </c>
      <c r="L1185" s="3"/>
      <c r="M1185" s="6">
        <f>ROUND(E1185*G1185-H1185,2)</f>
        <v>69.9</v>
      </c>
      <c r="N1185" s="5">
        <f>IF(COUNTIF($A$3:A1185,A1185)=1,1,0)</f>
        <v>1</v>
      </c>
      <c r="O1185" s="6">
        <f>IF(N1185=1,ROUND((SUMIFS($M$3:$M$1200,$A$3:$A$1200,A1185)+'Settings'!$B$13)*'Settings'!$B$14/100+'Settings'!$B$15,2),0)</f>
        <v>1.34</v>
      </c>
    </row>
    <row r="1186">
      <c r="A1186" s="3" t="inlineStr">
        <is>
          <t xml:space="preserve">#1877</t>
        </is>
      </c>
      <c r="B1186" s="3" t="inlineStr">
        <is>
          <t xml:space="preserve">2026-09-23</t>
        </is>
      </c>
      <c r="C1186" s="3" t="inlineStr">
        <is>
          <t xml:space="preserve">SKU-A</t>
        </is>
      </c>
      <c r="D1186" s="3" t="inlineStr">
        <is>
          <t xml:space="preserve">Renewal Serum</t>
        </is>
      </c>
      <c r="E1186" s="6">
        <f>IF('Settings'!$B$11="Scenario",IFERROR(INDEX('Catalogue'!$E$3:$E$100,MATCH(C1186,'Catalogue'!$B$3:$B$100,0)),F1186),F1186)</f>
        <v>69.9</v>
      </c>
      <c r="F1186" s="8">
        <v>69.9</v>
      </c>
      <c r="G1186" s="3">
        <v>1</v>
      </c>
      <c r="H1186" s="6">
        <f>IF('Settings'!$B$11="Scenario",ROUND(E1186*G1186*IFERROR(SUMIF('Pricing &amp; promotions'!$A$6:$A$8,L1186,'Pricing &amp; promotions'!$B$6:$B$8)/100,0),2),J1186)</f>
        <v>0.0</v>
      </c>
      <c r="I1186" s="6">
        <f>ROUND((E1186*G1186-H1186)/IF(OR(K1186=TRUE,K1186="TRUE",K1186="YES",K1186=1),1+'Settings'!$B$6/100,1),2)</f>
        <v>57.77</v>
      </c>
      <c r="J1186" s="8">
        <v>0.0</v>
      </c>
      <c r="K1186" s="3" t="inlineStr">
        <is>
          <t xml:space="preserve">TRUE</t>
        </is>
      </c>
      <c r="L1186" s="3"/>
      <c r="M1186" s="6">
        <f>ROUND(E1186*G1186-H1186,2)</f>
        <v>69.9</v>
      </c>
      <c r="N1186" s="5">
        <f>IF(COUNTIF($A$3:A1186,A1186)=1,1,0)</f>
        <v>1</v>
      </c>
      <c r="O1186" s="6">
        <f>IF(N1186=1,ROUND((SUMIFS($M$3:$M$1200,$A$3:$A$1200,A1186)+'Settings'!$B$13)*'Settings'!$B$14/100+'Settings'!$B$15,2),0)</f>
        <v>1.34</v>
      </c>
    </row>
    <row r="1187">
      <c r="A1187" s="3" t="inlineStr">
        <is>
          <t xml:space="preserve">#1878</t>
        </is>
      </c>
      <c r="B1187" s="3" t="inlineStr">
        <is>
          <t xml:space="preserve">2026-09-16</t>
        </is>
      </c>
      <c r="C1187" s="3" t="inlineStr">
        <is>
          <t xml:space="preserve">SKU-A</t>
        </is>
      </c>
      <c r="D1187" s="3" t="inlineStr">
        <is>
          <t xml:space="preserve">Renewal Serum</t>
        </is>
      </c>
      <c r="E1187" s="6">
        <f>IF('Settings'!$B$11="Scenario",IFERROR(INDEX('Catalogue'!$E$3:$E$100,MATCH(C1187,'Catalogue'!$B$3:$B$100,0)),F1187),F1187)</f>
        <v>69.9</v>
      </c>
      <c r="F1187" s="8">
        <v>69.9</v>
      </c>
      <c r="G1187" s="3">
        <v>1</v>
      </c>
      <c r="H1187" s="6">
        <f>IF('Settings'!$B$11="Scenario",ROUND(E1187*G1187*IFERROR(SUMIF('Pricing &amp; promotions'!$A$6:$A$8,L1187,'Pricing &amp; promotions'!$B$6:$B$8)/100,0),2),J1187)</f>
        <v>0.0</v>
      </c>
      <c r="I1187" s="6">
        <f>ROUND((E1187*G1187-H1187)/IF(OR(K1187=TRUE,K1187="TRUE",K1187="YES",K1187=1),1+'Settings'!$B$6/100,1),2)</f>
        <v>57.77</v>
      </c>
      <c r="J1187" s="8">
        <v>0.0</v>
      </c>
      <c r="K1187" s="3" t="inlineStr">
        <is>
          <t xml:space="preserve">TRUE</t>
        </is>
      </c>
      <c r="L1187" s="3"/>
      <c r="M1187" s="6">
        <f>ROUND(E1187*G1187-H1187,2)</f>
        <v>69.9</v>
      </c>
      <c r="N1187" s="5">
        <f>IF(COUNTIF($A$3:A1187,A1187)=1,1,0)</f>
        <v>1</v>
      </c>
      <c r="O1187" s="6">
        <f>IF(N1187=1,ROUND((SUMIFS($M$3:$M$1200,$A$3:$A$1200,A1187)+'Settings'!$B$13)*'Settings'!$B$14/100+'Settings'!$B$15,2),0)</f>
        <v>1.34</v>
      </c>
    </row>
    <row r="1188">
      <c r="A1188" s="3" t="inlineStr">
        <is>
          <t xml:space="preserve">#1879</t>
        </is>
      </c>
      <c r="B1188" s="3" t="inlineStr">
        <is>
          <t xml:space="preserve">2026-09-09</t>
        </is>
      </c>
      <c r="C1188" s="3" t="inlineStr">
        <is>
          <t xml:space="preserve">SKU-A</t>
        </is>
      </c>
      <c r="D1188" s="3" t="inlineStr">
        <is>
          <t xml:space="preserve">Renewal Serum</t>
        </is>
      </c>
      <c r="E1188" s="6">
        <f>IF('Settings'!$B$11="Scenario",IFERROR(INDEX('Catalogue'!$E$3:$E$100,MATCH(C1188,'Catalogue'!$B$3:$B$100,0)),F1188),F1188)</f>
        <v>69.9</v>
      </c>
      <c r="F1188" s="8">
        <v>69.9</v>
      </c>
      <c r="G1188" s="3">
        <v>1</v>
      </c>
      <c r="H1188" s="6">
        <f>IF('Settings'!$B$11="Scenario",ROUND(E1188*G1188*IFERROR(SUMIF('Pricing &amp; promotions'!$A$6:$A$8,L1188,'Pricing &amp; promotions'!$B$6:$B$8)/100,0),2),J1188)</f>
        <v>0.0</v>
      </c>
      <c r="I1188" s="6">
        <f>ROUND((E1188*G1188-H1188)/IF(OR(K1188=TRUE,K1188="TRUE",K1188="YES",K1188=1),1+'Settings'!$B$6/100,1),2)</f>
        <v>57.77</v>
      </c>
      <c r="J1188" s="8">
        <v>0.0</v>
      </c>
      <c r="K1188" s="3" t="inlineStr">
        <is>
          <t xml:space="preserve">TRUE</t>
        </is>
      </c>
      <c r="L1188" s="3"/>
      <c r="M1188" s="6">
        <f>ROUND(E1188*G1188-H1188,2)</f>
        <v>69.9</v>
      </c>
      <c r="N1188" s="5">
        <f>IF(COUNTIF($A$3:A1188,A1188)=1,1,0)</f>
        <v>1</v>
      </c>
      <c r="O1188" s="6">
        <f>IF(N1188=1,ROUND((SUMIFS($M$3:$M$1200,$A$3:$A$1200,A1188)+'Settings'!$B$13)*'Settings'!$B$14/100+'Settings'!$B$15,2),0)</f>
        <v>1.34</v>
      </c>
    </row>
    <row r="1189">
      <c r="A1189" s="3" t="inlineStr">
        <is>
          <t xml:space="preserve">#1880</t>
        </is>
      </c>
      <c r="B1189" s="3" t="inlineStr">
        <is>
          <t xml:space="preserve">2026-09-02</t>
        </is>
      </c>
      <c r="C1189" s="3" t="inlineStr">
        <is>
          <t xml:space="preserve">SKU-A</t>
        </is>
      </c>
      <c r="D1189" s="3" t="inlineStr">
        <is>
          <t xml:space="preserve">Renewal Serum</t>
        </is>
      </c>
      <c r="E1189" s="6">
        <f>IF('Settings'!$B$11="Scenario",IFERROR(INDEX('Catalogue'!$E$3:$E$100,MATCH(C1189,'Catalogue'!$B$3:$B$100,0)),F1189),F1189)</f>
        <v>69.9</v>
      </c>
      <c r="F1189" s="8">
        <v>69.9</v>
      </c>
      <c r="G1189" s="3">
        <v>1</v>
      </c>
      <c r="H1189" s="6">
        <f>IF('Settings'!$B$11="Scenario",ROUND(E1189*G1189*IFERROR(SUMIF('Pricing &amp; promotions'!$A$6:$A$8,L1189,'Pricing &amp; promotions'!$B$6:$B$8)/100,0),2),J1189)</f>
        <v>0.0</v>
      </c>
      <c r="I1189" s="6">
        <f>ROUND((E1189*G1189-H1189)/IF(OR(K1189=TRUE,K1189="TRUE",K1189="YES",K1189=1),1+'Settings'!$B$6/100,1),2)</f>
        <v>57.77</v>
      </c>
      <c r="J1189" s="8">
        <v>0.0</v>
      </c>
      <c r="K1189" s="3" t="inlineStr">
        <is>
          <t xml:space="preserve">TRUE</t>
        </is>
      </c>
      <c r="L1189" s="3"/>
      <c r="M1189" s="6">
        <f>ROUND(E1189*G1189-H1189,2)</f>
        <v>69.9</v>
      </c>
      <c r="N1189" s="5">
        <f>IF(COUNTIF($A$3:A1189,A1189)=1,1,0)</f>
        <v>1</v>
      </c>
      <c r="O1189" s="6">
        <f>IF(N1189=1,ROUND((SUMIFS($M$3:$M$1200,$A$3:$A$1200,A1189)+'Settings'!$B$13)*'Settings'!$B$14/100+'Settings'!$B$15,2),0)</f>
        <v>1.34</v>
      </c>
    </row>
    <row r="1190">
      <c r="A1190" s="3" t="inlineStr">
        <is>
          <t xml:space="preserve">#1881</t>
        </is>
      </c>
      <c r="B1190" s="3" t="inlineStr">
        <is>
          <t xml:space="preserve">2026-08-26</t>
        </is>
      </c>
      <c r="C1190" s="3" t="inlineStr">
        <is>
          <t xml:space="preserve">SKU-A</t>
        </is>
      </c>
      <c r="D1190" s="3" t="inlineStr">
        <is>
          <t xml:space="preserve">Renewal Serum</t>
        </is>
      </c>
      <c r="E1190" s="6">
        <f>IF('Settings'!$B$11="Scenario",IFERROR(INDEX('Catalogue'!$E$3:$E$100,MATCH(C1190,'Catalogue'!$B$3:$B$100,0)),F1190),F1190)</f>
        <v>69.9</v>
      </c>
      <c r="F1190" s="8">
        <v>69.9</v>
      </c>
      <c r="G1190" s="3">
        <v>1</v>
      </c>
      <c r="H1190" s="6">
        <f>IF('Settings'!$B$11="Scenario",ROUND(E1190*G1190*IFERROR(SUMIF('Pricing &amp; promotions'!$A$6:$A$8,L1190,'Pricing &amp; promotions'!$B$6:$B$8)/100,0),2),J1190)</f>
        <v>0.0</v>
      </c>
      <c r="I1190" s="6">
        <f>ROUND((E1190*G1190-H1190)/IF(OR(K1190=TRUE,K1190="TRUE",K1190="YES",K1190=1),1+'Settings'!$B$6/100,1),2)</f>
        <v>57.77</v>
      </c>
      <c r="J1190" s="8">
        <v>0.0</v>
      </c>
      <c r="K1190" s="3" t="inlineStr">
        <is>
          <t xml:space="preserve">TRUE</t>
        </is>
      </c>
      <c r="L1190" s="3"/>
      <c r="M1190" s="6">
        <f>ROUND(E1190*G1190-H1190,2)</f>
        <v>69.9</v>
      </c>
      <c r="N1190" s="5">
        <f>IF(COUNTIF($A$3:A1190,A1190)=1,1,0)</f>
        <v>1</v>
      </c>
      <c r="O1190" s="6">
        <f>IF(N1190=1,ROUND((SUMIFS($M$3:$M$1200,$A$3:$A$1200,A1190)+'Settings'!$B$13)*'Settings'!$B$14/100+'Settings'!$B$15,2),0)</f>
        <v>1.34</v>
      </c>
    </row>
    <row r="1191">
      <c r="A1191" s="3" t="inlineStr">
        <is>
          <t xml:space="preserve">#1882</t>
        </is>
      </c>
      <c r="B1191" s="3" t="inlineStr">
        <is>
          <t xml:space="preserve">2026-08-19</t>
        </is>
      </c>
      <c r="C1191" s="3" t="inlineStr">
        <is>
          <t xml:space="preserve">SKU-A</t>
        </is>
      </c>
      <c r="D1191" s="3" t="inlineStr">
        <is>
          <t xml:space="preserve">Renewal Serum</t>
        </is>
      </c>
      <c r="E1191" s="6">
        <f>IF('Settings'!$B$11="Scenario",IFERROR(INDEX('Catalogue'!$E$3:$E$100,MATCH(C1191,'Catalogue'!$B$3:$B$100,0)),F1191),F1191)</f>
        <v>69.9</v>
      </c>
      <c r="F1191" s="8">
        <v>69.9</v>
      </c>
      <c r="G1191" s="3">
        <v>1</v>
      </c>
      <c r="H1191" s="6">
        <f>IF('Settings'!$B$11="Scenario",ROUND(E1191*G1191*IFERROR(SUMIF('Pricing &amp; promotions'!$A$6:$A$8,L1191,'Pricing &amp; promotions'!$B$6:$B$8)/100,0),2),J1191)</f>
        <v>0.0</v>
      </c>
      <c r="I1191" s="6">
        <f>ROUND((E1191*G1191-H1191)/IF(OR(K1191=TRUE,K1191="TRUE",K1191="YES",K1191=1),1+'Settings'!$B$6/100,1),2)</f>
        <v>57.77</v>
      </c>
      <c r="J1191" s="8">
        <v>0.0</v>
      </c>
      <c r="K1191" s="3" t="inlineStr">
        <is>
          <t xml:space="preserve">TRUE</t>
        </is>
      </c>
      <c r="L1191" s="3"/>
      <c r="M1191" s="6">
        <f>ROUND(E1191*G1191-H1191,2)</f>
        <v>69.9</v>
      </c>
      <c r="N1191" s="5">
        <f>IF(COUNTIF($A$3:A1191,A1191)=1,1,0)</f>
        <v>1</v>
      </c>
      <c r="O1191" s="6">
        <f>IF(N1191=1,ROUND((SUMIFS($M$3:$M$1200,$A$3:$A$1200,A1191)+'Settings'!$B$13)*'Settings'!$B$14/100+'Settings'!$B$15,2),0)</f>
        <v>1.34</v>
      </c>
    </row>
    <row r="1192">
      <c r="A1192" s="3" t="inlineStr">
        <is>
          <t xml:space="preserve">#1883</t>
        </is>
      </c>
      <c r="B1192" s="3" t="inlineStr">
        <is>
          <t xml:space="preserve">2026-08-12</t>
        </is>
      </c>
      <c r="C1192" s="3" t="inlineStr">
        <is>
          <t xml:space="preserve">SKU-A</t>
        </is>
      </c>
      <c r="D1192" s="3" t="inlineStr">
        <is>
          <t xml:space="preserve">Renewal Serum</t>
        </is>
      </c>
      <c r="E1192" s="6">
        <f>IF('Settings'!$B$11="Scenario",IFERROR(INDEX('Catalogue'!$E$3:$E$100,MATCH(C1192,'Catalogue'!$B$3:$B$100,0)),F1192),F1192)</f>
        <v>69.9</v>
      </c>
      <c r="F1192" s="8">
        <v>69.9</v>
      </c>
      <c r="G1192" s="3">
        <v>1</v>
      </c>
      <c r="H1192" s="6">
        <f>IF('Settings'!$B$11="Scenario",ROUND(E1192*G1192*IFERROR(SUMIF('Pricing &amp; promotions'!$A$6:$A$8,L1192,'Pricing &amp; promotions'!$B$6:$B$8)/100,0),2),J1192)</f>
        <v>0.0</v>
      </c>
      <c r="I1192" s="6">
        <f>ROUND((E1192*G1192-H1192)/IF(OR(K1192=TRUE,K1192="TRUE",K1192="YES",K1192=1),1+'Settings'!$B$6/100,1),2)</f>
        <v>57.77</v>
      </c>
      <c r="J1192" s="8">
        <v>0.0</v>
      </c>
      <c r="K1192" s="3" t="inlineStr">
        <is>
          <t xml:space="preserve">TRUE</t>
        </is>
      </c>
      <c r="L1192" s="3"/>
      <c r="M1192" s="6">
        <f>ROUND(E1192*G1192-H1192,2)</f>
        <v>69.9</v>
      </c>
      <c r="N1192" s="5">
        <f>IF(COUNTIF($A$3:A1192,A1192)=1,1,0)</f>
        <v>1</v>
      </c>
      <c r="O1192" s="6">
        <f>IF(N1192=1,ROUND((SUMIFS($M$3:$M$1200,$A$3:$A$1200,A1192)+'Settings'!$B$13)*'Settings'!$B$14/100+'Settings'!$B$15,2),0)</f>
        <v>1.34</v>
      </c>
    </row>
    <row r="1193">
      <c r="A1193" s="3" t="inlineStr">
        <is>
          <t xml:space="preserve">#1884</t>
        </is>
      </c>
      <c r="B1193" s="3" t="inlineStr">
        <is>
          <t xml:space="preserve">2026-08-05</t>
        </is>
      </c>
      <c r="C1193" s="3" t="inlineStr">
        <is>
          <t xml:space="preserve">SKU-A</t>
        </is>
      </c>
      <c r="D1193" s="3" t="inlineStr">
        <is>
          <t xml:space="preserve">Renewal Serum</t>
        </is>
      </c>
      <c r="E1193" s="6">
        <f>IF('Settings'!$B$11="Scenario",IFERROR(INDEX('Catalogue'!$E$3:$E$100,MATCH(C1193,'Catalogue'!$B$3:$B$100,0)),F1193),F1193)</f>
        <v>69.9</v>
      </c>
      <c r="F1193" s="8">
        <v>69.9</v>
      </c>
      <c r="G1193" s="3">
        <v>1</v>
      </c>
      <c r="H1193" s="6">
        <f>IF('Settings'!$B$11="Scenario",ROUND(E1193*G1193*IFERROR(SUMIF('Pricing &amp; promotions'!$A$6:$A$8,L1193,'Pricing &amp; promotions'!$B$6:$B$8)/100,0),2),J1193)</f>
        <v>0.0</v>
      </c>
      <c r="I1193" s="6">
        <f>ROUND((E1193*G1193-H1193)/IF(OR(K1193=TRUE,K1193="TRUE",K1193="YES",K1193=1),1+'Settings'!$B$6/100,1),2)</f>
        <v>57.77</v>
      </c>
      <c r="J1193" s="8">
        <v>0.0</v>
      </c>
      <c r="K1193" s="3" t="inlineStr">
        <is>
          <t xml:space="preserve">TRUE</t>
        </is>
      </c>
      <c r="L1193" s="3"/>
      <c r="M1193" s="6">
        <f>ROUND(E1193*G1193-H1193,2)</f>
        <v>69.9</v>
      </c>
      <c r="N1193" s="5">
        <f>IF(COUNTIF($A$3:A1193,A1193)=1,1,0)</f>
        <v>1</v>
      </c>
      <c r="O1193" s="6">
        <f>IF(N1193=1,ROUND((SUMIFS($M$3:$M$1200,$A$3:$A$1200,A1193)+'Settings'!$B$13)*'Settings'!$B$14/100+'Settings'!$B$15,2),0)</f>
        <v>1.34</v>
      </c>
    </row>
    <row r="1194">
      <c r="A1194" s="3" t="inlineStr">
        <is>
          <t xml:space="preserve">#1885</t>
        </is>
      </c>
      <c r="B1194" s="3" t="inlineStr">
        <is>
          <t xml:space="preserve">2026-07-29</t>
        </is>
      </c>
      <c r="C1194" s="3" t="inlineStr">
        <is>
          <t xml:space="preserve">SKU-A</t>
        </is>
      </c>
      <c r="D1194" s="3" t="inlineStr">
        <is>
          <t xml:space="preserve">Renewal Serum</t>
        </is>
      </c>
      <c r="E1194" s="6">
        <f>IF('Settings'!$B$11="Scenario",IFERROR(INDEX('Catalogue'!$E$3:$E$100,MATCH(C1194,'Catalogue'!$B$3:$B$100,0)),F1194),F1194)</f>
        <v>69.9</v>
      </c>
      <c r="F1194" s="8">
        <v>69.9</v>
      </c>
      <c r="G1194" s="3">
        <v>1</v>
      </c>
      <c r="H1194" s="6">
        <f>IF('Settings'!$B$11="Scenario",ROUND(E1194*G1194*IFERROR(SUMIF('Pricing &amp; promotions'!$A$6:$A$8,L1194,'Pricing &amp; promotions'!$B$6:$B$8)/100,0),2),J1194)</f>
        <v>0.0</v>
      </c>
      <c r="I1194" s="6">
        <f>ROUND((E1194*G1194-H1194)/IF(OR(K1194=TRUE,K1194="TRUE",K1194="YES",K1194=1),1+'Settings'!$B$6/100,1),2)</f>
        <v>57.77</v>
      </c>
      <c r="J1194" s="8">
        <v>0.0</v>
      </c>
      <c r="K1194" s="3" t="inlineStr">
        <is>
          <t xml:space="preserve">TRUE</t>
        </is>
      </c>
      <c r="L1194" s="3"/>
      <c r="M1194" s="6">
        <f>ROUND(E1194*G1194-H1194,2)</f>
        <v>69.9</v>
      </c>
      <c r="N1194" s="5">
        <f>IF(COUNTIF($A$3:A1194,A1194)=1,1,0)</f>
        <v>1</v>
      </c>
      <c r="O1194" s="6">
        <f>IF(N1194=1,ROUND((SUMIFS($M$3:$M$1200,$A$3:$A$1200,A1194)+'Settings'!$B$13)*'Settings'!$B$14/100+'Settings'!$B$15,2),0)</f>
        <v>1.34</v>
      </c>
    </row>
    <row r="1195">
      <c r="A1195" s="3" t="inlineStr">
        <is>
          <t xml:space="preserve">#1886</t>
        </is>
      </c>
      <c r="B1195" s="3" t="inlineStr">
        <is>
          <t xml:space="preserve">2026-10-20</t>
        </is>
      </c>
      <c r="C1195" s="3" t="inlineStr">
        <is>
          <t xml:space="preserve">SKU-A</t>
        </is>
      </c>
      <c r="D1195" s="3" t="inlineStr">
        <is>
          <t xml:space="preserve">Renewal Serum</t>
        </is>
      </c>
      <c r="E1195" s="6">
        <f>IF('Settings'!$B$11="Scenario",IFERROR(INDEX('Catalogue'!$E$3:$E$100,MATCH(C1195,'Catalogue'!$B$3:$B$100,0)),F1195),F1195)</f>
        <v>69.9</v>
      </c>
      <c r="F1195" s="8">
        <v>69.9</v>
      </c>
      <c r="G1195" s="3">
        <v>1</v>
      </c>
      <c r="H1195" s="6">
        <f>IF('Settings'!$B$11="Scenario",ROUND(E1195*G1195*IFERROR(SUMIF('Pricing &amp; promotions'!$A$6:$A$8,L1195,'Pricing &amp; promotions'!$B$6:$B$8)/100,0),2),J1195)</f>
        <v>0.0</v>
      </c>
      <c r="I1195" s="6">
        <f>ROUND((E1195*G1195-H1195)/IF(OR(K1195=TRUE,K1195="TRUE",K1195="YES",K1195=1),1+'Settings'!$B$6/100,1),2)</f>
        <v>57.77</v>
      </c>
      <c r="J1195" s="8">
        <v>0.0</v>
      </c>
      <c r="K1195" s="3" t="inlineStr">
        <is>
          <t xml:space="preserve">TRUE</t>
        </is>
      </c>
      <c r="L1195" s="3"/>
      <c r="M1195" s="6">
        <f>ROUND(E1195*G1195-H1195,2)</f>
        <v>69.9</v>
      </c>
      <c r="N1195" s="5">
        <f>IF(COUNTIF($A$3:A1195,A1195)=1,1,0)</f>
        <v>1</v>
      </c>
      <c r="O1195" s="6">
        <f>IF(N1195=1,ROUND((SUMIFS($M$3:$M$1200,$A$3:$A$1200,A1195)+'Settings'!$B$13)*'Settings'!$B$14/100+'Settings'!$B$15,2),0)</f>
        <v>1.34</v>
      </c>
    </row>
    <row r="1196">
      <c r="A1196" s="3" t="inlineStr">
        <is>
          <t xml:space="preserve">#1887</t>
        </is>
      </c>
      <c r="B1196" s="3" t="inlineStr">
        <is>
          <t xml:space="preserve">2026-10-13</t>
        </is>
      </c>
      <c r="C1196" s="3" t="inlineStr">
        <is>
          <t xml:space="preserve">SKU-A</t>
        </is>
      </c>
      <c r="D1196" s="3" t="inlineStr">
        <is>
          <t xml:space="preserve">Renewal Serum</t>
        </is>
      </c>
      <c r="E1196" s="6">
        <f>IF('Settings'!$B$11="Scenario",IFERROR(INDEX('Catalogue'!$E$3:$E$100,MATCH(C1196,'Catalogue'!$B$3:$B$100,0)),F1196),F1196)</f>
        <v>69.9</v>
      </c>
      <c r="F1196" s="8">
        <v>69.9</v>
      </c>
      <c r="G1196" s="3">
        <v>1</v>
      </c>
      <c r="H1196" s="6">
        <f>IF('Settings'!$B$11="Scenario",ROUND(E1196*G1196*IFERROR(SUMIF('Pricing &amp; promotions'!$A$6:$A$8,L1196,'Pricing &amp; promotions'!$B$6:$B$8)/100,0),2),J1196)</f>
        <v>0.0</v>
      </c>
      <c r="I1196" s="6">
        <f>ROUND((E1196*G1196-H1196)/IF(OR(K1196=TRUE,K1196="TRUE",K1196="YES",K1196=1),1+'Settings'!$B$6/100,1),2)</f>
        <v>57.77</v>
      </c>
      <c r="J1196" s="8">
        <v>0.0</v>
      </c>
      <c r="K1196" s="3" t="inlineStr">
        <is>
          <t xml:space="preserve">TRUE</t>
        </is>
      </c>
      <c r="L1196" s="3"/>
      <c r="M1196" s="6">
        <f>ROUND(E1196*G1196-H1196,2)</f>
        <v>69.9</v>
      </c>
      <c r="N1196" s="5">
        <f>IF(COUNTIF($A$3:A1196,A1196)=1,1,0)</f>
        <v>1</v>
      </c>
      <c r="O1196" s="6">
        <f>IF(N1196=1,ROUND((SUMIFS($M$3:$M$1200,$A$3:$A$1200,A1196)+'Settings'!$B$13)*'Settings'!$B$14/100+'Settings'!$B$15,2),0)</f>
        <v>1.34</v>
      </c>
    </row>
    <row r="1197">
      <c r="A1197" s="3" t="inlineStr">
        <is>
          <t xml:space="preserve">#1888</t>
        </is>
      </c>
      <c r="B1197" s="3" t="inlineStr">
        <is>
          <t xml:space="preserve">2026-10-06</t>
        </is>
      </c>
      <c r="C1197" s="3" t="inlineStr">
        <is>
          <t xml:space="preserve">SKU-B</t>
        </is>
      </c>
      <c r="D1197" s="3" t="inlineStr">
        <is>
          <t xml:space="preserve">Barrier Balm</t>
        </is>
      </c>
      <c r="E1197" s="6">
        <f>IF('Settings'!$B$11="Scenario",IFERROR(INDEX('Catalogue'!$E$3:$E$100,MATCH(C1197,'Catalogue'!$B$3:$B$100,0)),F1197),F1197)</f>
        <v>19</v>
      </c>
      <c r="F1197" s="8">
        <v>19</v>
      </c>
      <c r="G1197" s="3">
        <v>1</v>
      </c>
      <c r="H1197" s="6">
        <f>IF('Settings'!$B$11="Scenario",ROUND(E1197*G1197*IFERROR(SUMIF('Pricing &amp; promotions'!$A$6:$A$8,L1197,'Pricing &amp; promotions'!$B$6:$B$8)/100,0),2),J1197)</f>
        <v>0.0</v>
      </c>
      <c r="I1197" s="6">
        <f>ROUND((E1197*G1197-H1197)/IF(OR(K1197=TRUE,K1197="TRUE",K1197="YES",K1197=1),1+'Settings'!$B$6/100,1),2)</f>
        <v>15.7</v>
      </c>
      <c r="J1197" s="8">
        <v>0.0</v>
      </c>
      <c r="K1197" s="3" t="inlineStr">
        <is>
          <t xml:space="preserve">TRUE</t>
        </is>
      </c>
      <c r="L1197" s="3"/>
      <c r="M1197" s="6">
        <f>ROUND(E1197*G1197-H1197,2)</f>
        <v>19.0</v>
      </c>
      <c r="N1197" s="5">
        <f>IF(COUNTIF($A$3:A1197,A1197)=1,1,0)</f>
        <v>1</v>
      </c>
      <c r="O1197" s="6">
        <f>IF(N1197=1,ROUND((SUMIFS($M$3:$M$1200,$A$3:$A$1200,A1197)+'Settings'!$B$13)*'Settings'!$B$14/100+'Settings'!$B$15,2),0)</f>
        <v>0.58</v>
      </c>
    </row>
    <row r="1198">
      <c r="A1198" s="3" t="inlineStr">
        <is>
          <t xml:space="preserve">#1889</t>
        </is>
      </c>
      <c r="B1198" s="3" t="inlineStr">
        <is>
          <t xml:space="preserve">2026-09-29</t>
        </is>
      </c>
      <c r="C1198" s="3" t="inlineStr">
        <is>
          <t xml:space="preserve">SKU-B</t>
        </is>
      </c>
      <c r="D1198" s="3" t="inlineStr">
        <is>
          <t xml:space="preserve">Barrier Balm</t>
        </is>
      </c>
      <c r="E1198" s="6">
        <f>IF('Settings'!$B$11="Scenario",IFERROR(INDEX('Catalogue'!$E$3:$E$100,MATCH(C1198,'Catalogue'!$B$3:$B$100,0)),F1198),F1198)</f>
        <v>19</v>
      </c>
      <c r="F1198" s="8">
        <v>19</v>
      </c>
      <c r="G1198" s="3">
        <v>1</v>
      </c>
      <c r="H1198" s="6">
        <f>IF('Settings'!$B$11="Scenario",ROUND(E1198*G1198*IFERROR(SUMIF('Pricing &amp; promotions'!$A$6:$A$8,L1198,'Pricing &amp; promotions'!$B$6:$B$8)/100,0),2),J1198)</f>
        <v>0.0</v>
      </c>
      <c r="I1198" s="6">
        <f>ROUND((E1198*G1198-H1198)/IF(OR(K1198=TRUE,K1198="TRUE",K1198="YES",K1198=1),1+'Settings'!$B$6/100,1),2)</f>
        <v>15.7</v>
      </c>
      <c r="J1198" s="8">
        <v>0.0</v>
      </c>
      <c r="K1198" s="3" t="inlineStr">
        <is>
          <t xml:space="preserve">TRUE</t>
        </is>
      </c>
      <c r="L1198" s="3"/>
      <c r="M1198" s="6">
        <f>ROUND(E1198*G1198-H1198,2)</f>
        <v>19.0</v>
      </c>
      <c r="N1198" s="5">
        <f>IF(COUNTIF($A$3:A1198,A1198)=1,1,0)</f>
        <v>1</v>
      </c>
      <c r="O1198" s="6">
        <f>IF(N1198=1,ROUND((SUMIFS($M$3:$M$1200,$A$3:$A$1200,A1198)+'Settings'!$B$13)*'Settings'!$B$14/100+'Settings'!$B$15,2),0)</f>
        <v>0.58</v>
      </c>
    </row>
    <row r="1199">
      <c r="A1199" s="3" t="inlineStr">
        <is>
          <t xml:space="preserve">#1890</t>
        </is>
      </c>
      <c r="B1199" s="3" t="inlineStr">
        <is>
          <t xml:space="preserve">2026-09-22</t>
        </is>
      </c>
      <c r="C1199" s="3" t="inlineStr">
        <is>
          <t xml:space="preserve">SKU-B</t>
        </is>
      </c>
      <c r="D1199" s="3" t="inlineStr">
        <is>
          <t xml:space="preserve">Barrier Balm</t>
        </is>
      </c>
      <c r="E1199" s="6">
        <f>IF('Settings'!$B$11="Scenario",IFERROR(INDEX('Catalogue'!$E$3:$E$100,MATCH(C1199,'Catalogue'!$B$3:$B$100,0)),F1199),F1199)</f>
        <v>19</v>
      </c>
      <c r="F1199" s="8">
        <v>19</v>
      </c>
      <c r="G1199" s="3">
        <v>1</v>
      </c>
      <c r="H1199" s="6">
        <f>IF('Settings'!$B$11="Scenario",ROUND(E1199*G1199*IFERROR(SUMIF('Pricing &amp; promotions'!$A$6:$A$8,L1199,'Pricing &amp; promotions'!$B$6:$B$8)/100,0),2),J1199)</f>
        <v>1.9</v>
      </c>
      <c r="I1199" s="6">
        <f>ROUND((E1199*G1199-H1199)/IF(OR(K1199=TRUE,K1199="TRUE",K1199="YES",K1199=1),1+'Settings'!$B$6/100,1),2)</f>
        <v>14.13</v>
      </c>
      <c r="J1199" s="8">
        <v>1.9</v>
      </c>
      <c r="K1199" s="3" t="inlineStr">
        <is>
          <t xml:space="preserve">TRUE</t>
        </is>
      </c>
      <c r="L1199" s="3" t="inlineStr">
        <is>
          <t xml:space="preserve">WELCOME10</t>
        </is>
      </c>
      <c r="M1199" s="6">
        <f>ROUND(E1199*G1199-H1199,2)</f>
        <v>17.1</v>
      </c>
      <c r="N1199" s="5">
        <f>IF(COUNTIF($A$3:A1199,A1199)=1,1,0)</f>
        <v>1</v>
      </c>
      <c r="O1199" s="6">
        <f>IF(N1199=1,ROUND((SUMIFS($M$3:$M$1200,$A$3:$A$1200,A1199)+'Settings'!$B$13)*'Settings'!$B$14/100+'Settings'!$B$15,2),0)</f>
        <v>0.55</v>
      </c>
    </row>
    <row r="1200">
      <c r="A1200" s="3" t="inlineStr">
        <is>
          <t xml:space="preserve">#1891</t>
        </is>
      </c>
      <c r="B1200" s="3" t="inlineStr">
        <is>
          <t xml:space="preserve">2026-09-15</t>
        </is>
      </c>
      <c r="C1200" s="3" t="inlineStr">
        <is>
          <t xml:space="preserve">SKU-C</t>
        </is>
      </c>
      <c r="D1200" s="3" t="inlineStr">
        <is>
          <t xml:space="preserve">Contour Stone</t>
        </is>
      </c>
      <c r="E1200" s="6">
        <f>IF('Settings'!$B$11="Scenario",IFERROR(INDEX('Catalogue'!$E$3:$E$100,MATCH(C1200,'Catalogue'!$B$3:$B$100,0)),F1200),F1200)</f>
        <v>29</v>
      </c>
      <c r="F1200" s="8">
        <v>29</v>
      </c>
      <c r="G1200" s="3">
        <v>1</v>
      </c>
      <c r="H1200" s="6">
        <f>IF('Settings'!$B$11="Scenario",ROUND(E1200*G1200*IFERROR(SUMIF('Pricing &amp; promotions'!$A$6:$A$8,L1200,'Pricing &amp; promotions'!$B$6:$B$8)/100,0),2),J1200)</f>
        <v>4.35</v>
      </c>
      <c r="I1200" s="6">
        <f>ROUND((E1200*G1200-H1200)/IF(OR(K1200=TRUE,K1200="TRUE",K1200="YES",K1200=1),1+'Settings'!$B$6/100,1),2)</f>
        <v>20.37</v>
      </c>
      <c r="J1200" s="8">
        <v>4.35</v>
      </c>
      <c r="K1200" s="3" t="inlineStr">
        <is>
          <t xml:space="preserve">TRUE</t>
        </is>
      </c>
      <c r="L1200" s="3" t="inlineStr">
        <is>
          <t xml:space="preserve">SUMMER15</t>
        </is>
      </c>
      <c r="M1200" s="6">
        <f>ROUND(E1200*G1200-H1200,2)</f>
        <v>24.65</v>
      </c>
      <c r="N1200" s="5">
        <f>IF(COUNTIF($A$3:A1200,A1200)=1,1,0)</f>
        <v>1</v>
      </c>
      <c r="O1200" s="6">
        <f>IF(N1200=1,ROUND((SUMIFS($M$3:$M$1200,$A$3:$A$1200,A1200)+'Settings'!$B$13)*'Settings'!$B$14/100+'Settings'!$B$15,2),0)</f>
        <v>0.66</v>
      </c>
    </row>
  </sheetData>
</worksheet>
</file>