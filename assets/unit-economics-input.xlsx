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Read me" sheetId="2" r:id="rId2"/>
    <sheet name="Settings" sheetId="3" r:id="rId3"/>
    <sheet name="Catalogue" sheetId="4" r:id="rId4"/>
    <sheet name="Pricing &amp; promotions" sheetId="5" r:id="rId5"/>
    <sheet name="Pricing planner" sheetId="6" r:id="rId6"/>
    <sheet name="Orders" sheetId="7" r:id="rId7"/>
  </sheet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€#,##0.00"/>
  </numFmts>
  <fonts count="4">
    <font>
      <sz val="11"/>
      <name val="Calibri"/>
    </font>
    <font>
      <b/>
      <sz val="14"/>
      <color rgb="FF1B1B2F"/>
      <name val="Calibri"/>
    </font>
    <font>
      <b/>
      <sz val="11"/>
      <color rgb="FFFFFFFF"/>
      <name val="Calibri"/>
    </font>
    <font>
      <i/>
      <sz val="10"/>
      <color rgb="FF6666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5A4FE8"/>
        <bgColor indexed="64"/>
      </patternFill>
    </fill>
    <fill>
      <patternFill patternType="solid">
        <fgColor rgb="FFFFF6CC"/>
        <bgColor indexed="64"/>
      </patternFill>
    </fill>
    <fill>
      <patternFill patternType="solid">
        <fgColor rgb="FFEFF5F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3" borderId="0" xfId="0" applyFill="1"/>
    <xf numFmtId="0" fontId="3" fillId="0" borderId="0" xfId="0" applyFont="1"/>
    <xf numFmtId="0" fontId="0" fillId="4" borderId="0" xfId="0" applyFill="1"/>
    <xf numFmtId="164" fontId="0" fillId="4" borderId="0" xfId="0" applyNumberFormat="1" applyFill="1"/>
    <xf numFmtId="10" fontId="0" fillId="4" borderId="0" xfId="0" applyNumberFormat="1" applyFill="1"/>
    <xf numFmtId="164" fontId="0" fillId="3" borderId="0" xfId="0" applyNumberFormat="1" applyFill="1"/>
    <xf numFmtId="10" fontId="0" fillId="3" borderId="0" xfId="0" applyNumberFormat="1" applyFill="1"/>
    <xf numFmtId="0" fontId="2" fillId="2" borderId="0" xfId="0" applyFont="1" applyFill="1"/>
    <xf numFmtId="164" fontId="2" fillId="2" borderId="0" xfId="0" applyFont="1" applyFill="1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>
  <c:lang val="en-US"/>
  <c:roundedCorners val="0"/>
  <c:chart>
    <c:title>
      <c:tx>
        <c:rich>
          <a:bodyPr/>
          <a:lstStyle/>
          <a:p>
            <a:r>
              <a:rPr lang="en-US" sz="1400" b="1">
                <a:solidFill>
                  <a:srgbClr val="1B1B2F"/>
                </a:solidFill>
              </a:rPr>
              <a:t>Gross sales by product (€)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Gross sales</c:v>
          </c:tx>
          <c:spPr>
            <a:solidFill>
              <a:srgbClr val="5A4FE8"/>
            </a:solidFill>
            <a:ln>
              <a:noFill/>
            </a:ln>
          </c:spPr>
          <c:cat>
            <c:strRef>
              <c:f>Dashboard!$B$27:$B$33</c:f>
              <c:strCache>
                <c:ptCount val="7"/>
                <c:pt idx="0">
                  <c:v>Renewal Serum</c:v>
                </c:pt>
                <c:pt idx="1">
                  <c:v>Barrier Balm</c:v>
                </c:pt>
                <c:pt idx="2">
                  <c:v>Contour Stone</c:v>
                </c:pt>
                <c:pt idx="3">
                  <c:v>Cloud Cleanser</c:v>
                </c:pt>
                <c:pt idx="4">
                  <c:v>Daily Duo</c:v>
                </c:pt>
                <c:pt idx="5">
                  <c:v>Complete Ritual</c:v>
                </c:pt>
                <c:pt idx="6">
                  <c:v>Daily Reset Set</c:v>
                </c:pt>
              </c:strCache>
            </c:strRef>
          </c:cat>
          <c:val>
            <c:numRef>
              <c:f>Dashboard!$C$27:$C$33</c:f>
              <c:numCache>
                <c:formatCode>€#,##0</c:formatCode>
                <c:ptCount val="7"/>
                <c:pt idx="0">
                  <c:v>26205.28</c:v>
                </c:pt>
                <c:pt idx="1">
                  <c:v>2713.2</c:v>
                </c:pt>
                <c:pt idx="2">
                  <c:v>2009.7</c:v>
                </c:pt>
                <c:pt idx="3">
                  <c:v>2323.9</c:v>
                </c:pt>
                <c:pt idx="4">
                  <c:v>19599.9</c:v>
                </c:pt>
                <c:pt idx="5">
                  <c:v>19597.8</c:v>
                </c:pt>
                <c:pt idx="6">
                  <c:v>11305.65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5"/>
        <c:axId val="101"/>
        <c:axId val="102"/>
      </c:barChart>
      <c:catAx>
        <c:axId val="101"/>
        <c:scaling>
          <c:orientation val="maxMin"/>
        </c:scaling>
        <c:delete val="0"/>
        <c:axPos val="l"/>
        <c:tickLblPos val="nextTo"/>
        <c:crossAx val="102"/>
        <c:crosses val="autoZero"/>
        <c:auto val="1"/>
        <c:lblAlgn val="ctr"/>
        <c:lblOffset val="100"/>
      </c:catAx>
      <c:valAx>
        <c:axId val="102"/>
        <c:scaling>
          <c:orientation val="minMax"/>
        </c:scaling>
        <c:delete val="0"/>
        <c:axPos val="b"/>
        <c:majorGridlines/>
        <c:numFmt formatCode="€#,##0" sourceLinked="0"/>
        <c:tickLblPos val="nextTo"/>
        <c:crossAx val="101"/>
        <c:crosses val="autoZero"/>
        <c:crossBetween val="between"/>
      </c:valAx>
    </c:plotArea>
    <c:plotVisOnly val="1"/>
    <c:dispBlanksAs val="gap"/>
    <c:showDLblsOverMax val="0"/>
  </c:chart>
</c:chartSpace>
</file>

<file path=xl/charts/chart2.xml><?xml version="1.0" encoding="utf-8"?>
<c:chartSpace xmlns:c="http://schemas.openxmlformats.org/drawingml/2006/chart" xmlns:a="http://schemas.openxmlformats.org/drawingml/2006/main">
  <c:lang val="en-US"/>
  <c:roundedCorners val="0"/>
  <c:chart>
    <c:title>
      <c:tx>
        <c:rich>
          <a:bodyPr/>
          <a:lstStyle/>
          <a:p>
            <a:r>
              <a:rPr lang="en-US" sz="1400" b="1">
                <a:solidFill>
                  <a:srgbClr val="1B1B2F"/>
                </a:solidFill>
              </a:rPr>
              <a:t>Gross-sales benchmark</a:t>
            </a:r>
          </a:p>
        </c:rich>
      </c:tx>
      <c:layout/>
      <c:overlay val="0"/>
    </c:title>
    <c:plotArea>
      <c:layout/>
      <c:doughnutChart>
        <c:varyColors val="0"/>
        <c:ser>
          <c:idx val="0"/>
          <c:order val="0"/>
          <c:tx>
            <c:v>Gross-sales benchmark</c:v>
          </c:tx>
          <c:dPt>
            <c:idx val="0"/>
            <c:spPr>
              <a:solidFill>
                <a:srgbClr val="5A4FE8"/>
              </a:solidFill>
              <a:ln>
                <a:noFill/>
              </a:ln>
            </c:spPr>
          </c:dPt>
          <c:dPt>
            <c:idx val="1"/>
            <c:spPr>
              <a:solidFill>
                <a:srgbClr val="E6E9F2"/>
              </a:solidFill>
              <a:ln>
                <a:noFill/>
              </a:ln>
            </c:spPr>
          </c:dPt>
          <c:cat>
            <c:strRef>
              <c:f>Dashboard!$A$36:$A$37</c:f>
              <c:strCache>
                <c:ptCount val="2"/>
                <c:pt idx="0">
                  <c:v>Achieved</c:v>
                </c:pt>
                <c:pt idx="1">
                  <c:v>Remaining</c:v>
                </c:pt>
              </c:strCache>
            </c:strRef>
          </c:cat>
          <c:val>
            <c:numRef>
              <c:f>Dashboard!$B$36:$B$37</c:f>
              <c:numCache>
                <c:formatCode>€#,##0</c:formatCode>
                <c:ptCount val="2"/>
                <c:pt idx="0">
                  <c:v>83755.43</c:v>
                </c:pt>
                <c:pt idx="1">
                  <c:v>16244.57</c:v>
                </c:pt>
              </c:numCache>
            </c:numRef>
          </c:val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0"/>
        </c:dLbls>
        <c:firstSliceAng val="270"/>
        <c:holeSize val="68"/>
      </c:doughnutChart>
    </c:plotArea>
    <c:legend>
      <c:legendPos val="b"/>
      <c:layout/>
      <c:overlay val="0"/>
    </c:legend>
    <c:plotVisOnly val="0"/>
    <c:dispBlanksAs val="gap"/>
    <c:showDLblsOverMax val="0"/>
  </c:chart>
</c:chartSpace>
</file>

<file path=xl/drawings/_rels/drawing1.xml.rels><?xml version="1.0" encoding="UTF-8" standalone="yes"?>
<Relationships xmlns="http://schemas.openxmlformats.org/package/2006/relationships">
 <Relationship Id="rId1" Type="http://schemas.openxmlformats.org/officeDocument/2006/relationships/chart" Target="../charts/chart1.xml"/>
 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0</xdr:colOff>
      <xdr:row>17</xdr:row>
      <xdr:rowOff>0</xdr:rowOff>
    </xdr:to>
    <xdr:graphicFrame macro="">
      <xdr:nvGraphicFramePr>
        <xdr:cNvPr id="2" name="Gross sales by product"/>
        <xdr:cNvGraphicFramePr/>
      </xdr:nvGraphicFramePr>
      <xdr:xfrm/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14</xdr:col>
      <xdr:colOff>0</xdr:colOff>
      <xdr:row>34</xdr:row>
      <xdr:rowOff>0</xdr:rowOff>
    </xdr:to>
    <xdr:graphicFrame macro="">
      <xdr:nvGraphicFramePr>
        <xdr:cNvPr id="3" name="Gross-sales benchmark"/>
        <xdr:cNvGraphicFramePr/>
      </xdr:nvGraphicFramePr>
      <xdr:xfrm/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worksheets/_rels/sheet1.xml.rels><?xml version="1.0" encoding="UTF-8" standalone="yes"?>
<Relationships xmlns="http://schemas.openxmlformats.org/package/2006/relationships">
 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2" topLeftCell="A3" activePane="bottomLeft" state="frozen"/>
    </sheetView>
  </sheetViews>
  <cols>
    <col min="1" max="1" width="20" customWidth="1"/>
    <col min="2" max="2" width="48" customWidth="1"/>
    <col min="3" max="3" width="22" customWidth="1"/>
    <col min="4" max="4" width="28" customWidth="1"/>
    <col min="5" max="5" width="18" customWidth="1"/>
    <col min="6" max="6" width="16" customWidth="1"/>
    <col min="7" max="7" width="4" customWidth="1"/>
    <col min="8" max="8" width="14" customWidth="1"/>
    <col min="9" max="9" width="14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</cols>
  <sheetData>
    <row r="1">
      <c r="A1" s="1" t="inlineStr">
        <is>
          <t xml:space="preserve">Luma Vale | Excel dashboard</t>
        </is>
      </c>
    </row>
    <row r="2">
      <c r="A2" s="4" t="inlineStr">
        <is>
          <t xml:space="preserve">Instant workbook view: yellow Catalogue and promotion edits flow through blue calculated Orders values.</t>
        </is>
      </c>
    </row>
    <row r="3">
      <c r="A3" s="5"/>
    </row>
    <row r="4">
      <c r="A4" s="1" t="inlineStr">
        <is>
          <t xml:space="preserve">About this workbook</t>
        </is>
      </c>
    </row>
    <row r="5">
      <c r="A5" s="4" t="inlineStr">
        <is>
          <t xml:space="preserve">Built first for a Shopify e-commerce store, then adapted as a credential-free public demo.</t>
        </is>
      </c>
    </row>
    <row r="6">
      <c r="A6" s="4" t="inlineStr">
        <is>
          <t xml:space="preserve">This tab updates immediately in Excel. The polished interactive dashboard is published online.</t>
        </is>
      </c>
    </row>
    <row r="7">
      <c r="A7" s="10" t="inlineStr">
        <is>
          <t xml:space="preserve">Online dashboard</t>
        </is>
      </c>
      <c r="B7" s="0" t="inlineStr">
        <is>
          <t xml:space="preserve">https://eduardosalomonm.github.io/shopify-unit-economics/</t>
        </is>
      </c>
    </row>
    <row r="8">
      <c r="A8" s="5"/>
    </row>
    <row r="9">
      <c r="A9" s="1" t="inlineStr">
        <is>
          <t xml:space="preserve">Live commercial picture</t>
        </is>
      </c>
      <c r="B9" s="1" t="inlineStr">
        <is>
          <t xml:space="preserve">Value</t>
        </is>
      </c>
      <c r="C9" s="1"/>
      <c r="D9" s="1" t="inlineStr">
        <is>
          <t xml:space="preserve">After variable costs</t>
        </is>
      </c>
      <c r="E9" s="1" t="inlineStr">
        <is>
          <t xml:space="preserve">Value</t>
        </is>
      </c>
    </row>
    <row r="10">
      <c r="A10" s="5" t="inlineStr">
        <is>
          <t xml:space="preserve">Gross sales</t>
        </is>
      </c>
      <c r="B10" s="11">
        <f>SUMPRODUCT(('Orders'!$E$3:$E$1200*'Orders'!$G$3:$G$1200)-'Orders'!$H$3:$H$1200)</f>
        <v>83755.43</v>
      </c>
      <c r="C10" s="5"/>
      <c r="D10" s="5" t="inlineStr">
        <is>
          <t xml:space="preserve">Contribution margin</t>
        </is>
      </c>
      <c r="E10" s="6">
        <f>B11</f>
        <v>51319.39</v>
      </c>
    </row>
    <row r="11">
      <c r="A11" s="5" t="inlineStr">
        <is>
          <t xml:space="preserve">Contribution margin</t>
        </is>
      </c>
      <c r="B11" s="6">
        <f>SUM(E27:E33)</f>
        <v>51319.39</v>
      </c>
      <c r="C11" s="5"/>
      <c r="D11" s="5" t="inlineStr">
        <is>
          <t xml:space="preserve">+ Shipping charged ex VAT</t>
        </is>
      </c>
      <c r="E11" s="6">
        <f>ROUND(ROUND('Settings'!B13/(1+'Settings'!B6/100),2)*SUMPRODUCT(1/COUNTIF('Orders'!$A$3:$A$1200,'Orders'!$A$3:$A$1200)),2)</f>
        <v>2174.04</v>
      </c>
    </row>
    <row r="12">
      <c r="A12" s="5" t="inlineStr">
        <is>
          <t xml:space="preserve">Order lines</t>
        </is>
      </c>
      <c r="B12" s="10">
        <f>COUNTA('Orders'!$A$3:$A$1200)</f>
        <v>1198</v>
      </c>
      <c r="C12" s="5"/>
      <c r="D12" s="5" t="inlineStr">
        <is>
          <t xml:space="preserve">- Fulfilment</t>
        </is>
      </c>
      <c r="E12" s="6">
        <f>ROUND('Settings'!B12*SUMPRODUCT(1/COUNTIF('Orders'!$A$3:$A$1200,'Orders'!$A$3:$A$1200)),2)</f>
        <v>4811.4</v>
      </c>
    </row>
    <row r="13">
      <c r="A13" s="5" t="inlineStr">
        <is>
          <t xml:space="preserve">Units sold</t>
        </is>
      </c>
      <c r="B13" s="10">
        <f>SUM('Orders'!$G$3:$G$1200)</f>
        <v>1358</v>
      </c>
      <c r="C13" s="5"/>
      <c r="D13" s="5" t="inlineStr">
        <is>
          <t xml:space="preserve">- Payment fees</t>
        </is>
      </c>
      <c r="E13" s="6">
        <f>ROUND('Settings'!B14/100*(B10+'Settings'!B13*SUMPRODUCT(1/COUNTIF('Orders'!$A$3:$A$1200,'Orders'!$A$3:$A$1200)))+'Settings'!B15*SUMPRODUCT(1/COUNTIF('Orders'!$A$3:$A$1200,'Orders'!$A$3:$A$1200)),2)</f>
        <v>1518.51</v>
      </c>
    </row>
    <row r="14">
      <c r="A14" s="5"/>
      <c r="B14" s="5"/>
      <c r="C14" s="5"/>
      <c r="D14" s="5" t="inlineStr">
        <is>
          <t xml:space="preserve">- Advertising</t>
        </is>
      </c>
      <c r="E14" s="6">
        <f>SUM('Settings'!$B$19:$B$60)</f>
        <v>11997</v>
      </c>
    </row>
    <row r="15">
      <c r="A15" s="1" t="inlineStr">
        <is>
          <t xml:space="preserve">Gross-sales benchmark</t>
        </is>
      </c>
      <c r="B15" s="1" t="inlineStr">
        <is>
          <t xml:space="preserve">Value</t>
        </is>
      </c>
      <c r="C15" s="1"/>
      <c r="D15" s="10" t="inlineStr">
        <is>
          <t xml:space="preserve">After variable costs</t>
        </is>
      </c>
      <c r="E15" s="11">
        <f>E10+E11-E12-E13-E14</f>
        <v>35166.52</v>
      </c>
    </row>
    <row r="16">
      <c r="A16" s="5" t="inlineStr">
        <is>
          <t xml:space="preserve">Gross sales target</t>
        </is>
      </c>
      <c r="B16" s="6">
        <f>'Settings'!B8</f>
        <v>100000</v>
      </c>
      <c r="C16" s="5"/>
      <c r="D16" s="5" t="inlineStr">
        <is>
          <t xml:space="preserve">Share of net sales</t>
        </is>
      </c>
      <c r="E16" s="7">
        <f>IF(SUM('Orders'!$I$3:$I$1200)=0,0,E15/SUM('Orders'!$I$3:$I$1200))</f>
        <v>0.508</v>
      </c>
    </row>
    <row r="17">
      <c r="A17" s="5" t="inlineStr">
        <is>
          <t xml:space="preserve">Progress</t>
        </is>
      </c>
      <c r="B17" s="7">
        <f>B10/B16</f>
        <v>0.8376</v>
      </c>
      <c r="C17" s="5"/>
      <c r="D17" s="4" t="inlineStr">
        <is>
          <t xml:space="preserve">Costs come from Settings. Not net profit.</t>
        </is>
      </c>
      <c r="E17" s="5"/>
    </row>
    <row r="18">
      <c r="A18" s="5" t="inlineStr">
        <is>
          <t xml:space="preserve">Remaining</t>
        </is>
      </c>
      <c r="B18" s="6">
        <f>MAX(B16-B10,0)</f>
        <v>16244.569999999978</v>
      </c>
    </row>
    <row r="19">
      <c r="A19" s="5"/>
    </row>
    <row r="20">
      <c r="A20" s="1" t="inlineStr">
        <is>
          <t xml:space="preserve">Data-driven observations</t>
        </is>
      </c>
    </row>
    <row r="21">
      <c r="A21" s="5" t="str">
        <f>INDEX(B27:B33,MATCH(MAX(C27:C33),C27:C33,0))&amp;" leads scenario gross sales at "&amp;TEXT(MAX(C27:C33),"€#,##0")&amp;"."</f>
        <v>Renewal Serum leads scenario gross sales at €26,205.</v>
      </c>
    </row>
    <row r="22">
      <c r="A22" s="5" t="str">
        <f>IF(COUNTIF('Pricing planner'!G6:G9,"Below cost")+COUNTIF('Pricing planner'!I13:I15,"Below cost")&gt;0,"Price warning: at least one current offer is below cost. Review Pricing planner.","All current product and bundle prices are above cost.")</f>
        <v>All current product and bundle prices are above cost.</v>
      </c>
    </row>
    <row r="23">
      <c r="A23" s="5" t="str">
        <f>IF(B17&gt;=1,"Gross-sales benchmark reached.",TEXT(B18,"€#,##0")&amp;" remains to reach the benchmark.")</f>
        <v>€16,245 remains to reach the benchmark.</v>
      </c>
    </row>
    <row r="24">
      <c r="A24" s="5"/>
    </row>
    <row r="25">
      <c r="A25" s="1" t="inlineStr">
        <is>
          <t xml:space="preserve">Sales by SKU</t>
        </is>
      </c>
    </row>
    <row r="26">
      <c r="A26" s="2" t="inlineStr">
        <is>
          <t xml:space="preserve">SKU</t>
        </is>
      </c>
      <c r="B26" s="2" t="inlineStr">
        <is>
          <t xml:space="preserve">Product</t>
        </is>
      </c>
      <c r="C26" s="2" t="inlineStr">
        <is>
          <t xml:space="preserve">Scenario gross sales</t>
        </is>
      </c>
      <c r="D26" s="2" t="inlineStr">
        <is>
          <t xml:space="preserve">Units</t>
        </is>
      </c>
      <c r="E26" s="2" t="inlineStr">
        <is>
          <t xml:space="preserve">Contribution margin</t>
        </is>
      </c>
      <c r="F26" s="2" t="inlineStr">
        <is>
          <t xml:space="preserve">Margin %</t>
        </is>
      </c>
    </row>
    <row r="27">
      <c r="A27" s="5" t="str">
        <f>'Catalogue'!B3</f>
        <v>SKU-A</v>
      </c>
      <c r="B27" s="5" t="str">
        <f>'Catalogue'!C3</f>
        <v>Renewal Serum</v>
      </c>
      <c r="C27" s="6">
        <f>SUMPRODUCT(('Orders'!$C$3:$C$1200=A27)*(('Orders'!$E$3:$E$1200*'Orders'!$G$3:$G$1200)-'Orders'!$H$3:$H$1200))</f>
        <v>26205.28</v>
      </c>
      <c r="D27" s="5">
        <f>SUMIF('Orders'!$C$3:$C$1200,A27,'Orders'!$G$3:$G$1200)</f>
        <v>395</v>
      </c>
      <c r="E27" s="6">
        <f>ROUND(SUMIF('Orders'!$C$3:$C$1200,A27,'Orders'!$I$3:$I$1200)-('Catalogue'!D3)*D27,2)</f>
        <v>16601.39</v>
      </c>
      <c r="F27" s="7">
        <f>IF(C27=0,0,E27/SUMIF('Orders'!$C$3:$C$1200,A27,'Orders'!$I$3:$I$1200))</f>
        <v>0.7665510000000001</v>
      </c>
    </row>
    <row r="28">
      <c r="A28" s="5" t="str">
        <f>'Catalogue'!B4</f>
        <v>SKU-B</v>
      </c>
      <c r="B28" s="5" t="str">
        <f>'Catalogue'!C4</f>
        <v>Barrier Balm</v>
      </c>
      <c r="C28" s="6">
        <f>SUMPRODUCT(('Orders'!$C$3:$C$1200=A28)*(('Orders'!$E$3:$E$1200*'Orders'!$G$3:$G$1200)-'Orders'!$H$3:$H$1200))</f>
        <v>2713.2</v>
      </c>
      <c r="D28" s="5">
        <f>SUMIF('Orders'!$C$3:$C$1200,A28,'Orders'!$G$3:$G$1200)</f>
        <v>150</v>
      </c>
      <c r="E28" s="6">
        <f>ROUND(SUMIF('Orders'!$C$3:$C$1200,A28,'Orders'!$I$3:$I$1200)-('Catalogue'!D4)*D28,2)</f>
        <v>1657.02</v>
      </c>
      <c r="F28" s="7">
        <f>IF(C28=0,0,E28/SUMIF('Orders'!$C$3:$C$1200,A28,'Orders'!$I$3:$I$1200))</f>
        <v>0.738978</v>
      </c>
    </row>
    <row r="29">
      <c r="A29" s="5" t="str">
        <f>'Catalogue'!B5</f>
        <v>SKU-C</v>
      </c>
      <c r="B29" s="5" t="str">
        <f>'Catalogue'!C5</f>
        <v>Contour Stone</v>
      </c>
      <c r="C29" s="6">
        <f>SUMPRODUCT(('Orders'!$C$3:$C$1200=A29)*(('Orders'!$E$3:$E$1200*'Orders'!$G$3:$G$1200)-'Orders'!$H$3:$H$1200))</f>
        <v>2009.7</v>
      </c>
      <c r="D29" s="5">
        <f>SUMIF('Orders'!$C$3:$C$1200,A29,'Orders'!$G$3:$G$1200)</f>
        <v>73</v>
      </c>
      <c r="E29" s="6">
        <f>ROUND(SUMIF('Orders'!$C$3:$C$1200,A29,'Orders'!$I$3:$I$1200)-('Catalogue'!D5)*D29,2)</f>
        <v>1266.75</v>
      </c>
      <c r="F29" s="7">
        <f>IF(C29=0,0,E29/SUMIF('Orders'!$C$3:$C$1200,A29,'Orders'!$I$3:$I$1200))</f>
        <v>0.7626850000000001</v>
      </c>
    </row>
    <row r="30">
      <c r="A30" s="5" t="str">
        <f>'Catalogue'!B6</f>
        <v>SKU-F</v>
      </c>
      <c r="B30" s="5" t="str">
        <f>'Catalogue'!C6</f>
        <v>Cloud Cleanser</v>
      </c>
      <c r="C30" s="6">
        <f>SUMPRODUCT(('Orders'!$C$3:$C$1200=A30)*(('Orders'!$E$3:$E$1200*'Orders'!$G$3:$G$1200)-'Orders'!$H$3:$H$1200))</f>
        <v>2323.9</v>
      </c>
      <c r="D30" s="5">
        <f>SUMIF('Orders'!$C$3:$C$1200,A30,'Orders'!$G$3:$G$1200)</f>
        <v>72</v>
      </c>
      <c r="E30" s="6">
        <f>ROUND(SUMIF('Orders'!$C$3:$C$1200,A30,'Orders'!$I$3:$I$1200)-('Catalogue'!D6)*D30,2)</f>
        <v>1438.2</v>
      </c>
      <c r="F30" s="7">
        <f>IF(C30=0,0,E30/SUMIF('Orders'!$C$3:$C$1200,A30,'Orders'!$I$3:$I$1200))</f>
        <v>0.7488370000000001</v>
      </c>
    </row>
    <row r="31">
      <c r="A31" s="5" t="str">
        <f>'Catalogue'!B7</f>
        <v>SKU-D</v>
      </c>
      <c r="B31" s="5" t="str">
        <f>'Catalogue'!C7</f>
        <v>Daily Duo</v>
      </c>
      <c r="C31" s="6">
        <f>SUMPRODUCT(('Orders'!$C$3:$C$1200=A31)*(('Orders'!$E$3:$E$1200*'Orders'!$G$3:$G$1200)-'Orders'!$H$3:$H$1200))</f>
        <v>19599.9</v>
      </c>
      <c r="D31" s="5">
        <f>SUMIF('Orders'!$C$3:$C$1200,A31,'Orders'!$G$3:$G$1200)</f>
        <v>262</v>
      </c>
      <c r="E31" s="6">
        <f>ROUND(SUMIF('Orders'!$C$3:$C$1200,A31,'Orders'!$I$3:$I$1200)-('Catalogue'!D3+'Catalogue'!D4)*D31,2)</f>
        <v>11823.07</v>
      </c>
      <c r="F31" s="7">
        <f>IF(C31=0,0,E31/SUMIF('Orders'!$C$3:$C$1200,A31,'Orders'!$I$3:$I$1200))</f>
        <v>0.729897</v>
      </c>
    </row>
    <row r="32">
      <c r="A32" s="5" t="str">
        <f>'Catalogue'!B8</f>
        <v>SKU-E</v>
      </c>
      <c r="B32" s="5" t="str">
        <f>'Catalogue'!C8</f>
        <v>Complete Ritual</v>
      </c>
      <c r="C32" s="6">
        <f>SUMPRODUCT(('Orders'!$C$3:$C$1200=A32)*(('Orders'!$E$3:$E$1200*'Orders'!$G$3:$G$1200)-'Orders'!$H$3:$H$1200))</f>
        <v>19597.8</v>
      </c>
      <c r="D32" s="5">
        <f>SUMIF('Orders'!$C$3:$C$1200,A32,'Orders'!$G$3:$G$1200)</f>
        <v>232</v>
      </c>
      <c r="E32" s="6">
        <f>ROUND(SUMIF('Orders'!$C$3:$C$1200,A32,'Orders'!$I$3:$I$1200)-('Catalogue'!D3+'Catalogue'!D5)*D32,2)</f>
        <v>11973.88</v>
      </c>
      <c r="F32" s="7">
        <f>IF(C32=0,0,E32/SUMIF('Orders'!$C$3:$C$1200,A32,'Orders'!$I$3:$I$1200))</f>
        <v>0.739287</v>
      </c>
    </row>
    <row r="33">
      <c r="A33" s="5" t="str">
        <f>'Catalogue'!B9</f>
        <v>SKU-G</v>
      </c>
      <c r="B33" s="5" t="str">
        <f>'Catalogue'!C9</f>
        <v>Daily Reset Set</v>
      </c>
      <c r="C33" s="6">
        <f>SUMPRODUCT(('Orders'!$C$3:$C$1200=A33)*(('Orders'!$E$3:$E$1200*'Orders'!$G$3:$G$1200)-'Orders'!$H$3:$H$1200))</f>
        <v>11305.65</v>
      </c>
      <c r="D33" s="5">
        <f>SUMIF('Orders'!$C$3:$C$1200,A33,'Orders'!$G$3:$G$1200)</f>
        <v>174</v>
      </c>
      <c r="E33" s="6">
        <f>ROUND(SUMIF('Orders'!$C$3:$C$1200,A33,'Orders'!$I$3:$I$1200)-('Catalogue'!D4+'Catalogue'!D5+'Catalogue'!D6)*D33,2)</f>
        <v>6559.08</v>
      </c>
      <c r="F33" s="7">
        <f>IF(C33=0,0,E33/SUMIF('Orders'!$C$3:$C$1200,A33,'Orders'!$I$3:$I$1200))</f>
        <v>0.701993</v>
      </c>
    </row>
    <row r="34">
      <c r="A34" s="5"/>
    </row>
    <row r="35" hidden="1">
      <c r="A35" s="2" t="inlineStr">
        <is>
          <t xml:space="preserve">Target chart data</t>
        </is>
      </c>
      <c r="B35" s="2" t="inlineStr">
        <is>
          <t xml:space="preserve">Value</t>
        </is>
      </c>
    </row>
    <row r="36" hidden="1">
      <c r="A36" s="5" t="inlineStr">
        <is>
          <t xml:space="preserve">Achieved</t>
        </is>
      </c>
      <c r="B36" s="6">
        <f>MIN(B10,B16)</f>
        <v>83755.43</v>
      </c>
    </row>
    <row r="37" hidden="1">
      <c r="A37" s="5" t="inlineStr">
        <is>
          <t xml:space="preserve">Remaining</t>
        </is>
      </c>
      <c r="B37" s="6">
        <f>MAX(B16-B10,0)</f>
        <v>16244.569999999978</v>
      </c>
    </row>
  </sheetData>
  <drawing r:id="rId1"/>
</worksheet>
</file>

<file path=xl/worksheets/sheet2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36" customWidth="1"/>
    <col min="2" max="2" width="92" customWidth="1"/>
  </cols>
  <sheetData>
    <row r="1">
      <c r="A1" s="1" t="inlineStr">
        <is>
          <t xml:space="preserve">Luma Vale | editable unit economics input</t>
        </is>
      </c>
    </row>
    <row r="2">
      <c r="A2" s="4" t="inlineStr">
        <is>
          <t xml:space="preserve">Start with Dashboard. Edit yellow cells only; blue and purple cells calculate automatically.</t>
        </is>
      </c>
    </row>
    <row r="3">
      <c r="A3" s="0"/>
    </row>
    <row r="4">
      <c r="A4" s="2" t="inlineStr">
        <is>
          <t xml:space="preserve">Sheet</t>
        </is>
      </c>
      <c r="B4" s="2" t="inlineStr">
        <is>
          <t xml:space="preserve">What it is for</t>
        </is>
      </c>
    </row>
    <row r="5">
      <c r="A5" s="0" t="inlineStr">
        <is>
          <t xml:space="preserve">Dashboard</t>
        </is>
      </c>
      <c r="B5" s="0" t="inlineStr">
        <is>
          <t xml:space="preserve">Live, formula-driven Excel companion, including what remains after variable costs. The polished interactive dashboard is online.</t>
        </is>
      </c>
    </row>
    <row r="6">
      <c r="A6" s="0" t="inlineStr">
        <is>
          <t xml:space="preserve">Settings</t>
        </is>
      </c>
      <c r="B6" s="0" t="inlineStr">
        <is>
          <t xml:space="preserve">Store identity, VAT rate, targets, pricing mode and optional fulfilment, payment and advertising costs.</t>
        </is>
      </c>
    </row>
    <row r="7">
      <c r="A7" s="0" t="inlineStr">
        <is>
          <t xml:space="preserve">Catalogue</t>
        </is>
      </c>
      <c r="B7" s="0" t="inlineStr">
        <is>
          <t xml:space="preserve">Products and bundles together. Use Type to distinguish them.</t>
        </is>
      </c>
    </row>
    <row r="8">
      <c r="A8" s="0" t="inlineStr">
        <is>
          <t xml:space="preserve">Pricing &amp; promotions</t>
        </is>
      </c>
      <c r="B8" s="0" t="inlineStr">
        <is>
          <t xml:space="preserve">Price history and the discount rules that drive calculated order discounts.</t>
        </is>
      </c>
    </row>
    <row r="9">
      <c r="A9" s="0" t="inlineStr">
        <is>
          <t xml:space="preserve">Pricing planner</t>
        </is>
      </c>
      <c r="B9" s="0" t="inlineStr">
        <is>
          <t xml:space="preserve">Live Excel price, margin and bundle-saving checks. It updates when yellow price inputs change.</t>
        </is>
      </c>
    </row>
    <row r="10">
      <c r="A10" s="0" t="inlineStr">
        <is>
          <t xml:space="preserve">Orders</t>
        </is>
      </c>
      <c r="B10" s="0" t="inlineStr">
        <is>
          <t xml:space="preserve">Blue price and discount cells follow Catalogue and promotion inputs in Scenario mode.</t>
        </is>
      </c>
    </row>
    <row r="11">
      <c r="A11" s="0"/>
    </row>
    <row r="12">
      <c r="A12" s="0" t="inlineStr">
        <is>
          <t xml:space="preserve">This copy holds 1198 order lines across 891 orders (1358 units, EUR 83,755 gross after discounts) for the 12 months to 2026-10-22.</t>
        </is>
      </c>
    </row>
    <row r="13">
      <c r="A13" s="0" t="inlineStr">
        <is>
          <t xml:space="preserve">Regenerate it any time with: python3 src/make_demo_workbook.py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34" customWidth="1"/>
    <col min="2" max="2" width="26" customWidth="1"/>
  </cols>
  <sheetData>
    <row r="1">
      <c r="A1" s="1" t="inlineStr">
        <is>
          <t xml:space="preserve">Settings</t>
        </is>
      </c>
    </row>
    <row r="2">
      <c r="A2" s="2" t="inlineStr">
        <is>
          <t xml:space="preserve">Setting</t>
        </is>
      </c>
      <c r="B2" s="2" t="inlineStr">
        <is>
          <t xml:space="preserve">Value</t>
        </is>
      </c>
    </row>
    <row r="3">
      <c r="A3" s="3" t="inlineStr">
        <is>
          <t xml:space="preserve">Store name</t>
        </is>
      </c>
      <c r="B3" s="3" t="inlineStr">
        <is>
          <t xml:space="preserve">Luma Vale</t>
        </is>
      </c>
    </row>
    <row r="4">
      <c r="A4" s="3" t="inlineStr">
        <is>
          <t xml:space="preserve">Store domain</t>
        </is>
      </c>
      <c r="B4" s="3" t="inlineStr">
        <is>
          <t xml:space="preserve">lumavale.example</t>
        </is>
      </c>
    </row>
    <row r="5">
      <c r="A5" s="3" t="inlineStr">
        <is>
          <t xml:space="preserve">Currency</t>
        </is>
      </c>
      <c r="B5" s="3" t="inlineStr">
        <is>
          <t xml:space="preserve">EUR</t>
        </is>
      </c>
    </row>
    <row r="6">
      <c r="A6" s="3" t="inlineStr">
        <is>
          <t xml:space="preserve">VAT rate (%)</t>
        </is>
      </c>
      <c r="B6" s="3">
        <v>21.0</v>
      </c>
    </row>
    <row r="7">
      <c r="A7" s="3" t="inlineStr">
        <is>
          <t xml:space="preserve">Target units</t>
        </is>
      </c>
      <c r="B7" s="3">
        <v>1500</v>
      </c>
    </row>
    <row r="8">
      <c r="A8" s="3" t="inlineStr">
        <is>
          <t xml:space="preserve">Gross sales target</t>
        </is>
      </c>
      <c r="B8" s="3">
        <v>100000</v>
      </c>
    </row>
    <row r="9">
      <c r="A9" s="3" t="inlineStr">
        <is>
          <t xml:space="preserve">Target start</t>
        </is>
      </c>
      <c r="B9" s="3" t="inlineStr">
        <is>
          <t xml:space="preserve">2026-01-01</t>
        </is>
      </c>
    </row>
    <row r="10">
      <c r="A10" s="3" t="inlineStr">
        <is>
          <t xml:space="preserve">Target end</t>
        </is>
      </c>
      <c r="B10" s="3" t="inlineStr">
        <is>
          <t xml:space="preserve">2026-12-31</t>
        </is>
      </c>
    </row>
    <row r="11">
      <c r="A11" s="3" t="inlineStr">
        <is>
          <t xml:space="preserve">Pricing model</t>
        </is>
      </c>
      <c r="B11" s="3" t="inlineStr">
        <is>
          <t xml:space="preserve">Scenario</t>
        </is>
      </c>
    </row>
    <row r="12">
      <c r="A12" s="3" t="inlineStr">
        <is>
          <t xml:space="preserve">Fulfilment cost per order ex VAT</t>
        </is>
      </c>
      <c r="B12" s="8">
        <v>5.4</v>
      </c>
    </row>
    <row r="13">
      <c r="A13" s="3" t="inlineStr">
        <is>
          <t xml:space="preserve">Shipping charged per order incl VAT</t>
        </is>
      </c>
      <c r="B13" s="8">
        <v>2.95</v>
      </c>
    </row>
    <row r="14">
      <c r="A14" s="3" t="inlineStr">
        <is>
          <t xml:space="preserve">Payment fee (%)</t>
        </is>
      </c>
      <c r="B14" s="3">
        <v>1.5</v>
      </c>
    </row>
    <row r="15">
      <c r="A15" s="3" t="inlineStr">
        <is>
          <t xml:space="preserve">Payment fee per order</t>
        </is>
      </c>
      <c r="B15" s="8">
        <v>0.25</v>
      </c>
    </row>
    <row r="16">
      <c r="A16" s="0"/>
    </row>
    <row r="17">
      <c r="A17" s="1" t="inlineStr">
        <is>
          <t xml:space="preserve">Advertising by month | optional</t>
        </is>
      </c>
    </row>
    <row r="18">
      <c r="A18" s="2" t="inlineStr">
        <is>
          <t xml:space="preserve">Month (YYYY-MM)</t>
        </is>
      </c>
      <c r="B18" s="2" t="inlineStr">
        <is>
          <t xml:space="preserve">Advertising spend ex VAT</t>
        </is>
      </c>
    </row>
    <row r="19">
      <c r="A19" s="3" t="inlineStr">
        <is>
          <t xml:space="preserve">2025-10</t>
        </is>
      </c>
      <c r="B19" s="8">
        <v>1035</v>
      </c>
    </row>
    <row r="20">
      <c r="A20" s="3" t="inlineStr">
        <is>
          <t xml:space="preserve">2025-11</t>
        </is>
      </c>
      <c r="B20" s="8">
        <v>1305</v>
      </c>
    </row>
    <row r="21">
      <c r="A21" s="3" t="inlineStr">
        <is>
          <t xml:space="preserve">2025-12</t>
        </is>
      </c>
      <c r="B21" s="8">
        <v>1170</v>
      </c>
    </row>
    <row r="22">
      <c r="A22" s="3" t="inlineStr">
        <is>
          <t xml:space="preserve">2026-01</t>
        </is>
      </c>
      <c r="B22" s="8">
        <v>702</v>
      </c>
    </row>
    <row r="23">
      <c r="A23" s="3" t="inlineStr">
        <is>
          <t xml:space="preserve">2026-02</t>
        </is>
      </c>
      <c r="B23" s="8">
        <v>765</v>
      </c>
    </row>
    <row r="24">
      <c r="A24" s="3" t="inlineStr">
        <is>
          <t xml:space="preserve">2026-03</t>
        </is>
      </c>
      <c r="B24" s="8">
        <v>855</v>
      </c>
    </row>
    <row r="25">
      <c r="A25" s="3" t="inlineStr">
        <is>
          <t xml:space="preserve">2026-04</t>
        </is>
      </c>
      <c r="B25" s="8">
        <v>900</v>
      </c>
    </row>
    <row r="26">
      <c r="A26" s="3" t="inlineStr">
        <is>
          <t xml:space="preserve">2026-05</t>
        </is>
      </c>
      <c r="B26" s="8">
        <v>945</v>
      </c>
    </row>
    <row r="27">
      <c r="A27" s="3" t="inlineStr">
        <is>
          <t xml:space="preserve">2026-06</t>
        </is>
      </c>
      <c r="B27" s="8">
        <v>855</v>
      </c>
    </row>
    <row r="28">
      <c r="A28" s="3" t="inlineStr">
        <is>
          <t xml:space="preserve">2026-07</t>
        </is>
      </c>
      <c r="B28" s="8">
        <v>792</v>
      </c>
    </row>
    <row r="29">
      <c r="A29" s="3" t="inlineStr">
        <is>
          <t xml:space="preserve">2026-08</t>
        </is>
      </c>
      <c r="B29" s="8">
        <v>720</v>
      </c>
    </row>
    <row r="30">
      <c r="A30" s="3" t="inlineStr">
        <is>
          <t xml:space="preserve">2026-09</t>
        </is>
      </c>
      <c r="B30" s="8">
        <v>918</v>
      </c>
    </row>
    <row r="31">
      <c r="A31" s="3" t="inlineStr">
        <is>
          <t xml:space="preserve">2026-10</t>
        </is>
      </c>
      <c r="B31" s="8">
        <v>1035</v>
      </c>
    </row>
    <row r="32">
      <c r="A32" s="0"/>
    </row>
    <row r="33">
      <c r="A33" s="4" t="inlineStr">
        <is>
          <t xml:space="preserve">Leave the four cost rows and this table blank to see product margin only. Per-order costs are shared across lines by value; advertising by each month's net revenue.</t>
        </is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12" customWidth="1"/>
    <col min="2" max="2" width="10" customWidth="1"/>
    <col min="3" max="3" width="24" customWidth="1"/>
    <col min="4" max="4" width="16" customWidth="1"/>
    <col min="5" max="5" width="18" customWidth="1"/>
    <col min="6" max="6" width="14" customWidth="1"/>
    <col min="7" max="7" width="14" customWidth="1"/>
    <col min="8" max="8" width="32" customWidth="1"/>
    <col min="9" max="9" width="18" customWidth="1"/>
    <col min="10" max="10" width="16" customWidth="1"/>
    <col min="11" max="11" width="24" customWidth="1"/>
    <col min="12" max="12" width="26" customWidth="1"/>
    <col min="13" max="13" width="28" customWidth="1"/>
    <col min="14" max="14" width="18" customWidth="1"/>
  </cols>
  <sheetData>
    <row r="1">
      <c r="A1" s="1" t="inlineStr">
        <is>
          <t xml:space="preserve">Catalogue</t>
        </is>
      </c>
    </row>
    <row r="2">
      <c r="A2" s="2" t="inlineStr">
        <is>
          <t xml:space="preserve">Type</t>
        </is>
      </c>
      <c r="B2" s="2" t="inlineStr">
        <is>
          <t xml:space="preserve">SKU</t>
        </is>
      </c>
      <c r="C2" s="2" t="inlineStr">
        <is>
          <t xml:space="preserve">Name</t>
        </is>
      </c>
      <c r="D2" s="2" t="inlineStr">
        <is>
          <t xml:space="preserve">Unit cost ex VAT</t>
        </is>
      </c>
      <c r="E2" s="2" t="inlineStr">
        <is>
          <t xml:space="preserve">Web price incl VAT</t>
        </is>
      </c>
      <c r="F2" s="2" t="inlineStr">
        <is>
          <t xml:space="preserve">Batch quantity</t>
        </is>
      </c>
      <c r="G2" s="2" t="inlineStr">
        <is>
          <t xml:space="preserve">Stock on hand</t>
        </is>
      </c>
      <c r="H2" s="2" t="inlineStr">
        <is>
          <t xml:space="preserve">Bundle contents</t>
        </is>
      </c>
      <c r="I2" s="2" t="inlineStr">
        <is>
          <t xml:space="preserve">Declared solo total</t>
        </is>
      </c>
      <c r="J2" s="2" t="inlineStr">
        <is>
          <t xml:space="preserve">Claimed saving</t>
        </is>
      </c>
      <c r="K2" s="2" t="inlineStr">
        <is>
          <t xml:space="preserve">Confirmed (TRUE/FALSE)</t>
        </is>
      </c>
      <c r="L2" s="2" t="inlineStr">
        <is>
          <t xml:space="preserve">Cost source</t>
        </is>
      </c>
      <c r="M2" s="2" t="inlineStr">
        <is>
          <t xml:space="preserve">Notes</t>
        </is>
      </c>
      <c r="N2" s="2" t="inlineStr">
        <is>
          <t xml:space="preserve">Bundle discount %</t>
        </is>
      </c>
    </row>
    <row r="3">
      <c r="A3" s="3" t="inlineStr">
        <is>
          <t xml:space="preserve">Product</t>
        </is>
      </c>
      <c r="B3" s="3" t="inlineStr">
        <is>
          <t xml:space="preserve">SKU-A</t>
        </is>
      </c>
      <c r="C3" s="3" t="inlineStr">
        <is>
          <t xml:space="preserve">Renewal Serum</t>
        </is>
      </c>
      <c r="D3" s="8">
        <v>12.8</v>
      </c>
      <c r="E3" s="8">
        <v>69.9</v>
      </c>
      <c r="F3" s="3">
        <v>4000</v>
      </c>
      <c r="G3" s="3">
        <v>1180</v>
      </c>
      <c r="H3" s="3"/>
      <c r="I3" s="3"/>
      <c r="J3" s="3"/>
      <c r="K3" s="3"/>
      <c r="L3" s="3" t="inlineStr">
        <is>
          <t xml:space="preserve">Synthetic supplier invoice</t>
        </is>
      </c>
      <c r="M3" s="3" t="inlineStr">
        <is>
          <t xml:space="preserve">Hero product</t>
        </is>
      </c>
      <c r="N3" s="3"/>
    </row>
    <row r="4">
      <c r="A4" s="3" t="inlineStr">
        <is>
          <t xml:space="preserve">Product</t>
        </is>
      </c>
      <c r="B4" s="3" t="inlineStr">
        <is>
          <t xml:space="preserve">SKU-B</t>
        </is>
      </c>
      <c r="C4" s="3" t="inlineStr">
        <is>
          <t xml:space="preserve">Barrier Balm</t>
        </is>
      </c>
      <c r="D4" s="8">
        <v>3.9</v>
      </c>
      <c r="E4" s="8">
        <v>19</v>
      </c>
      <c r="F4" s="3">
        <v>2200</v>
      </c>
      <c r="G4" s="3">
        <v>940</v>
      </c>
      <c r="H4" s="3"/>
      <c r="I4" s="3"/>
      <c r="J4" s="3"/>
      <c r="K4" s="3"/>
      <c r="L4" s="3" t="inlineStr">
        <is>
          <t xml:space="preserve">Synthetic supplier invoice</t>
        </is>
      </c>
      <c r="M4" s="3" t="inlineStr">
        <is>
          <t xml:space="preserve">Add-on product</t>
        </is>
      </c>
      <c r="N4" s="3"/>
    </row>
    <row r="5">
      <c r="A5" s="3" t="inlineStr">
        <is>
          <t xml:space="preserve">Product</t>
        </is>
      </c>
      <c r="B5" s="3" t="inlineStr">
        <is>
          <t xml:space="preserve">SKU-C</t>
        </is>
      </c>
      <c r="C5" s="3" t="inlineStr">
        <is>
          <t xml:space="preserve">Contour Stone</t>
        </is>
      </c>
      <c r="D5" s="8">
        <v>5.4</v>
      </c>
      <c r="E5" s="8">
        <v>29</v>
      </c>
      <c r="F5" s="3">
        <v>1200</v>
      </c>
      <c r="G5" s="3">
        <v>145</v>
      </c>
      <c r="H5" s="3"/>
      <c r="I5" s="3"/>
      <c r="J5" s="3"/>
      <c r="K5" s="3"/>
      <c r="L5" s="3" t="inlineStr">
        <is>
          <t xml:space="preserve">Synthetic supplier invoice</t>
        </is>
      </c>
      <c r="M5" s="3" t="inlineStr">
        <is>
          <t xml:space="preserve">Accessory, tightest stock line</t>
        </is>
      </c>
      <c r="N5" s="3"/>
    </row>
    <row r="6">
      <c r="A6" s="3" t="inlineStr">
        <is>
          <t xml:space="preserve">Product</t>
        </is>
      </c>
      <c r="B6" s="3" t="inlineStr">
        <is>
          <t xml:space="preserve">SKU-F</t>
        </is>
      </c>
      <c r="C6" s="3" t="inlineStr">
        <is>
          <t xml:space="preserve">Cloud Cleanser</t>
        </is>
      </c>
      <c r="D6" s="8">
        <v>6.7</v>
      </c>
      <c r="E6" s="8">
        <v>34</v>
      </c>
      <c r="F6" s="3">
        <v>1800</v>
      </c>
      <c r="G6" s="3">
        <v>690</v>
      </c>
      <c r="H6" s="3"/>
      <c r="I6" s="3"/>
      <c r="J6" s="3"/>
      <c r="K6" s="3"/>
      <c r="L6" s="3" t="inlineStr">
        <is>
          <t xml:space="preserve">Synthetic supplier invoice</t>
        </is>
      </c>
      <c r="M6" s="3" t="inlineStr">
        <is>
          <t xml:space="preserve">Daily-use cleanser</t>
        </is>
      </c>
      <c r="N6" s="3"/>
    </row>
    <row r="7">
      <c r="A7" s="3" t="inlineStr">
        <is>
          <t xml:space="preserve">Bundle</t>
        </is>
      </c>
      <c r="B7" s="3" t="inlineStr">
        <is>
          <t xml:space="preserve">SKU-D</t>
        </is>
      </c>
      <c r="C7" s="3" t="inlineStr">
        <is>
          <t xml:space="preserve">Daily Duo</t>
        </is>
      </c>
      <c r="D7" s="3"/>
      <c r="E7" s="6">
        <f>ROUND(I7*(1-N7),2)</f>
        <v>79</v>
      </c>
      <c r="F7" s="3"/>
      <c r="G7" s="3"/>
      <c r="H7" s="3" t="inlineStr">
        <is>
          <t xml:space="preserve">SKU-A:1|SKU-B:1</t>
        </is>
      </c>
      <c r="I7" s="6">
        <f>E3+E4</f>
        <v>88.9</v>
      </c>
      <c r="J7" s="6">
        <f>ROUND(I7-E7,2)</f>
        <v>9.9</v>
      </c>
      <c r="K7" s="3" t="inlineStr">
        <is>
          <t xml:space="preserve">TRUE</t>
        </is>
      </c>
      <c r="L7" s="3"/>
      <c r="M7" s="3" t="inlineStr">
        <is>
          <t xml:space="preserve">Core bundle</t>
        </is>
      </c>
      <c r="N7" s="9">
        <v>0.111361</v>
      </c>
    </row>
    <row r="8">
      <c r="A8" s="3" t="inlineStr">
        <is>
          <t xml:space="preserve">Bundle</t>
        </is>
      </c>
      <c r="B8" s="3" t="inlineStr">
        <is>
          <t xml:space="preserve">SKU-E</t>
        </is>
      </c>
      <c r="C8" s="3" t="inlineStr">
        <is>
          <t xml:space="preserve">Complete Ritual</t>
        </is>
      </c>
      <c r="D8" s="3"/>
      <c r="E8" s="6">
        <f>ROUND(I8*(1-N8),2)</f>
        <v>89</v>
      </c>
      <c r="F8" s="3"/>
      <c r="G8" s="3"/>
      <c r="H8" s="3" t="inlineStr">
        <is>
          <t xml:space="preserve">SKU-A:1|SKU-C:1</t>
        </is>
      </c>
      <c r="I8" s="6">
        <f>E3+E5</f>
        <v>98.9</v>
      </c>
      <c r="J8" s="6">
        <f>ROUND(I8-E8,2)</f>
        <v>9.9</v>
      </c>
      <c r="K8" s="3" t="inlineStr">
        <is>
          <t xml:space="preserve">TRUE</t>
        </is>
      </c>
      <c r="L8" s="3"/>
      <c r="M8" s="3" t="inlineStr">
        <is>
          <t xml:space="preserve">Premium bundle</t>
        </is>
      </c>
      <c r="N8" s="9">
        <v>0.100101</v>
      </c>
    </row>
    <row r="9">
      <c r="A9" s="3" t="inlineStr">
        <is>
          <t xml:space="preserve">Bundle</t>
        </is>
      </c>
      <c r="B9" s="3" t="inlineStr">
        <is>
          <t xml:space="preserve">SKU-G</t>
        </is>
      </c>
      <c r="C9" s="3" t="inlineStr">
        <is>
          <t xml:space="preserve">Daily Reset Set</t>
        </is>
      </c>
      <c r="D9" s="3"/>
      <c r="E9" s="6">
        <f>ROUND(I9*(1-N9),2)</f>
        <v>69</v>
      </c>
      <c r="F9" s="3"/>
      <c r="G9" s="3"/>
      <c r="H9" s="3" t="inlineStr">
        <is>
          <t xml:space="preserve">SKU-B:1|SKU-C:1|SKU-F:1</t>
        </is>
      </c>
      <c r="I9" s="6">
        <f>E4+E5+E6</f>
        <v>82</v>
      </c>
      <c r="J9" s="6">
        <f>ROUND(I9-E9,2)</f>
        <v>13</v>
      </c>
      <c r="K9" s="3" t="inlineStr">
        <is>
          <t xml:space="preserve">TRUE</t>
        </is>
      </c>
      <c r="L9" s="3"/>
      <c r="M9" s="3" t="inlineStr">
        <is>
          <t xml:space="preserve">Three-product starter bundle</t>
        </is>
      </c>
      <c r="N9" s="9">
        <v>0.158537</v>
      </c>
    </row>
  </sheetData>
</worksheet>
</file>

<file path=xl/worksheets/sheet5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18" customWidth="1"/>
    <col min="2" max="2" width="16" customWidth="1"/>
    <col min="3" max="3" width="16" customWidth="1"/>
    <col min="4" max="4" width="24" customWidth="1"/>
    <col min="5" max="5" width="16" customWidth="1"/>
  </cols>
  <sheetData>
    <row r="1">
      <c r="A1" s="1" t="inlineStr">
        <is>
          <t xml:space="preserve">Pricing &amp; promotions</t>
        </is>
      </c>
    </row>
    <row r="2">
      <c r="A2" s="4" t="inlineStr">
        <is>
          <t xml:space="preserve">Edit yellow promotion rules. Scenario-mode Orders discounts recalculate from these values.</t>
        </is>
      </c>
    </row>
    <row r="3">
      <c r="A3" s="4"/>
    </row>
    <row r="4">
      <c r="A4" s="1" t="inlineStr">
        <is>
          <t xml:space="preserve">Promotion rules | live scenario inputs</t>
        </is>
      </c>
    </row>
    <row r="5">
      <c r="A5" s="2" t="inlineStr">
        <is>
          <t xml:space="preserve">Discount code</t>
        </is>
      </c>
      <c r="B5" s="2" t="inlineStr">
        <is>
          <t xml:space="preserve">Discount %</t>
        </is>
      </c>
      <c r="C5" s="2" t="inlineStr">
        <is>
          <t xml:space="preserve">Active from</t>
        </is>
      </c>
      <c r="D5" s="2" t="inlineStr">
        <is>
          <t xml:space="preserve">Active to</t>
        </is>
      </c>
      <c r="E5" s="2" t="inlineStr">
        <is>
          <t xml:space="preserve">Status</t>
        </is>
      </c>
    </row>
    <row r="6">
      <c r="A6" s="3" t="inlineStr">
        <is>
          <t xml:space="preserve">WELCOME10</t>
        </is>
      </c>
      <c r="B6" s="3">
        <v>10</v>
      </c>
      <c r="C6" s="3" t="inlineStr">
        <is>
          <t xml:space="preserve">2025-08-01</t>
        </is>
      </c>
      <c r="D6" s="3" t="inlineStr">
        <is>
          <t xml:space="preserve">2026-12-31</t>
        </is>
      </c>
      <c r="E6" s="3" t="inlineStr">
        <is>
          <t xml:space="preserve">TRUE</t>
        </is>
      </c>
    </row>
    <row r="7">
      <c r="A7" s="3" t="inlineStr">
        <is>
          <t xml:space="preserve">SUMMER15</t>
        </is>
      </c>
      <c r="B7" s="3">
        <v>15</v>
      </c>
      <c r="C7" s="3" t="inlineStr">
        <is>
          <t xml:space="preserve">2025-08-01</t>
        </is>
      </c>
      <c r="D7" s="3" t="inlineStr">
        <is>
          <t xml:space="preserve">2026-12-31</t>
        </is>
      </c>
      <c r="E7" s="3" t="inlineStr">
        <is>
          <t xml:space="preserve">TRUE</t>
        </is>
      </c>
    </row>
    <row r="8">
      <c r="A8" s="3" t="inlineStr">
        <is>
          <t xml:space="preserve">VIP20</t>
        </is>
      </c>
      <c r="B8" s="3">
        <v>20</v>
      </c>
      <c r="C8" s="3" t="inlineStr">
        <is>
          <t xml:space="preserve">2025-08-01</t>
        </is>
      </c>
      <c r="D8" s="3" t="inlineStr">
        <is>
          <t xml:space="preserve">2026-12-31</t>
        </is>
      </c>
      <c r="E8" s="3" t="inlineStr">
        <is>
          <t xml:space="preserve">TRUE</t>
        </is>
      </c>
    </row>
    <row r="9">
      <c r="A9" s="4"/>
    </row>
    <row r="10">
      <c r="A10" s="1" t="inlineStr">
        <is>
          <t xml:space="preserve">Price history | reference for Actual mode</t>
        </is>
      </c>
    </row>
    <row r="11">
      <c r="A11" s="2" t="inlineStr">
        <is>
          <t xml:space="preserve">SKU</t>
        </is>
      </c>
      <c r="B11" s="2" t="inlineStr">
        <is>
          <t xml:space="preserve">Start date</t>
        </is>
      </c>
      <c r="C11" s="2" t="inlineStr">
        <is>
          <t xml:space="preserve">Price incl VAT</t>
        </is>
      </c>
      <c r="D11" s="2" t="inlineStr">
        <is>
          <t xml:space="preserve">Source</t>
        </is>
      </c>
    </row>
    <row r="12">
      <c r="A12" s="5" t="inlineStr">
        <is>
          <t xml:space="preserve">SKU-A</t>
        </is>
      </c>
      <c r="B12" s="5" t="inlineStr">
        <is>
          <t xml:space="preserve">2025-08-01</t>
        </is>
      </c>
      <c r="C12" s="5">
        <v>64</v>
      </c>
      <c r="D12" s="5" t="inlineStr">
        <is>
          <t xml:space="preserve">Synthetic launch price</t>
        </is>
      </c>
    </row>
    <row r="13">
      <c r="A13" s="5" t="inlineStr">
        <is>
          <t xml:space="preserve">SKU-A</t>
        </is>
      </c>
      <c r="B13" s="5" t="inlineStr">
        <is>
          <t xml:space="preserve">2026-01-01</t>
        </is>
      </c>
      <c r="C13" s="5">
        <v>69.9</v>
      </c>
      <c r="D13" s="5" t="inlineStr">
        <is>
          <t xml:space="preserve">Synthetic price increase</t>
        </is>
      </c>
    </row>
    <row r="14">
      <c r="A14" s="5" t="inlineStr">
        <is>
          <t xml:space="preserve">SKU-B</t>
        </is>
      </c>
      <c r="B14" s="5" t="inlineStr">
        <is>
          <t xml:space="preserve">2025-08-01</t>
        </is>
      </c>
      <c r="C14" s="5">
        <v>18</v>
      </c>
      <c r="D14" s="5" t="inlineStr">
        <is>
          <t xml:space="preserve">Synthetic launch price</t>
        </is>
      </c>
    </row>
    <row r="15">
      <c r="A15" s="5" t="inlineStr">
        <is>
          <t xml:space="preserve">SKU-B</t>
        </is>
      </c>
      <c r="B15" s="5" t="inlineStr">
        <is>
          <t xml:space="preserve">2026-03-01</t>
        </is>
      </c>
      <c r="C15" s="5">
        <v>19</v>
      </c>
      <c r="D15" s="5" t="inlineStr">
        <is>
          <t xml:space="preserve">Synthetic price increase</t>
        </is>
      </c>
    </row>
    <row r="16">
      <c r="A16" s="5" t="inlineStr">
        <is>
          <t xml:space="preserve">SKU-C</t>
        </is>
      </c>
      <c r="B16" s="5" t="inlineStr">
        <is>
          <t xml:space="preserve">2025-08-01</t>
        </is>
      </c>
      <c r="C16" s="5">
        <v>29</v>
      </c>
      <c r="D16" s="5" t="inlineStr">
        <is>
          <t xml:space="preserve">Synthetic launch price</t>
        </is>
      </c>
    </row>
    <row r="17">
      <c r="A17" s="5" t="inlineStr">
        <is>
          <t xml:space="preserve">SKU-F</t>
        </is>
      </c>
      <c r="B17" s="5" t="inlineStr">
        <is>
          <t xml:space="preserve">2025-08-01</t>
        </is>
      </c>
      <c r="C17" s="5">
        <v>34</v>
      </c>
      <c r="D17" s="5" t="inlineStr">
        <is>
          <t xml:space="preserve">Synthetic launch price</t>
        </is>
      </c>
    </row>
  </sheetData>
</worksheet>
</file>

<file path=xl/worksheets/sheet6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12" customWidth="1"/>
    <col min="2" max="2" width="24" customWidth="1"/>
    <col min="3" max="3" width="20" customWidth="1"/>
    <col min="4" max="4" width="18" customWidth="1"/>
    <col min="5" max="5" width="20" customWidth="1"/>
    <col min="6" max="6" width="16" customWidth="1"/>
    <col min="7" max="7" width="20" customWidth="1"/>
    <col min="8" max="8" width="20" customWidth="1"/>
    <col min="9" max="9" width="28" customWidth="1"/>
  </cols>
  <sheetData>
    <row r="1">
      <c r="A1" s="1" t="inlineStr">
        <is>
          <t xml:space="preserve">Pricing planner | live Excel checks</t>
        </is>
      </c>
    </row>
    <row r="2">
      <c r="A2" s="5" t="inlineStr">
        <is>
          <t xml:space="preserve">Change only yellow cells in Catalogue. This sheet updates immediately in Excel, Numbers or LibreOffice.</t>
        </is>
      </c>
    </row>
    <row r="3">
      <c r="A3" s="5"/>
    </row>
    <row r="4">
      <c r="A4" s="1" t="inlineStr">
        <is>
          <t xml:space="preserve">Product price health</t>
        </is>
      </c>
    </row>
    <row r="5">
      <c r="A5" s="2" t="inlineStr">
        <is>
          <t xml:space="preserve">SKU</t>
        </is>
      </c>
      <c r="B5" s="2" t="inlineStr">
        <is>
          <t xml:space="preserve">Product</t>
        </is>
      </c>
      <c r="C5" s="2" t="inlineStr">
        <is>
          <t xml:space="preserve">Unit cost ex VAT</t>
        </is>
      </c>
      <c r="D5" s="2" t="inlineStr">
        <is>
          <t xml:space="preserve">Web price incl VAT</t>
        </is>
      </c>
      <c r="E5" s="2" t="inlineStr">
        <is>
          <t xml:space="preserve">Gross profit ex VAT</t>
        </is>
      </c>
      <c r="F5" s="2" t="inlineStr">
        <is>
          <t xml:space="preserve">Gross margin %</t>
        </is>
      </c>
      <c r="G5" s="2" t="inlineStr">
        <is>
          <t xml:space="preserve">Status</t>
        </is>
      </c>
    </row>
    <row r="6">
      <c r="A6" s="5" t="str">
        <f>'Catalogue'!B3</f>
        <v>SKU-A</v>
      </c>
      <c r="B6" s="5" t="str">
        <f>'Catalogue'!C3</f>
        <v>Renewal Serum</v>
      </c>
      <c r="C6" s="6">
        <f>'Catalogue'!D3</f>
        <v>12.8</v>
      </c>
      <c r="D6" s="6">
        <f>'Catalogue'!E3</f>
        <v>69.9</v>
      </c>
      <c r="E6" s="6">
        <f>ROUND(D6/(1+'Settings'!B6/100)-C6,2)</f>
        <v>44.97</v>
      </c>
      <c r="F6" s="7">
        <f>IF(D6&lt;=0,0,E6/(D6/(1+'Settings'!B6/100)) )</f>
        <v>0.7784</v>
      </c>
      <c r="G6" s="5" t="str">
        <f>IF(D6&lt;=0,"FIX: price must be positive",IF(E6&lt;0,"Below cost",IF(F6&lt;0.5,"Low margin","Healthy")))</f>
        <v>Healthy</v>
      </c>
    </row>
    <row r="7">
      <c r="A7" s="5" t="str">
        <f>'Catalogue'!B4</f>
        <v>SKU-B</v>
      </c>
      <c r="B7" s="5" t="str">
        <f>'Catalogue'!C4</f>
        <v>Barrier Balm</v>
      </c>
      <c r="C7" s="6">
        <f>'Catalogue'!D4</f>
        <v>3.9</v>
      </c>
      <c r="D7" s="6">
        <f>'Catalogue'!E4</f>
        <v>19</v>
      </c>
      <c r="E7" s="6">
        <f>ROUND(D7/(1+'Settings'!B6/100)-C7,2)</f>
        <v>11.8</v>
      </c>
      <c r="F7" s="7">
        <f>IF(D7&lt;=0,0,E7/(D7/(1+'Settings'!B6/100)) )</f>
        <v>0.7516</v>
      </c>
      <c r="G7" s="5" t="str">
        <f>IF(D7&lt;=0,"FIX: price must be positive",IF(E7&lt;0,"Below cost",IF(F7&lt;0.5,"Low margin","Healthy")))</f>
        <v>Healthy</v>
      </c>
    </row>
    <row r="8">
      <c r="A8" s="5" t="str">
        <f>'Catalogue'!B5</f>
        <v>SKU-C</v>
      </c>
      <c r="B8" s="5" t="str">
        <f>'Catalogue'!C5</f>
        <v>Contour Stone</v>
      </c>
      <c r="C8" s="6">
        <f>'Catalogue'!D5</f>
        <v>5.4</v>
      </c>
      <c r="D8" s="6">
        <f>'Catalogue'!E5</f>
        <v>29</v>
      </c>
      <c r="E8" s="6">
        <f>ROUND(D8/(1+'Settings'!B6/100)-C8,2)</f>
        <v>18.57</v>
      </c>
      <c r="F8" s="7">
        <f>IF(D8&lt;=0,0,E8/(D8/(1+'Settings'!B6/100)) )</f>
        <v>0.7747</v>
      </c>
      <c r="G8" s="5" t="str">
        <f>IF(D8&lt;=0,"FIX: price must be positive",IF(E8&lt;0,"Below cost",IF(F8&lt;0.5,"Low margin","Healthy")))</f>
        <v>Healthy</v>
      </c>
    </row>
    <row r="9">
      <c r="A9" s="5" t="str">
        <f>'Catalogue'!B6</f>
        <v>SKU-F</v>
      </c>
      <c r="B9" s="5" t="str">
        <f>'Catalogue'!C6</f>
        <v>Cloud Cleanser</v>
      </c>
      <c r="C9" s="6">
        <f>'Catalogue'!D6</f>
        <v>6.7</v>
      </c>
      <c r="D9" s="6">
        <f>'Catalogue'!E6</f>
        <v>34</v>
      </c>
      <c r="E9" s="6">
        <f>ROUND(D9/(1+'Settings'!B6/100)-C9,2)</f>
        <v>21.4</v>
      </c>
      <c r="F9" s="7">
        <f>IF(D9&lt;=0,0,E9/(D9/(1+'Settings'!B6/100)) )</f>
        <v>0.7616</v>
      </c>
      <c r="G9" s="5" t="str">
        <f>IF(D9&lt;=0,"FIX: price must be positive",IF(E9&lt;0,"Below cost",IF(F9&lt;0.5,"Low margin","Healthy")))</f>
        <v>Healthy</v>
      </c>
    </row>
    <row r="10">
      <c r="A10" s="5"/>
    </row>
    <row r="11">
      <c r="A11" s="1" t="inlineStr">
        <is>
          <t xml:space="preserve">Bundle price health</t>
        </is>
      </c>
    </row>
    <row r="12">
      <c r="A12" s="2" t="inlineStr">
        <is>
          <t xml:space="preserve">SKU</t>
        </is>
      </c>
      <c r="B12" s="2" t="inlineStr">
        <is>
          <t xml:space="preserve">Bundle</t>
        </is>
      </c>
      <c r="C12" s="2" t="inlineStr">
        <is>
          <t xml:space="preserve">Bundle price incl VAT</t>
        </is>
      </c>
      <c r="D12" s="2" t="inlineStr">
        <is>
          <t xml:space="preserve">Buy separately</t>
        </is>
      </c>
      <c r="E12" s="2" t="inlineStr">
        <is>
          <t xml:space="preserve">Customer saving</t>
        </is>
      </c>
      <c r="F12" s="2" t="inlineStr">
        <is>
          <t xml:space="preserve">Discount %</t>
        </is>
      </c>
      <c r="G12" s="2" t="inlineStr">
        <is>
          <t xml:space="preserve">Product cost ex VAT</t>
        </is>
      </c>
      <c r="H12" s="2" t="inlineStr">
        <is>
          <t xml:space="preserve">Contribution ex VAT</t>
        </is>
      </c>
      <c r="I12" s="2" t="inlineStr">
        <is>
          <t xml:space="preserve">Status</t>
        </is>
      </c>
    </row>
    <row r="13">
      <c r="A13" s="5" t="str">
        <f>'Catalogue'!B7</f>
        <v>SKU-D</v>
      </c>
      <c r="B13" s="5" t="str">
        <f>'Catalogue'!C7</f>
        <v>Daily Duo</v>
      </c>
      <c r="C13" s="6">
        <f>'Catalogue'!E7</f>
        <v>79</v>
      </c>
      <c r="D13" s="6">
        <f>'Catalogue'!I7</f>
        <v>88.9</v>
      </c>
      <c r="E13" s="6">
        <f>'Catalogue'!J7</f>
        <v>9.9</v>
      </c>
      <c r="F13" s="7">
        <f>'Catalogue'!N7</f>
        <v>0.1114</v>
      </c>
      <c r="G13" s="6">
        <f>'Catalogue'!D3+'Catalogue'!D4</f>
        <v>16.7</v>
      </c>
      <c r="H13" s="6">
        <f>ROUND(C13/(1+'Settings'!B6/100)-G13,2)</f>
        <v>48.59</v>
      </c>
      <c r="I13" s="5" t="str">
        <f>IF(C13&lt;=0,"FIX: price must be positive",IF(H13&lt;0,"Below cost",IF(C13&gt;=D13,"No customer saving","Healthy")))</f>
        <v>Healthy</v>
      </c>
    </row>
    <row r="14">
      <c r="A14" s="5" t="str">
        <f>'Catalogue'!B8</f>
        <v>SKU-E</v>
      </c>
      <c r="B14" s="5" t="str">
        <f>'Catalogue'!C8</f>
        <v>Complete Ritual</v>
      </c>
      <c r="C14" s="6">
        <f>'Catalogue'!E8</f>
        <v>89</v>
      </c>
      <c r="D14" s="6">
        <f>'Catalogue'!I8</f>
        <v>98.9</v>
      </c>
      <c r="E14" s="6">
        <f>'Catalogue'!J8</f>
        <v>9.9</v>
      </c>
      <c r="F14" s="7">
        <f>'Catalogue'!N8</f>
        <v>0.1001</v>
      </c>
      <c r="G14" s="6">
        <f>'Catalogue'!D3+'Catalogue'!D5</f>
        <v>18.200000000000003</v>
      </c>
      <c r="H14" s="6">
        <f>ROUND(C14/(1+'Settings'!B6/100)-G14,2)</f>
        <v>55.35</v>
      </c>
      <c r="I14" s="5" t="str">
        <f>IF(C14&lt;=0,"FIX: price must be positive",IF(H14&lt;0,"Below cost",IF(C14&gt;=D14,"No customer saving","Healthy")))</f>
        <v>Healthy</v>
      </c>
    </row>
    <row r="15">
      <c r="A15" s="5" t="str">
        <f>'Catalogue'!B9</f>
        <v>SKU-G</v>
      </c>
      <c r="B15" s="5" t="str">
        <f>'Catalogue'!C9</f>
        <v>Daily Reset Set</v>
      </c>
      <c r="C15" s="6">
        <f>'Catalogue'!E9</f>
        <v>69</v>
      </c>
      <c r="D15" s="6">
        <f>'Catalogue'!I9</f>
        <v>82</v>
      </c>
      <c r="E15" s="6">
        <f>'Catalogue'!J9</f>
        <v>13</v>
      </c>
      <c r="F15" s="7">
        <f>'Catalogue'!N9</f>
        <v>0.1585</v>
      </c>
      <c r="G15" s="6">
        <f>'Catalogue'!D4+'Catalogue'!D5+'Catalogue'!D6</f>
        <v>16.0</v>
      </c>
      <c r="H15" s="6">
        <f>ROUND(C15/(1+'Settings'!B6/100)-G15,2)</f>
        <v>41.02</v>
      </c>
      <c r="I15" s="5" t="str">
        <f>IF(C15&lt;=0,"FIX: price must be positive",IF(H15&lt;0,"Below cost",IF(C15&gt;=D15,"No customer saving","Healthy")))</f>
        <v>Healthy</v>
      </c>
    </row>
  </sheetData>
</worksheet>
</file>

<file path=xl/worksheets/sheet7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14" customWidth="1"/>
    <col min="2" max="2" width="14" customWidth="1"/>
    <col min="3" max="3" width="10" customWidth="1"/>
    <col min="4" max="4" width="24" customWidth="1"/>
    <col min="5" max="5" width="20" customWidth="1"/>
    <col min="6" max="6" width="26" customWidth="1"/>
    <col min="7" max="7" width="12" customWidth="1"/>
    <col min="8" max="8" width="24" customWidth="1"/>
    <col min="9" max="9" width="18" customWidth="1"/>
    <col min="10" max="10" width="24" customWidth="1"/>
    <col min="11" max="11" width="18" customWidth="1"/>
    <col min="12" max="12" width="16" customWidth="1"/>
  </cols>
  <sheetData>
    <row r="1">
      <c r="A1" s="1" t="inlineStr">
        <is>
          <t xml:space="preserve">Orders</t>
        </is>
      </c>
    </row>
    <row r="2">
      <c r="A2" s="2" t="inlineStr">
        <is>
          <t xml:space="preserve">Order ID</t>
        </is>
      </c>
      <c r="B2" s="2" t="inlineStr">
        <is>
          <t xml:space="preserve">Order date</t>
        </is>
      </c>
      <c r="C2" s="2" t="inlineStr">
        <is>
          <t xml:space="preserve">SKU</t>
        </is>
      </c>
      <c r="D2" s="2" t="inlineStr">
        <is>
          <t xml:space="preserve">Product title</t>
        </is>
      </c>
      <c r="E2" s="2" t="inlineStr">
        <is>
          <t xml:space="preserve">Unit price incl VAT</t>
        </is>
      </c>
      <c r="F2" s="2" t="inlineStr">
        <is>
          <t xml:space="preserve">Recorded unit price incl VAT</t>
        </is>
      </c>
      <c r="G2" s="2" t="inlineStr">
        <is>
          <t xml:space="preserve">Quantity</t>
        </is>
      </c>
      <c r="H2" s="2" t="inlineStr">
        <is>
          <t xml:space="preserve">Discount allocated incl VAT</t>
        </is>
      </c>
      <c r="I2" s="2" t="inlineStr">
        <is>
          <t xml:space="preserve">Revenue ex VAT</t>
        </is>
      </c>
      <c r="J2" s="2" t="inlineStr">
        <is>
          <t xml:space="preserve">Recorded discount incl VAT</t>
        </is>
      </c>
      <c r="K2" s="2" t="inlineStr">
        <is>
          <t xml:space="preserve">Taxable (TRUE/FALSE)</t>
        </is>
      </c>
      <c r="L2" s="2" t="inlineStr">
        <is>
          <t xml:space="preserve">Discount code</t>
        </is>
      </c>
    </row>
    <row r="3">
      <c r="A3" s="3" t="inlineStr">
        <is>
          <t xml:space="preserve">#1001</t>
        </is>
      </c>
      <c r="B3" s="3" t="inlineStr">
        <is>
          <t xml:space="preserve">2025-10-22</t>
        </is>
      </c>
      <c r="C3" s="3" t="inlineStr">
        <is>
          <t xml:space="preserve">SKU-D</t>
        </is>
      </c>
      <c r="D3" s="3" t="inlineStr">
        <is>
          <t xml:space="preserve">Daily Duo</t>
        </is>
      </c>
      <c r="E3" s="6">
        <f>IF('Settings'!$B$11="Scenario",IFERROR(INDEX('Catalogue'!$E$3:$E$100,MATCH(C3,'Catalogue'!$B$3:$B$100,0)),F3),F3)</f>
        <v>79</v>
      </c>
      <c r="F3" s="8">
        <v>79</v>
      </c>
      <c r="G3" s="3">
        <v>1</v>
      </c>
      <c r="H3" s="6">
        <f>IF('Settings'!$B$11="Scenario",ROUND(E3*G3*IFERROR(SUMIF('Pricing &amp; promotions'!$A$6:$A$8,L3,'Pricing &amp; promotions'!$B$6:$B$8)/100,0),2),J3)</f>
        <v>7.9</v>
      </c>
      <c r="I3" s="6">
        <f>ROUND((E3*G3-H3)/(1+'Settings'!$B$6/100),2)</f>
        <v>58.76</v>
      </c>
      <c r="J3" s="8">
        <v>7.9</v>
      </c>
      <c r="K3" s="3" t="inlineStr">
        <is>
          <t xml:space="preserve">TRUE</t>
        </is>
      </c>
      <c r="L3" s="3" t="inlineStr">
        <is>
          <t xml:space="preserve">WELCOME10</t>
        </is>
      </c>
    </row>
    <row r="4">
      <c r="A4" s="3" t="inlineStr">
        <is>
          <t xml:space="preserve">#1001</t>
        </is>
      </c>
      <c r="B4" s="3" t="inlineStr">
        <is>
          <t xml:space="preserve">2025-10-22</t>
        </is>
      </c>
      <c r="C4" s="3" t="inlineStr">
        <is>
          <t xml:space="preserve">SKU-E</t>
        </is>
      </c>
      <c r="D4" s="3" t="inlineStr">
        <is>
          <t xml:space="preserve">Complete Ritual</t>
        </is>
      </c>
      <c r="E4" s="6">
        <f>IF('Settings'!$B$11="Scenario",IFERROR(INDEX('Catalogue'!$E$3:$E$100,MATCH(C4,'Catalogue'!$B$3:$B$100,0)),F4),F4)</f>
        <v>89</v>
      </c>
      <c r="F4" s="8">
        <v>89</v>
      </c>
      <c r="G4" s="3">
        <v>1</v>
      </c>
      <c r="H4" s="6">
        <f>IF('Settings'!$B$11="Scenario",ROUND(E4*G4*IFERROR(SUMIF('Pricing &amp; promotions'!$A$6:$A$8,L4,'Pricing &amp; promotions'!$B$6:$B$8)/100,0),2),J4)</f>
        <v>8.9</v>
      </c>
      <c r="I4" s="6">
        <f>ROUND((E4*G4-H4)/(1+'Settings'!$B$6/100),2)</f>
        <v>66.2</v>
      </c>
      <c r="J4" s="8">
        <v>8.9</v>
      </c>
      <c r="K4" s="3" t="inlineStr">
        <is>
          <t xml:space="preserve">TRUE</t>
        </is>
      </c>
      <c r="L4" s="3" t="inlineStr">
        <is>
          <t xml:space="preserve">WELCOME10</t>
        </is>
      </c>
    </row>
    <row r="5">
      <c r="A5" s="3" t="inlineStr">
        <is>
          <t xml:space="preserve">#1002</t>
        </is>
      </c>
      <c r="B5" s="3" t="inlineStr">
        <is>
          <t xml:space="preserve">2025-10-23</t>
        </is>
      </c>
      <c r="C5" s="3" t="inlineStr">
        <is>
          <t xml:space="preserve">SKU-A</t>
        </is>
      </c>
      <c r="D5" s="3" t="inlineStr">
        <is>
          <t xml:space="preserve">Renewal Serum</t>
        </is>
      </c>
      <c r="E5" s="6">
        <f>IF('Settings'!$B$11="Scenario",IFERROR(INDEX('Catalogue'!$E$3:$E$100,MATCH(C5,'Catalogue'!$B$3:$B$100,0)),F5),F5)</f>
        <v>69.9</v>
      </c>
      <c r="F5" s="8">
        <v>64</v>
      </c>
      <c r="G5" s="3">
        <v>1</v>
      </c>
      <c r="H5" s="6">
        <f>IF('Settings'!$B$11="Scenario",ROUND(E5*G5*IFERROR(SUMIF('Pricing &amp; promotions'!$A$6:$A$8,L5,'Pricing &amp; promotions'!$B$6:$B$8)/100,0),2),J5)</f>
        <v>10.49</v>
      </c>
      <c r="I5" s="6">
        <f>ROUND((E5*G5-H5)/(1+'Settings'!$B$6/100),2)</f>
        <v>49.1</v>
      </c>
      <c r="J5" s="8">
        <v>9.6</v>
      </c>
      <c r="K5" s="3" t="inlineStr">
        <is>
          <t xml:space="preserve">TRUE</t>
        </is>
      </c>
      <c r="L5" s="3" t="inlineStr">
        <is>
          <t xml:space="preserve">SUMMER15</t>
        </is>
      </c>
    </row>
    <row r="6">
      <c r="A6" s="3" t="inlineStr">
        <is>
          <t xml:space="preserve">#1003</t>
        </is>
      </c>
      <c r="B6" s="3" t="inlineStr">
        <is>
          <t xml:space="preserve">2025-10-23</t>
        </is>
      </c>
      <c r="C6" s="3" t="inlineStr">
        <is>
          <t xml:space="preserve">SKU-F</t>
        </is>
      </c>
      <c r="D6" s="3" t="inlineStr">
        <is>
          <t xml:space="preserve">Cloud Cleanser</t>
        </is>
      </c>
      <c r="E6" s="6">
        <f>IF('Settings'!$B$11="Scenario",IFERROR(INDEX('Catalogue'!$E$3:$E$100,MATCH(C6,'Catalogue'!$B$3:$B$100,0)),F6),F6)</f>
        <v>34</v>
      </c>
      <c r="F6" s="8">
        <v>34</v>
      </c>
      <c r="G6" s="3">
        <v>1</v>
      </c>
      <c r="H6" s="6">
        <f>IF('Settings'!$B$11="Scenario",ROUND(E6*G6*IFERROR(SUMIF('Pricing &amp; promotions'!$A$6:$A$8,L6,'Pricing &amp; promotions'!$B$6:$B$8)/100,0),2),J6)</f>
        <v>0.0</v>
      </c>
      <c r="I6" s="6">
        <f>ROUND((E6*G6-H6)/(1+'Settings'!$B$6/100),2)</f>
        <v>28.1</v>
      </c>
      <c r="J6" s="8">
        <v>0.0</v>
      </c>
      <c r="K6" s="3" t="inlineStr">
        <is>
          <t xml:space="preserve">TRUE</t>
        </is>
      </c>
      <c r="L6" s="3"/>
    </row>
    <row r="7">
      <c r="A7" s="3" t="inlineStr">
        <is>
          <t xml:space="preserve">#1004</t>
        </is>
      </c>
      <c r="B7" s="3" t="inlineStr">
        <is>
          <t xml:space="preserve">2025-10-23</t>
        </is>
      </c>
      <c r="C7" s="3" t="inlineStr">
        <is>
          <t xml:space="preserve">SKU-A</t>
        </is>
      </c>
      <c r="D7" s="3" t="inlineStr">
        <is>
          <t xml:space="preserve">Renewal Serum</t>
        </is>
      </c>
      <c r="E7" s="6">
        <f>IF('Settings'!$B$11="Scenario",IFERROR(INDEX('Catalogue'!$E$3:$E$100,MATCH(C7,'Catalogue'!$B$3:$B$100,0)),F7),F7)</f>
        <v>69.9</v>
      </c>
      <c r="F7" s="8">
        <v>64</v>
      </c>
      <c r="G7" s="3">
        <v>1</v>
      </c>
      <c r="H7" s="6">
        <f>IF('Settings'!$B$11="Scenario",ROUND(E7*G7*IFERROR(SUMIF('Pricing &amp; promotions'!$A$6:$A$8,L7,'Pricing &amp; promotions'!$B$6:$B$8)/100,0),2),J7)</f>
        <v>6.99</v>
      </c>
      <c r="I7" s="6">
        <f>ROUND((E7*G7-H7)/(1+'Settings'!$B$6/100),2)</f>
        <v>51.99</v>
      </c>
      <c r="J7" s="8">
        <v>6.4</v>
      </c>
      <c r="K7" s="3" t="inlineStr">
        <is>
          <t xml:space="preserve">TRUE</t>
        </is>
      </c>
      <c r="L7" s="3" t="inlineStr">
        <is>
          <t xml:space="preserve">WELCOME10</t>
        </is>
      </c>
    </row>
    <row r="8">
      <c r="A8" s="3" t="inlineStr">
        <is>
          <t xml:space="preserve">#1005</t>
        </is>
      </c>
      <c r="B8" s="3" t="inlineStr">
        <is>
          <t xml:space="preserve">2025-10-24</t>
        </is>
      </c>
      <c r="C8" s="3" t="inlineStr">
        <is>
          <t xml:space="preserve">SKU-D</t>
        </is>
      </c>
      <c r="D8" s="3" t="inlineStr">
        <is>
          <t xml:space="preserve">Daily Duo</t>
        </is>
      </c>
      <c r="E8" s="6">
        <f>IF('Settings'!$B$11="Scenario",IFERROR(INDEX('Catalogue'!$E$3:$E$100,MATCH(C8,'Catalogue'!$B$3:$B$100,0)),F8),F8)</f>
        <v>79</v>
      </c>
      <c r="F8" s="8">
        <v>79</v>
      </c>
      <c r="G8" s="3">
        <v>1</v>
      </c>
      <c r="H8" s="6">
        <f>IF('Settings'!$B$11="Scenario",ROUND(E8*G8*IFERROR(SUMIF('Pricing &amp; promotions'!$A$6:$A$8,L8,'Pricing &amp; promotions'!$B$6:$B$8)/100,0),2),J8)</f>
        <v>0.0</v>
      </c>
      <c r="I8" s="6">
        <f>ROUND((E8*G8-H8)/(1+'Settings'!$B$6/100),2)</f>
        <v>65.29</v>
      </c>
      <c r="J8" s="8">
        <v>0.0</v>
      </c>
      <c r="K8" s="3" t="inlineStr">
        <is>
          <t xml:space="preserve">TRUE</t>
        </is>
      </c>
      <c r="L8" s="3"/>
    </row>
    <row r="9">
      <c r="A9" s="3" t="inlineStr">
        <is>
          <t xml:space="preserve">#1006</t>
        </is>
      </c>
      <c r="B9" s="3" t="inlineStr">
        <is>
          <t xml:space="preserve">2025-10-24</t>
        </is>
      </c>
      <c r="C9" s="3" t="inlineStr">
        <is>
          <t xml:space="preserve">SKU-E</t>
        </is>
      </c>
      <c r="D9" s="3" t="inlineStr">
        <is>
          <t xml:space="preserve">Complete Ritual</t>
        </is>
      </c>
      <c r="E9" s="6">
        <f>IF('Settings'!$B$11="Scenario",IFERROR(INDEX('Catalogue'!$E$3:$E$100,MATCH(C9,'Catalogue'!$B$3:$B$100,0)),F9),F9)</f>
        <v>89</v>
      </c>
      <c r="F9" s="8">
        <v>89</v>
      </c>
      <c r="G9" s="3">
        <v>1</v>
      </c>
      <c r="H9" s="6">
        <f>IF('Settings'!$B$11="Scenario",ROUND(E9*G9*IFERROR(SUMIF('Pricing &amp; promotions'!$A$6:$A$8,L9,'Pricing &amp; promotions'!$B$6:$B$8)/100,0),2),J9)</f>
        <v>0.0</v>
      </c>
      <c r="I9" s="6">
        <f>ROUND((E9*G9-H9)/(1+'Settings'!$B$6/100),2)</f>
        <v>73.55</v>
      </c>
      <c r="J9" s="8">
        <v>0.0</v>
      </c>
      <c r="K9" s="3" t="inlineStr">
        <is>
          <t xml:space="preserve">TRUE</t>
        </is>
      </c>
      <c r="L9" s="3"/>
    </row>
    <row r="10">
      <c r="A10" s="3" t="inlineStr">
        <is>
          <t xml:space="preserve">#1007</t>
        </is>
      </c>
      <c r="B10" s="3" t="inlineStr">
        <is>
          <t xml:space="preserve">2025-10-24</t>
        </is>
      </c>
      <c r="C10" s="3" t="inlineStr">
        <is>
          <t xml:space="preserve">SKU-A</t>
        </is>
      </c>
      <c r="D10" s="3" t="inlineStr">
        <is>
          <t xml:space="preserve">Renewal Serum</t>
        </is>
      </c>
      <c r="E10" s="6">
        <f>IF('Settings'!$B$11="Scenario",IFERROR(INDEX('Catalogue'!$E$3:$E$100,MATCH(C10,'Catalogue'!$B$3:$B$100,0)),F10),F10)</f>
        <v>69.9</v>
      </c>
      <c r="F10" s="8">
        <v>64</v>
      </c>
      <c r="G10" s="3">
        <v>2</v>
      </c>
      <c r="H10" s="6">
        <f>IF('Settings'!$B$11="Scenario",ROUND(E10*G10*IFERROR(SUMIF('Pricing &amp; promotions'!$A$6:$A$8,L10,'Pricing &amp; promotions'!$B$6:$B$8)/100,0),2),J10)</f>
        <v>0.0</v>
      </c>
      <c r="I10" s="6">
        <f>ROUND((E10*G10-H10)/(1+'Settings'!$B$6/100),2)</f>
        <v>115.54</v>
      </c>
      <c r="J10" s="8">
        <v>0.0</v>
      </c>
      <c r="K10" s="3" t="inlineStr">
        <is>
          <t xml:space="preserve">TRUE</t>
        </is>
      </c>
      <c r="L10" s="3"/>
    </row>
    <row r="11">
      <c r="A11" s="3" t="inlineStr">
        <is>
          <t xml:space="preserve">#1008</t>
        </is>
      </c>
      <c r="B11" s="3" t="inlineStr">
        <is>
          <t xml:space="preserve">2025-10-25</t>
        </is>
      </c>
      <c r="C11" s="3" t="inlineStr">
        <is>
          <t xml:space="preserve">SKU-D</t>
        </is>
      </c>
      <c r="D11" s="3" t="inlineStr">
        <is>
          <t xml:space="preserve">Daily Duo</t>
        </is>
      </c>
      <c r="E11" s="6">
        <f>IF('Settings'!$B$11="Scenario",IFERROR(INDEX('Catalogue'!$E$3:$E$100,MATCH(C11,'Catalogue'!$B$3:$B$100,0)),F11),F11)</f>
        <v>79</v>
      </c>
      <c r="F11" s="8">
        <v>79</v>
      </c>
      <c r="G11" s="3">
        <v>1</v>
      </c>
      <c r="H11" s="6">
        <f>IF('Settings'!$B$11="Scenario",ROUND(E11*G11*IFERROR(SUMIF('Pricing &amp; promotions'!$A$6:$A$8,L11,'Pricing &amp; promotions'!$B$6:$B$8)/100,0),2),J11)</f>
        <v>7.9</v>
      </c>
      <c r="I11" s="6">
        <f>ROUND((E11*G11-H11)/(1+'Settings'!$B$6/100),2)</f>
        <v>58.76</v>
      </c>
      <c r="J11" s="8">
        <v>7.9</v>
      </c>
      <c r="K11" s="3" t="inlineStr">
        <is>
          <t xml:space="preserve">TRUE</t>
        </is>
      </c>
      <c r="L11" s="3" t="inlineStr">
        <is>
          <t xml:space="preserve">WELCOME10</t>
        </is>
      </c>
    </row>
    <row r="12">
      <c r="A12" s="3" t="inlineStr">
        <is>
          <t xml:space="preserve">#1008</t>
        </is>
      </c>
      <c r="B12" s="3" t="inlineStr">
        <is>
          <t xml:space="preserve">2025-10-25</t>
        </is>
      </c>
      <c r="C12" s="3" t="inlineStr">
        <is>
          <t xml:space="preserve">SKU-A</t>
        </is>
      </c>
      <c r="D12" s="3" t="inlineStr">
        <is>
          <t xml:space="preserve">Renewal Serum</t>
        </is>
      </c>
      <c r="E12" s="6">
        <f>IF('Settings'!$B$11="Scenario",IFERROR(INDEX('Catalogue'!$E$3:$E$100,MATCH(C12,'Catalogue'!$B$3:$B$100,0)),F12),F12)</f>
        <v>69.9</v>
      </c>
      <c r="F12" s="8">
        <v>64</v>
      </c>
      <c r="G12" s="3">
        <v>1</v>
      </c>
      <c r="H12" s="6">
        <f>IF('Settings'!$B$11="Scenario",ROUND(E12*G12*IFERROR(SUMIF('Pricing &amp; promotions'!$A$6:$A$8,L12,'Pricing &amp; promotions'!$B$6:$B$8)/100,0),2),J12)</f>
        <v>6.99</v>
      </c>
      <c r="I12" s="6">
        <f>ROUND((E12*G12-H12)/(1+'Settings'!$B$6/100),2)</f>
        <v>51.99</v>
      </c>
      <c r="J12" s="8">
        <v>6.4</v>
      </c>
      <c r="K12" s="3" t="inlineStr">
        <is>
          <t xml:space="preserve">TRUE</t>
        </is>
      </c>
      <c r="L12" s="3" t="inlineStr">
        <is>
          <t xml:space="preserve">WELCOME10</t>
        </is>
      </c>
    </row>
    <row r="13">
      <c r="A13" s="3" t="inlineStr">
        <is>
          <t xml:space="preserve">#1009</t>
        </is>
      </c>
      <c r="B13" s="3" t="inlineStr">
        <is>
          <t xml:space="preserve">2025-10-25</t>
        </is>
      </c>
      <c r="C13" s="3" t="inlineStr">
        <is>
          <t xml:space="preserve">SKU-F</t>
        </is>
      </c>
      <c r="D13" s="3" t="inlineStr">
        <is>
          <t xml:space="preserve">Cloud Cleanser</t>
        </is>
      </c>
      <c r="E13" s="6">
        <f>IF('Settings'!$B$11="Scenario",IFERROR(INDEX('Catalogue'!$E$3:$E$100,MATCH(C13,'Catalogue'!$B$3:$B$100,0)),F13),F13)</f>
        <v>34</v>
      </c>
      <c r="F13" s="8">
        <v>34</v>
      </c>
      <c r="G13" s="3">
        <v>2</v>
      </c>
      <c r="H13" s="6">
        <f>IF('Settings'!$B$11="Scenario",ROUND(E13*G13*IFERROR(SUMIF('Pricing &amp; promotions'!$A$6:$A$8,L13,'Pricing &amp; promotions'!$B$6:$B$8)/100,0),2),J13)</f>
        <v>6.8</v>
      </c>
      <c r="I13" s="6">
        <f>ROUND((E13*G13-H13)/(1+'Settings'!$B$6/100),2)</f>
        <v>50.58</v>
      </c>
      <c r="J13" s="8">
        <v>6.8</v>
      </c>
      <c r="K13" s="3" t="inlineStr">
        <is>
          <t xml:space="preserve">TRUE</t>
        </is>
      </c>
      <c r="L13" s="3" t="inlineStr">
        <is>
          <t xml:space="preserve">WELCOME10</t>
        </is>
      </c>
    </row>
    <row r="14">
      <c r="A14" s="3" t="inlineStr">
        <is>
          <t xml:space="preserve">#1009</t>
        </is>
      </c>
      <c r="B14" s="3" t="inlineStr">
        <is>
          <t xml:space="preserve">2025-10-25</t>
        </is>
      </c>
      <c r="C14" s="3" t="inlineStr">
        <is>
          <t xml:space="preserve">SKU-B</t>
        </is>
      </c>
      <c r="D14" s="3" t="inlineStr">
        <is>
          <t xml:space="preserve">Barrier Balm</t>
        </is>
      </c>
      <c r="E14" s="6">
        <f>IF('Settings'!$B$11="Scenario",IFERROR(INDEX('Catalogue'!$E$3:$E$100,MATCH(C14,'Catalogue'!$B$3:$B$100,0)),F14),F14)</f>
        <v>19</v>
      </c>
      <c r="F14" s="8">
        <v>18</v>
      </c>
      <c r="G14" s="3">
        <v>1</v>
      </c>
      <c r="H14" s="6">
        <f>IF('Settings'!$B$11="Scenario",ROUND(E14*G14*IFERROR(SUMIF('Pricing &amp; promotions'!$A$6:$A$8,L14,'Pricing &amp; promotions'!$B$6:$B$8)/100,0),2),J14)</f>
        <v>1.9</v>
      </c>
      <c r="I14" s="6">
        <f>ROUND((E14*G14-H14)/(1+'Settings'!$B$6/100),2)</f>
        <v>14.13</v>
      </c>
      <c r="J14" s="8">
        <v>1.8</v>
      </c>
      <c r="K14" s="3" t="inlineStr">
        <is>
          <t xml:space="preserve">TRUE</t>
        </is>
      </c>
      <c r="L14" s="3" t="inlineStr">
        <is>
          <t xml:space="preserve">WELCOME10</t>
        </is>
      </c>
    </row>
    <row r="15">
      <c r="A15" s="3" t="inlineStr">
        <is>
          <t xml:space="preserve">#1010</t>
        </is>
      </c>
      <c r="B15" s="3" t="inlineStr">
        <is>
          <t xml:space="preserve">2025-10-25</t>
        </is>
      </c>
      <c r="C15" s="3" t="inlineStr">
        <is>
          <t xml:space="preserve">SKU-A</t>
        </is>
      </c>
      <c r="D15" s="3" t="inlineStr">
        <is>
          <t xml:space="preserve">Renewal Serum</t>
        </is>
      </c>
      <c r="E15" s="6">
        <f>IF('Settings'!$B$11="Scenario",IFERROR(INDEX('Catalogue'!$E$3:$E$100,MATCH(C15,'Catalogue'!$B$3:$B$100,0)),F15),F15)</f>
        <v>69.9</v>
      </c>
      <c r="F15" s="8">
        <v>64</v>
      </c>
      <c r="G15" s="3">
        <v>1</v>
      </c>
      <c r="H15" s="6">
        <f>IF('Settings'!$B$11="Scenario",ROUND(E15*G15*IFERROR(SUMIF('Pricing &amp; promotions'!$A$6:$A$8,L15,'Pricing &amp; promotions'!$B$6:$B$8)/100,0),2),J15)</f>
        <v>0.0</v>
      </c>
      <c r="I15" s="6">
        <f>ROUND((E15*G15-H15)/(1+'Settings'!$B$6/100),2)</f>
        <v>57.77</v>
      </c>
      <c r="J15" s="8">
        <v>0.0</v>
      </c>
      <c r="K15" s="3" t="inlineStr">
        <is>
          <t xml:space="preserve">TRUE</t>
        </is>
      </c>
      <c r="L15" s="3"/>
    </row>
    <row r="16">
      <c r="A16" s="3" t="inlineStr">
        <is>
          <t xml:space="preserve">#1010</t>
        </is>
      </c>
      <c r="B16" s="3" t="inlineStr">
        <is>
          <t xml:space="preserve">2025-10-25</t>
        </is>
      </c>
      <c r="C16" s="3" t="inlineStr">
        <is>
          <t xml:space="preserve">SKU-E</t>
        </is>
      </c>
      <c r="D16" s="3" t="inlineStr">
        <is>
          <t xml:space="preserve">Complete Ritual</t>
        </is>
      </c>
      <c r="E16" s="6">
        <f>IF('Settings'!$B$11="Scenario",IFERROR(INDEX('Catalogue'!$E$3:$E$100,MATCH(C16,'Catalogue'!$B$3:$B$100,0)),F16),F16)</f>
        <v>89</v>
      </c>
      <c r="F16" s="8">
        <v>89</v>
      </c>
      <c r="G16" s="3">
        <v>1</v>
      </c>
      <c r="H16" s="6">
        <f>IF('Settings'!$B$11="Scenario",ROUND(E16*G16*IFERROR(SUMIF('Pricing &amp; promotions'!$A$6:$A$8,L16,'Pricing &amp; promotions'!$B$6:$B$8)/100,0),2),J16)</f>
        <v>0.0</v>
      </c>
      <c r="I16" s="6">
        <f>ROUND((E16*G16-H16)/(1+'Settings'!$B$6/100),2)</f>
        <v>73.55</v>
      </c>
      <c r="J16" s="8">
        <v>0.0</v>
      </c>
      <c r="K16" s="3" t="inlineStr">
        <is>
          <t xml:space="preserve">TRUE</t>
        </is>
      </c>
      <c r="L16" s="3"/>
    </row>
    <row r="17">
      <c r="A17" s="3" t="inlineStr">
        <is>
          <t xml:space="preserve">#1011</t>
        </is>
      </c>
      <c r="B17" s="3" t="inlineStr">
        <is>
          <t xml:space="preserve">2025-10-26</t>
        </is>
      </c>
      <c r="C17" s="3" t="inlineStr">
        <is>
          <t xml:space="preserve">SKU-A</t>
        </is>
      </c>
      <c r="D17" s="3" t="inlineStr">
        <is>
          <t xml:space="preserve">Renewal Serum</t>
        </is>
      </c>
      <c r="E17" s="6">
        <f>IF('Settings'!$B$11="Scenario",IFERROR(INDEX('Catalogue'!$E$3:$E$100,MATCH(C17,'Catalogue'!$B$3:$B$100,0)),F17),F17)</f>
        <v>69.9</v>
      </c>
      <c r="F17" s="8">
        <v>64</v>
      </c>
      <c r="G17" s="3">
        <v>1</v>
      </c>
      <c r="H17" s="6">
        <f>IF('Settings'!$B$11="Scenario",ROUND(E17*G17*IFERROR(SUMIF('Pricing &amp; promotions'!$A$6:$A$8,L17,'Pricing &amp; promotions'!$B$6:$B$8)/100,0),2),J17)</f>
        <v>10.49</v>
      </c>
      <c r="I17" s="6">
        <f>ROUND((E17*G17-H17)/(1+'Settings'!$B$6/100),2)</f>
        <v>49.1</v>
      </c>
      <c r="J17" s="8">
        <v>9.6</v>
      </c>
      <c r="K17" s="3" t="inlineStr">
        <is>
          <t xml:space="preserve">TRUE</t>
        </is>
      </c>
      <c r="L17" s="3" t="inlineStr">
        <is>
          <t xml:space="preserve">SUMMER15</t>
        </is>
      </c>
    </row>
    <row r="18">
      <c r="A18" s="3" t="inlineStr">
        <is>
          <t xml:space="preserve">#1011</t>
        </is>
      </c>
      <c r="B18" s="3" t="inlineStr">
        <is>
          <t xml:space="preserve">2025-10-26</t>
        </is>
      </c>
      <c r="C18" s="3" t="inlineStr">
        <is>
          <t xml:space="preserve">SKU-G</t>
        </is>
      </c>
      <c r="D18" s="3" t="inlineStr">
        <is>
          <t xml:space="preserve">Daily Reset Set</t>
        </is>
      </c>
      <c r="E18" s="6">
        <f>IF('Settings'!$B$11="Scenario",IFERROR(INDEX('Catalogue'!$E$3:$E$100,MATCH(C18,'Catalogue'!$B$3:$B$100,0)),F18),F18)</f>
        <v>69</v>
      </c>
      <c r="F18" s="8">
        <v>69</v>
      </c>
      <c r="G18" s="3">
        <v>1</v>
      </c>
      <c r="H18" s="6">
        <f>IF('Settings'!$B$11="Scenario",ROUND(E18*G18*IFERROR(SUMIF('Pricing &amp; promotions'!$A$6:$A$8,L18,'Pricing &amp; promotions'!$B$6:$B$8)/100,0),2),J18)</f>
        <v>10.35</v>
      </c>
      <c r="I18" s="6">
        <f>ROUND((E18*G18-H18)/(1+'Settings'!$B$6/100),2)</f>
        <v>48.47</v>
      </c>
      <c r="J18" s="8">
        <v>10.35</v>
      </c>
      <c r="K18" s="3" t="inlineStr">
        <is>
          <t xml:space="preserve">TRUE</t>
        </is>
      </c>
      <c r="L18" s="3" t="inlineStr">
        <is>
          <t xml:space="preserve">SUMMER15</t>
        </is>
      </c>
    </row>
    <row r="19">
      <c r="A19" s="3" t="inlineStr">
        <is>
          <t xml:space="preserve">#1012</t>
        </is>
      </c>
      <c r="B19" s="3" t="inlineStr">
        <is>
          <t xml:space="preserve">2025-10-27</t>
        </is>
      </c>
      <c r="C19" s="3" t="inlineStr">
        <is>
          <t xml:space="preserve">SKU-E</t>
        </is>
      </c>
      <c r="D19" s="3" t="inlineStr">
        <is>
          <t xml:space="preserve">Complete Ritual</t>
        </is>
      </c>
      <c r="E19" s="6">
        <f>IF('Settings'!$B$11="Scenario",IFERROR(INDEX('Catalogue'!$E$3:$E$100,MATCH(C19,'Catalogue'!$B$3:$B$100,0)),F19),F19)</f>
        <v>89</v>
      </c>
      <c r="F19" s="8">
        <v>89</v>
      </c>
      <c r="G19" s="3">
        <v>1</v>
      </c>
      <c r="H19" s="6">
        <f>IF('Settings'!$B$11="Scenario",ROUND(E19*G19*IFERROR(SUMIF('Pricing &amp; promotions'!$A$6:$A$8,L19,'Pricing &amp; promotions'!$B$6:$B$8)/100,0),2),J19)</f>
        <v>0.0</v>
      </c>
      <c r="I19" s="6">
        <f>ROUND((E19*G19-H19)/(1+'Settings'!$B$6/100),2)</f>
        <v>73.55</v>
      </c>
      <c r="J19" s="8">
        <v>0.0</v>
      </c>
      <c r="K19" s="3" t="inlineStr">
        <is>
          <t xml:space="preserve">TRUE</t>
        </is>
      </c>
      <c r="L19" s="3"/>
    </row>
    <row r="20">
      <c r="A20" s="3" t="inlineStr">
        <is>
          <t xml:space="preserve">#1012</t>
        </is>
      </c>
      <c r="B20" s="3" t="inlineStr">
        <is>
          <t xml:space="preserve">2025-10-27</t>
        </is>
      </c>
      <c r="C20" s="3" t="inlineStr">
        <is>
          <t xml:space="preserve">SKU-A</t>
        </is>
      </c>
      <c r="D20" s="3" t="inlineStr">
        <is>
          <t xml:space="preserve">Renewal Serum</t>
        </is>
      </c>
      <c r="E20" s="6">
        <f>IF('Settings'!$B$11="Scenario",IFERROR(INDEX('Catalogue'!$E$3:$E$100,MATCH(C20,'Catalogue'!$B$3:$B$100,0)),F20),F20)</f>
        <v>69.9</v>
      </c>
      <c r="F20" s="8">
        <v>64</v>
      </c>
      <c r="G20" s="3">
        <v>1</v>
      </c>
      <c r="H20" s="6">
        <f>IF('Settings'!$B$11="Scenario",ROUND(E20*G20*IFERROR(SUMIF('Pricing &amp; promotions'!$A$6:$A$8,L20,'Pricing &amp; promotions'!$B$6:$B$8)/100,0),2),J20)</f>
        <v>0.0</v>
      </c>
      <c r="I20" s="6">
        <f>ROUND((E20*G20-H20)/(1+'Settings'!$B$6/100),2)</f>
        <v>57.77</v>
      </c>
      <c r="J20" s="8">
        <v>0.0</v>
      </c>
      <c r="K20" s="3" t="inlineStr">
        <is>
          <t xml:space="preserve">TRUE</t>
        </is>
      </c>
      <c r="L20" s="3"/>
    </row>
    <row r="21">
      <c r="A21" s="3" t="inlineStr">
        <is>
          <t xml:space="preserve">#1013</t>
        </is>
      </c>
      <c r="B21" s="3" t="inlineStr">
        <is>
          <t xml:space="preserve">2025-10-27</t>
        </is>
      </c>
      <c r="C21" s="3" t="inlineStr">
        <is>
          <t xml:space="preserve">SKU-A</t>
        </is>
      </c>
      <c r="D21" s="3" t="inlineStr">
        <is>
          <t xml:space="preserve">Renewal Serum</t>
        </is>
      </c>
      <c r="E21" s="6">
        <f>IF('Settings'!$B$11="Scenario",IFERROR(INDEX('Catalogue'!$E$3:$E$100,MATCH(C21,'Catalogue'!$B$3:$B$100,0)),F21),F21)</f>
        <v>69.9</v>
      </c>
      <c r="F21" s="8">
        <v>64</v>
      </c>
      <c r="G21" s="3">
        <v>1</v>
      </c>
      <c r="H21" s="6">
        <f>IF('Settings'!$B$11="Scenario",ROUND(E21*G21*IFERROR(SUMIF('Pricing &amp; promotions'!$A$6:$A$8,L21,'Pricing &amp; promotions'!$B$6:$B$8)/100,0),2),J21)</f>
        <v>6.99</v>
      </c>
      <c r="I21" s="6">
        <f>ROUND((E21*G21-H21)/(1+'Settings'!$B$6/100),2)</f>
        <v>51.99</v>
      </c>
      <c r="J21" s="8">
        <v>6.4</v>
      </c>
      <c r="K21" s="3" t="inlineStr">
        <is>
          <t xml:space="preserve">TRUE</t>
        </is>
      </c>
      <c r="L21" s="3" t="inlineStr">
        <is>
          <t xml:space="preserve">WELCOME10</t>
        </is>
      </c>
    </row>
    <row r="22">
      <c r="A22" s="3" t="inlineStr">
        <is>
          <t xml:space="preserve">#1013</t>
        </is>
      </c>
      <c r="B22" s="3" t="inlineStr">
        <is>
          <t xml:space="preserve">2025-10-27</t>
        </is>
      </c>
      <c r="C22" s="3" t="inlineStr">
        <is>
          <t xml:space="preserve">SKU-B</t>
        </is>
      </c>
      <c r="D22" s="3" t="inlineStr">
        <is>
          <t xml:space="preserve">Barrier Balm</t>
        </is>
      </c>
      <c r="E22" s="6">
        <f>IF('Settings'!$B$11="Scenario",IFERROR(INDEX('Catalogue'!$E$3:$E$100,MATCH(C22,'Catalogue'!$B$3:$B$100,0)),F22),F22)</f>
        <v>19</v>
      </c>
      <c r="F22" s="8">
        <v>18</v>
      </c>
      <c r="G22" s="3">
        <v>1</v>
      </c>
      <c r="H22" s="6">
        <f>IF('Settings'!$B$11="Scenario",ROUND(E22*G22*IFERROR(SUMIF('Pricing &amp; promotions'!$A$6:$A$8,L22,'Pricing &amp; promotions'!$B$6:$B$8)/100,0),2),J22)</f>
        <v>1.9</v>
      </c>
      <c r="I22" s="6">
        <f>ROUND((E22*G22-H22)/(1+'Settings'!$B$6/100),2)</f>
        <v>14.13</v>
      </c>
      <c r="J22" s="8">
        <v>1.8</v>
      </c>
      <c r="K22" s="3" t="inlineStr">
        <is>
          <t xml:space="preserve">TRUE</t>
        </is>
      </c>
      <c r="L22" s="3" t="inlineStr">
        <is>
          <t xml:space="preserve">WELCOME10</t>
        </is>
      </c>
    </row>
    <row r="23">
      <c r="A23" s="3" t="inlineStr">
        <is>
          <t xml:space="preserve">#1014</t>
        </is>
      </c>
      <c r="B23" s="3" t="inlineStr">
        <is>
          <t xml:space="preserve">2025-10-27</t>
        </is>
      </c>
      <c r="C23" s="3" t="inlineStr">
        <is>
          <t xml:space="preserve">SKU-F</t>
        </is>
      </c>
      <c r="D23" s="3" t="inlineStr">
        <is>
          <t xml:space="preserve">Cloud Cleanser</t>
        </is>
      </c>
      <c r="E23" s="6">
        <f>IF('Settings'!$B$11="Scenario",IFERROR(INDEX('Catalogue'!$E$3:$E$100,MATCH(C23,'Catalogue'!$B$3:$B$100,0)),F23),F23)</f>
        <v>34</v>
      </c>
      <c r="F23" s="8">
        <v>34</v>
      </c>
      <c r="G23" s="3">
        <v>1</v>
      </c>
      <c r="H23" s="6">
        <f>IF('Settings'!$B$11="Scenario",ROUND(E23*G23*IFERROR(SUMIF('Pricing &amp; promotions'!$A$6:$A$8,L23,'Pricing &amp; promotions'!$B$6:$B$8)/100,0),2),J23)</f>
        <v>3.4</v>
      </c>
      <c r="I23" s="6">
        <f>ROUND((E23*G23-H23)/(1+'Settings'!$B$6/100),2)</f>
        <v>25.29</v>
      </c>
      <c r="J23" s="8">
        <v>3.4</v>
      </c>
      <c r="K23" s="3" t="inlineStr">
        <is>
          <t xml:space="preserve">TRUE</t>
        </is>
      </c>
      <c r="L23" s="3" t="inlineStr">
        <is>
          <t xml:space="preserve">WELCOME10</t>
        </is>
      </c>
    </row>
    <row r="24">
      <c r="A24" s="3" t="inlineStr">
        <is>
          <t xml:space="preserve">#1015</t>
        </is>
      </c>
      <c r="B24" s="3" t="inlineStr">
        <is>
          <t xml:space="preserve">2025-10-27</t>
        </is>
      </c>
      <c r="C24" s="3" t="inlineStr">
        <is>
          <t xml:space="preserve">SKU-A</t>
        </is>
      </c>
      <c r="D24" s="3" t="inlineStr">
        <is>
          <t xml:space="preserve">Renewal Serum</t>
        </is>
      </c>
      <c r="E24" s="6">
        <f>IF('Settings'!$B$11="Scenario",IFERROR(INDEX('Catalogue'!$E$3:$E$100,MATCH(C24,'Catalogue'!$B$3:$B$100,0)),F24),F24)</f>
        <v>69.9</v>
      </c>
      <c r="F24" s="8">
        <v>64</v>
      </c>
      <c r="G24" s="3">
        <v>1</v>
      </c>
      <c r="H24" s="6">
        <f>IF('Settings'!$B$11="Scenario",ROUND(E24*G24*IFERROR(SUMIF('Pricing &amp; promotions'!$A$6:$A$8,L24,'Pricing &amp; promotions'!$B$6:$B$8)/100,0),2),J24)</f>
        <v>6.99</v>
      </c>
      <c r="I24" s="6">
        <f>ROUND((E24*G24-H24)/(1+'Settings'!$B$6/100),2)</f>
        <v>51.99</v>
      </c>
      <c r="J24" s="8">
        <v>6.4</v>
      </c>
      <c r="K24" s="3" t="inlineStr">
        <is>
          <t xml:space="preserve">TRUE</t>
        </is>
      </c>
      <c r="L24" s="3" t="inlineStr">
        <is>
          <t xml:space="preserve">WELCOME10</t>
        </is>
      </c>
    </row>
    <row r="25">
      <c r="A25" s="3" t="inlineStr">
        <is>
          <t xml:space="preserve">#1016</t>
        </is>
      </c>
      <c r="B25" s="3" t="inlineStr">
        <is>
          <t xml:space="preserve">2025-10-27</t>
        </is>
      </c>
      <c r="C25" s="3" t="inlineStr">
        <is>
          <t xml:space="preserve">SKU-E</t>
        </is>
      </c>
      <c r="D25" s="3" t="inlineStr">
        <is>
          <t xml:space="preserve">Complete Ritual</t>
        </is>
      </c>
      <c r="E25" s="6">
        <f>IF('Settings'!$B$11="Scenario",IFERROR(INDEX('Catalogue'!$E$3:$E$100,MATCH(C25,'Catalogue'!$B$3:$B$100,0)),F25),F25)</f>
        <v>89</v>
      </c>
      <c r="F25" s="8">
        <v>89</v>
      </c>
      <c r="G25" s="3">
        <v>2</v>
      </c>
      <c r="H25" s="6">
        <f>IF('Settings'!$B$11="Scenario",ROUND(E25*G25*IFERROR(SUMIF('Pricing &amp; promotions'!$A$6:$A$8,L25,'Pricing &amp; promotions'!$B$6:$B$8)/100,0),2),J25)</f>
        <v>17.8</v>
      </c>
      <c r="I25" s="6">
        <f>ROUND((E25*G25-H25)/(1+'Settings'!$B$6/100),2)</f>
        <v>132.4</v>
      </c>
      <c r="J25" s="8">
        <v>17.8</v>
      </c>
      <c r="K25" s="3" t="inlineStr">
        <is>
          <t xml:space="preserve">TRUE</t>
        </is>
      </c>
      <c r="L25" s="3" t="inlineStr">
        <is>
          <t xml:space="preserve">WELCOME10</t>
        </is>
      </c>
    </row>
    <row r="26">
      <c r="A26" s="3" t="inlineStr">
        <is>
          <t xml:space="preserve">#1017</t>
        </is>
      </c>
      <c r="B26" s="3" t="inlineStr">
        <is>
          <t xml:space="preserve">2025-10-28</t>
        </is>
      </c>
      <c r="C26" s="3" t="inlineStr">
        <is>
          <t xml:space="preserve">SKU-A</t>
        </is>
      </c>
      <c r="D26" s="3" t="inlineStr">
        <is>
          <t xml:space="preserve">Renewal Serum</t>
        </is>
      </c>
      <c r="E26" s="6">
        <f>IF('Settings'!$B$11="Scenario",IFERROR(INDEX('Catalogue'!$E$3:$E$100,MATCH(C26,'Catalogue'!$B$3:$B$100,0)),F26),F26)</f>
        <v>69.9</v>
      </c>
      <c r="F26" s="8">
        <v>64</v>
      </c>
      <c r="G26" s="3">
        <v>1</v>
      </c>
      <c r="H26" s="6">
        <f>IF('Settings'!$B$11="Scenario",ROUND(E26*G26*IFERROR(SUMIF('Pricing &amp; promotions'!$A$6:$A$8,L26,'Pricing &amp; promotions'!$B$6:$B$8)/100,0),2),J26)</f>
        <v>0.0</v>
      </c>
      <c r="I26" s="6">
        <f>ROUND((E26*G26-H26)/(1+'Settings'!$B$6/100),2)</f>
        <v>57.77</v>
      </c>
      <c r="J26" s="8">
        <v>0.0</v>
      </c>
      <c r="K26" s="3" t="inlineStr">
        <is>
          <t xml:space="preserve">TRUE</t>
        </is>
      </c>
      <c r="L26" s="3"/>
    </row>
    <row r="27">
      <c r="A27" s="3" t="inlineStr">
        <is>
          <t xml:space="preserve">#1017</t>
        </is>
      </c>
      <c r="B27" s="3" t="inlineStr">
        <is>
          <t xml:space="preserve">2025-10-28</t>
        </is>
      </c>
      <c r="C27" s="3" t="inlineStr">
        <is>
          <t xml:space="preserve">SKU-C</t>
        </is>
      </c>
      <c r="D27" s="3" t="inlineStr">
        <is>
          <t xml:space="preserve">Contour Stone</t>
        </is>
      </c>
      <c r="E27" s="6">
        <f>IF('Settings'!$B$11="Scenario",IFERROR(INDEX('Catalogue'!$E$3:$E$100,MATCH(C27,'Catalogue'!$B$3:$B$100,0)),F27),F27)</f>
        <v>29</v>
      </c>
      <c r="F27" s="8">
        <v>29</v>
      </c>
      <c r="G27" s="3">
        <v>1</v>
      </c>
      <c r="H27" s="6">
        <f>IF('Settings'!$B$11="Scenario",ROUND(E27*G27*IFERROR(SUMIF('Pricing &amp; promotions'!$A$6:$A$8,L27,'Pricing &amp; promotions'!$B$6:$B$8)/100,0),2),J27)</f>
        <v>0.0</v>
      </c>
      <c r="I27" s="6">
        <f>ROUND((E27*G27-H27)/(1+'Settings'!$B$6/100),2)</f>
        <v>23.97</v>
      </c>
      <c r="J27" s="8">
        <v>0.0</v>
      </c>
      <c r="K27" s="3" t="inlineStr">
        <is>
          <t xml:space="preserve">TRUE</t>
        </is>
      </c>
      <c r="L27" s="3"/>
    </row>
    <row r="28">
      <c r="A28" s="3" t="inlineStr">
        <is>
          <t xml:space="preserve">#1018</t>
        </is>
      </c>
      <c r="B28" s="3" t="inlineStr">
        <is>
          <t xml:space="preserve">2025-10-29</t>
        </is>
      </c>
      <c r="C28" s="3" t="inlineStr">
        <is>
          <t xml:space="preserve">SKU-A</t>
        </is>
      </c>
      <c r="D28" s="3" t="inlineStr">
        <is>
          <t xml:space="preserve">Renewal Serum</t>
        </is>
      </c>
      <c r="E28" s="6">
        <f>IF('Settings'!$B$11="Scenario",IFERROR(INDEX('Catalogue'!$E$3:$E$100,MATCH(C28,'Catalogue'!$B$3:$B$100,0)),F28),F28)</f>
        <v>69.9</v>
      </c>
      <c r="F28" s="8">
        <v>64</v>
      </c>
      <c r="G28" s="3">
        <v>1</v>
      </c>
      <c r="H28" s="6">
        <f>IF('Settings'!$B$11="Scenario",ROUND(E28*G28*IFERROR(SUMIF('Pricing &amp; promotions'!$A$6:$A$8,L28,'Pricing &amp; promotions'!$B$6:$B$8)/100,0),2),J28)</f>
        <v>0.0</v>
      </c>
      <c r="I28" s="6">
        <f>ROUND((E28*G28-H28)/(1+'Settings'!$B$6/100),2)</f>
        <v>57.77</v>
      </c>
      <c r="J28" s="8">
        <v>0.0</v>
      </c>
      <c r="K28" s="3" t="inlineStr">
        <is>
          <t xml:space="preserve">TRUE</t>
        </is>
      </c>
      <c r="L28" s="3"/>
    </row>
    <row r="29">
      <c r="A29" s="3" t="inlineStr">
        <is>
          <t xml:space="preserve">#1018</t>
        </is>
      </c>
      <c r="B29" s="3" t="inlineStr">
        <is>
          <t xml:space="preserve">2025-10-29</t>
        </is>
      </c>
      <c r="C29" s="3" t="inlineStr">
        <is>
          <t xml:space="preserve">SKU-F</t>
        </is>
      </c>
      <c r="D29" s="3" t="inlineStr">
        <is>
          <t xml:space="preserve">Cloud Cleanser</t>
        </is>
      </c>
      <c r="E29" s="6">
        <f>IF('Settings'!$B$11="Scenario",IFERROR(INDEX('Catalogue'!$E$3:$E$100,MATCH(C29,'Catalogue'!$B$3:$B$100,0)),F29),F29)</f>
        <v>34</v>
      </c>
      <c r="F29" s="8">
        <v>34</v>
      </c>
      <c r="G29" s="3">
        <v>1</v>
      </c>
      <c r="H29" s="6">
        <f>IF('Settings'!$B$11="Scenario",ROUND(E29*G29*IFERROR(SUMIF('Pricing &amp; promotions'!$A$6:$A$8,L29,'Pricing &amp; promotions'!$B$6:$B$8)/100,0),2),J29)</f>
        <v>0.0</v>
      </c>
      <c r="I29" s="6">
        <f>ROUND((E29*G29-H29)/(1+'Settings'!$B$6/100),2)</f>
        <v>28.1</v>
      </c>
      <c r="J29" s="8">
        <v>0.0</v>
      </c>
      <c r="K29" s="3" t="inlineStr">
        <is>
          <t xml:space="preserve">TRUE</t>
        </is>
      </c>
      <c r="L29" s="3"/>
    </row>
    <row r="30">
      <c r="A30" s="3" t="inlineStr">
        <is>
          <t xml:space="preserve">#1018</t>
        </is>
      </c>
      <c r="B30" s="3" t="inlineStr">
        <is>
          <t xml:space="preserve">2025-10-29</t>
        </is>
      </c>
      <c r="C30" s="3" t="inlineStr">
        <is>
          <t xml:space="preserve">SKU-B</t>
        </is>
      </c>
      <c r="D30" s="3" t="inlineStr">
        <is>
          <t xml:space="preserve">Barrier Balm</t>
        </is>
      </c>
      <c r="E30" s="6">
        <f>IF('Settings'!$B$11="Scenario",IFERROR(INDEX('Catalogue'!$E$3:$E$100,MATCH(C30,'Catalogue'!$B$3:$B$100,0)),F30),F30)</f>
        <v>19</v>
      </c>
      <c r="F30" s="8">
        <v>18</v>
      </c>
      <c r="G30" s="3">
        <v>1</v>
      </c>
      <c r="H30" s="6">
        <f>IF('Settings'!$B$11="Scenario",ROUND(E30*G30*IFERROR(SUMIF('Pricing &amp; promotions'!$A$6:$A$8,L30,'Pricing &amp; promotions'!$B$6:$B$8)/100,0),2),J30)</f>
        <v>0.0</v>
      </c>
      <c r="I30" s="6">
        <f>ROUND((E30*G30-H30)/(1+'Settings'!$B$6/100),2)</f>
        <v>15.7</v>
      </c>
      <c r="J30" s="8">
        <v>0.0</v>
      </c>
      <c r="K30" s="3" t="inlineStr">
        <is>
          <t xml:space="preserve">TRUE</t>
        </is>
      </c>
      <c r="L30" s="3"/>
    </row>
    <row r="31">
      <c r="A31" s="3" t="inlineStr">
        <is>
          <t xml:space="preserve">#1019</t>
        </is>
      </c>
      <c r="B31" s="3" t="inlineStr">
        <is>
          <t xml:space="preserve">2025-10-29</t>
        </is>
      </c>
      <c r="C31" s="3" t="inlineStr">
        <is>
          <t xml:space="preserve">SKU-G</t>
        </is>
      </c>
      <c r="D31" s="3" t="inlineStr">
        <is>
          <t xml:space="preserve">Daily Reset Set</t>
        </is>
      </c>
      <c r="E31" s="6">
        <f>IF('Settings'!$B$11="Scenario",IFERROR(INDEX('Catalogue'!$E$3:$E$100,MATCH(C31,'Catalogue'!$B$3:$B$100,0)),F31),F31)</f>
        <v>69</v>
      </c>
      <c r="F31" s="8">
        <v>69</v>
      </c>
      <c r="G31" s="3">
        <v>1</v>
      </c>
      <c r="H31" s="6">
        <f>IF('Settings'!$B$11="Scenario",ROUND(E31*G31*IFERROR(SUMIF('Pricing &amp; promotions'!$A$6:$A$8,L31,'Pricing &amp; promotions'!$B$6:$B$8)/100,0),2),J31)</f>
        <v>0.0</v>
      </c>
      <c r="I31" s="6">
        <f>ROUND((E31*G31-H31)/(1+'Settings'!$B$6/100),2)</f>
        <v>57.02</v>
      </c>
      <c r="J31" s="8">
        <v>0.0</v>
      </c>
      <c r="K31" s="3" t="inlineStr">
        <is>
          <t xml:space="preserve">TRUE</t>
        </is>
      </c>
      <c r="L31" s="3"/>
    </row>
    <row r="32">
      <c r="A32" s="3" t="inlineStr">
        <is>
          <t xml:space="preserve">#1019</t>
        </is>
      </c>
      <c r="B32" s="3" t="inlineStr">
        <is>
          <t xml:space="preserve">2025-10-29</t>
        </is>
      </c>
      <c r="C32" s="3" t="inlineStr">
        <is>
          <t xml:space="preserve">SKU-A</t>
        </is>
      </c>
      <c r="D32" s="3" t="inlineStr">
        <is>
          <t xml:space="preserve">Renewal Serum</t>
        </is>
      </c>
      <c r="E32" s="6">
        <f>IF('Settings'!$B$11="Scenario",IFERROR(INDEX('Catalogue'!$E$3:$E$100,MATCH(C32,'Catalogue'!$B$3:$B$100,0)),F32),F32)</f>
        <v>69.9</v>
      </c>
      <c r="F32" s="8">
        <v>64</v>
      </c>
      <c r="G32" s="3">
        <v>1</v>
      </c>
      <c r="H32" s="6">
        <f>IF('Settings'!$B$11="Scenario",ROUND(E32*G32*IFERROR(SUMIF('Pricing &amp; promotions'!$A$6:$A$8,L32,'Pricing &amp; promotions'!$B$6:$B$8)/100,0),2),J32)</f>
        <v>0.0</v>
      </c>
      <c r="I32" s="6">
        <f>ROUND((E32*G32-H32)/(1+'Settings'!$B$6/100),2)</f>
        <v>57.77</v>
      </c>
      <c r="J32" s="8">
        <v>0.0</v>
      </c>
      <c r="K32" s="3" t="inlineStr">
        <is>
          <t xml:space="preserve">TRUE</t>
        </is>
      </c>
      <c r="L32" s="3"/>
    </row>
    <row r="33">
      <c r="A33" s="3" t="inlineStr">
        <is>
          <t xml:space="preserve">#1020</t>
        </is>
      </c>
      <c r="B33" s="3" t="inlineStr">
        <is>
          <t xml:space="preserve">2025-10-29</t>
        </is>
      </c>
      <c r="C33" s="3" t="inlineStr">
        <is>
          <t xml:space="preserve">SKU-G</t>
        </is>
      </c>
      <c r="D33" s="3" t="inlineStr">
        <is>
          <t xml:space="preserve">Daily Reset Set</t>
        </is>
      </c>
      <c r="E33" s="6">
        <f>IF('Settings'!$B$11="Scenario",IFERROR(INDEX('Catalogue'!$E$3:$E$100,MATCH(C33,'Catalogue'!$B$3:$B$100,0)),F33),F33)</f>
        <v>69</v>
      </c>
      <c r="F33" s="8">
        <v>69</v>
      </c>
      <c r="G33" s="3">
        <v>1</v>
      </c>
      <c r="H33" s="6">
        <f>IF('Settings'!$B$11="Scenario",ROUND(E33*G33*IFERROR(SUMIF('Pricing &amp; promotions'!$A$6:$A$8,L33,'Pricing &amp; promotions'!$B$6:$B$8)/100,0),2),J33)</f>
        <v>6.9</v>
      </c>
      <c r="I33" s="6">
        <f>ROUND((E33*G33-H33)/(1+'Settings'!$B$6/100),2)</f>
        <v>51.32</v>
      </c>
      <c r="J33" s="8">
        <v>6.9</v>
      </c>
      <c r="K33" s="3" t="inlineStr">
        <is>
          <t xml:space="preserve">TRUE</t>
        </is>
      </c>
      <c r="L33" s="3" t="inlineStr">
        <is>
          <t xml:space="preserve">WELCOME10</t>
        </is>
      </c>
    </row>
    <row r="34">
      <c r="A34" s="3" t="inlineStr">
        <is>
          <t xml:space="preserve">#1021</t>
        </is>
      </c>
      <c r="B34" s="3" t="inlineStr">
        <is>
          <t xml:space="preserve">2025-10-30</t>
        </is>
      </c>
      <c r="C34" s="3" t="inlineStr">
        <is>
          <t xml:space="preserve">SKU-C</t>
        </is>
      </c>
      <c r="D34" s="3" t="inlineStr">
        <is>
          <t xml:space="preserve">Contour Stone</t>
        </is>
      </c>
      <c r="E34" s="6">
        <f>IF('Settings'!$B$11="Scenario",IFERROR(INDEX('Catalogue'!$E$3:$E$100,MATCH(C34,'Catalogue'!$B$3:$B$100,0)),F34),F34)</f>
        <v>29</v>
      </c>
      <c r="F34" s="8">
        <v>29</v>
      </c>
      <c r="G34" s="3">
        <v>1</v>
      </c>
      <c r="H34" s="6">
        <f>IF('Settings'!$B$11="Scenario",ROUND(E34*G34*IFERROR(SUMIF('Pricing &amp; promotions'!$A$6:$A$8,L34,'Pricing &amp; promotions'!$B$6:$B$8)/100,0),2),J34)</f>
        <v>2.9</v>
      </c>
      <c r="I34" s="6">
        <f>ROUND((E34*G34-H34)/(1+'Settings'!$B$6/100),2)</f>
        <v>21.57</v>
      </c>
      <c r="J34" s="8">
        <v>2.9</v>
      </c>
      <c r="K34" s="3" t="inlineStr">
        <is>
          <t xml:space="preserve">TRUE</t>
        </is>
      </c>
      <c r="L34" s="3" t="inlineStr">
        <is>
          <t xml:space="preserve">WELCOME10</t>
        </is>
      </c>
    </row>
    <row r="35">
      <c r="A35" s="3" t="inlineStr">
        <is>
          <t xml:space="preserve">#1022</t>
        </is>
      </c>
      <c r="B35" s="3" t="inlineStr">
        <is>
          <t xml:space="preserve">2025-10-30</t>
        </is>
      </c>
      <c r="C35" s="3" t="inlineStr">
        <is>
          <t xml:space="preserve">SKU-A</t>
        </is>
      </c>
      <c r="D35" s="3" t="inlineStr">
        <is>
          <t xml:space="preserve">Renewal Serum</t>
        </is>
      </c>
      <c r="E35" s="6">
        <f>IF('Settings'!$B$11="Scenario",IFERROR(INDEX('Catalogue'!$E$3:$E$100,MATCH(C35,'Catalogue'!$B$3:$B$100,0)),F35),F35)</f>
        <v>69.9</v>
      </c>
      <c r="F35" s="8">
        <v>64</v>
      </c>
      <c r="G35" s="3">
        <v>1</v>
      </c>
      <c r="H35" s="6">
        <f>IF('Settings'!$B$11="Scenario",ROUND(E35*G35*IFERROR(SUMIF('Pricing &amp; promotions'!$A$6:$A$8,L35,'Pricing &amp; promotions'!$B$6:$B$8)/100,0),2),J35)</f>
        <v>6.99</v>
      </c>
      <c r="I35" s="6">
        <f>ROUND((E35*G35-H35)/(1+'Settings'!$B$6/100),2)</f>
        <v>51.99</v>
      </c>
      <c r="J35" s="8">
        <v>6.4</v>
      </c>
      <c r="K35" s="3" t="inlineStr">
        <is>
          <t xml:space="preserve">TRUE</t>
        </is>
      </c>
      <c r="L35" s="3" t="inlineStr">
        <is>
          <t xml:space="preserve">WELCOME10</t>
        </is>
      </c>
    </row>
    <row r="36">
      <c r="A36" s="3" t="inlineStr">
        <is>
          <t xml:space="preserve">#1023</t>
        </is>
      </c>
      <c r="B36" s="3" t="inlineStr">
        <is>
          <t xml:space="preserve">2025-10-30</t>
        </is>
      </c>
      <c r="C36" s="3" t="inlineStr">
        <is>
          <t xml:space="preserve">SKU-D</t>
        </is>
      </c>
      <c r="D36" s="3" t="inlineStr">
        <is>
          <t xml:space="preserve">Daily Duo</t>
        </is>
      </c>
      <c r="E36" s="6">
        <f>IF('Settings'!$B$11="Scenario",IFERROR(INDEX('Catalogue'!$E$3:$E$100,MATCH(C36,'Catalogue'!$B$3:$B$100,0)),F36),F36)</f>
        <v>79</v>
      </c>
      <c r="F36" s="8">
        <v>79</v>
      </c>
      <c r="G36" s="3">
        <v>2</v>
      </c>
      <c r="H36" s="6">
        <f>IF('Settings'!$B$11="Scenario",ROUND(E36*G36*IFERROR(SUMIF('Pricing &amp; promotions'!$A$6:$A$8,L36,'Pricing &amp; promotions'!$B$6:$B$8)/100,0),2),J36)</f>
        <v>0.0</v>
      </c>
      <c r="I36" s="6">
        <f>ROUND((E36*G36-H36)/(1+'Settings'!$B$6/100),2)</f>
        <v>130.58</v>
      </c>
      <c r="J36" s="8">
        <v>0.0</v>
      </c>
      <c r="K36" s="3" t="inlineStr">
        <is>
          <t xml:space="preserve">TRUE</t>
        </is>
      </c>
      <c r="L36" s="3"/>
    </row>
    <row r="37">
      <c r="A37" s="3" t="inlineStr">
        <is>
          <t xml:space="preserve">#1024</t>
        </is>
      </c>
      <c r="B37" s="3" t="inlineStr">
        <is>
          <t xml:space="preserve">2025-10-31</t>
        </is>
      </c>
      <c r="C37" s="3" t="inlineStr">
        <is>
          <t xml:space="preserve">SKU-G</t>
        </is>
      </c>
      <c r="D37" s="3" t="inlineStr">
        <is>
          <t xml:space="preserve">Daily Reset Set</t>
        </is>
      </c>
      <c r="E37" s="6">
        <f>IF('Settings'!$B$11="Scenario",IFERROR(INDEX('Catalogue'!$E$3:$E$100,MATCH(C37,'Catalogue'!$B$3:$B$100,0)),F37),F37)</f>
        <v>69</v>
      </c>
      <c r="F37" s="8">
        <v>69</v>
      </c>
      <c r="G37" s="3">
        <v>1</v>
      </c>
      <c r="H37" s="6">
        <f>IF('Settings'!$B$11="Scenario",ROUND(E37*G37*IFERROR(SUMIF('Pricing &amp; promotions'!$A$6:$A$8,L37,'Pricing &amp; promotions'!$B$6:$B$8)/100,0),2),J37)</f>
        <v>0.0</v>
      </c>
      <c r="I37" s="6">
        <f>ROUND((E37*G37-H37)/(1+'Settings'!$B$6/100),2)</f>
        <v>57.02</v>
      </c>
      <c r="J37" s="8">
        <v>0.0</v>
      </c>
      <c r="K37" s="3" t="inlineStr">
        <is>
          <t xml:space="preserve">TRUE</t>
        </is>
      </c>
      <c r="L37" s="3"/>
    </row>
    <row r="38">
      <c r="A38" s="3" t="inlineStr">
        <is>
          <t xml:space="preserve">#1025</t>
        </is>
      </c>
      <c r="B38" s="3" t="inlineStr">
        <is>
          <t xml:space="preserve">2025-11-01</t>
        </is>
      </c>
      <c r="C38" s="3" t="inlineStr">
        <is>
          <t xml:space="preserve">SKU-F</t>
        </is>
      </c>
      <c r="D38" s="3" t="inlineStr">
        <is>
          <t xml:space="preserve">Cloud Cleanser</t>
        </is>
      </c>
      <c r="E38" s="6">
        <f>IF('Settings'!$B$11="Scenario",IFERROR(INDEX('Catalogue'!$E$3:$E$100,MATCH(C38,'Catalogue'!$B$3:$B$100,0)),F38),F38)</f>
        <v>34</v>
      </c>
      <c r="F38" s="8">
        <v>34</v>
      </c>
      <c r="G38" s="3">
        <v>1</v>
      </c>
      <c r="H38" s="6">
        <f>IF('Settings'!$B$11="Scenario",ROUND(E38*G38*IFERROR(SUMIF('Pricing &amp; promotions'!$A$6:$A$8,L38,'Pricing &amp; promotions'!$B$6:$B$8)/100,0),2),J38)</f>
        <v>0.0</v>
      </c>
      <c r="I38" s="6">
        <f>ROUND((E38*G38-H38)/(1+'Settings'!$B$6/100),2)</f>
        <v>28.1</v>
      </c>
      <c r="J38" s="8">
        <v>0.0</v>
      </c>
      <c r="K38" s="3" t="inlineStr">
        <is>
          <t xml:space="preserve">TRUE</t>
        </is>
      </c>
      <c r="L38" s="3"/>
    </row>
    <row r="39">
      <c r="A39" s="3" t="inlineStr">
        <is>
          <t xml:space="preserve">#1025</t>
        </is>
      </c>
      <c r="B39" s="3" t="inlineStr">
        <is>
          <t xml:space="preserve">2025-11-01</t>
        </is>
      </c>
      <c r="C39" s="3" t="inlineStr">
        <is>
          <t xml:space="preserve">SKU-A</t>
        </is>
      </c>
      <c r="D39" s="3" t="inlineStr">
        <is>
          <t xml:space="preserve">Renewal Serum</t>
        </is>
      </c>
      <c r="E39" s="6">
        <f>IF('Settings'!$B$11="Scenario",IFERROR(INDEX('Catalogue'!$E$3:$E$100,MATCH(C39,'Catalogue'!$B$3:$B$100,0)),F39),F39)</f>
        <v>69.9</v>
      </c>
      <c r="F39" s="8">
        <v>64</v>
      </c>
      <c r="G39" s="3">
        <v>1</v>
      </c>
      <c r="H39" s="6">
        <f>IF('Settings'!$B$11="Scenario",ROUND(E39*G39*IFERROR(SUMIF('Pricing &amp; promotions'!$A$6:$A$8,L39,'Pricing &amp; promotions'!$B$6:$B$8)/100,0),2),J39)</f>
        <v>0.0</v>
      </c>
      <c r="I39" s="6">
        <f>ROUND((E39*G39-H39)/(1+'Settings'!$B$6/100),2)</f>
        <v>57.77</v>
      </c>
      <c r="J39" s="8">
        <v>0.0</v>
      </c>
      <c r="K39" s="3" t="inlineStr">
        <is>
          <t xml:space="preserve">TRUE</t>
        </is>
      </c>
      <c r="L39" s="3"/>
    </row>
    <row r="40">
      <c r="A40" s="3" t="inlineStr">
        <is>
          <t xml:space="preserve">#1026</t>
        </is>
      </c>
      <c r="B40" s="3" t="inlineStr">
        <is>
          <t xml:space="preserve">2025-11-01</t>
        </is>
      </c>
      <c r="C40" s="3" t="inlineStr">
        <is>
          <t xml:space="preserve">SKU-F</t>
        </is>
      </c>
      <c r="D40" s="3" t="inlineStr">
        <is>
          <t xml:space="preserve">Cloud Cleanser</t>
        </is>
      </c>
      <c r="E40" s="6">
        <f>IF('Settings'!$B$11="Scenario",IFERROR(INDEX('Catalogue'!$E$3:$E$100,MATCH(C40,'Catalogue'!$B$3:$B$100,0)),F40),F40)</f>
        <v>34</v>
      </c>
      <c r="F40" s="8">
        <v>34</v>
      </c>
      <c r="G40" s="3">
        <v>1</v>
      </c>
      <c r="H40" s="6">
        <f>IF('Settings'!$B$11="Scenario",ROUND(E40*G40*IFERROR(SUMIF('Pricing &amp; promotions'!$A$6:$A$8,L40,'Pricing &amp; promotions'!$B$6:$B$8)/100,0),2),J40)</f>
        <v>3.4</v>
      </c>
      <c r="I40" s="6">
        <f>ROUND((E40*G40-H40)/(1+'Settings'!$B$6/100),2)</f>
        <v>25.29</v>
      </c>
      <c r="J40" s="8">
        <v>3.4</v>
      </c>
      <c r="K40" s="3" t="inlineStr">
        <is>
          <t xml:space="preserve">TRUE</t>
        </is>
      </c>
      <c r="L40" s="3" t="inlineStr">
        <is>
          <t xml:space="preserve">WELCOME10</t>
        </is>
      </c>
    </row>
    <row r="41">
      <c r="A41" s="3" t="inlineStr">
        <is>
          <t xml:space="preserve">#1027</t>
        </is>
      </c>
      <c r="B41" s="3" t="inlineStr">
        <is>
          <t xml:space="preserve">2025-11-01</t>
        </is>
      </c>
      <c r="C41" s="3" t="inlineStr">
        <is>
          <t xml:space="preserve">SKU-G</t>
        </is>
      </c>
      <c r="D41" s="3" t="inlineStr">
        <is>
          <t xml:space="preserve">Daily Reset Set</t>
        </is>
      </c>
      <c r="E41" s="6">
        <f>IF('Settings'!$B$11="Scenario",IFERROR(INDEX('Catalogue'!$E$3:$E$100,MATCH(C41,'Catalogue'!$B$3:$B$100,0)),F41),F41)</f>
        <v>69</v>
      </c>
      <c r="F41" s="8">
        <v>69</v>
      </c>
      <c r="G41" s="3">
        <v>2</v>
      </c>
      <c r="H41" s="6">
        <f>IF('Settings'!$B$11="Scenario",ROUND(E41*G41*IFERROR(SUMIF('Pricing &amp; promotions'!$A$6:$A$8,L41,'Pricing &amp; promotions'!$B$6:$B$8)/100,0),2),J41)</f>
        <v>20.7</v>
      </c>
      <c r="I41" s="6">
        <f>ROUND((E41*G41-H41)/(1+'Settings'!$B$6/100),2)</f>
        <v>96.94</v>
      </c>
      <c r="J41" s="8">
        <v>20.7</v>
      </c>
      <c r="K41" s="3" t="inlineStr">
        <is>
          <t xml:space="preserve">TRUE</t>
        </is>
      </c>
      <c r="L41" s="3" t="inlineStr">
        <is>
          <t xml:space="preserve">SUMMER15</t>
        </is>
      </c>
    </row>
    <row r="42">
      <c r="A42" s="3" t="inlineStr">
        <is>
          <t xml:space="preserve">#1027</t>
        </is>
      </c>
      <c r="B42" s="3" t="inlineStr">
        <is>
          <t xml:space="preserve">2025-11-01</t>
        </is>
      </c>
      <c r="C42" s="3" t="inlineStr">
        <is>
          <t xml:space="preserve">SKU-C</t>
        </is>
      </c>
      <c r="D42" s="3" t="inlineStr">
        <is>
          <t xml:space="preserve">Contour Stone</t>
        </is>
      </c>
      <c r="E42" s="6">
        <f>IF('Settings'!$B$11="Scenario",IFERROR(INDEX('Catalogue'!$E$3:$E$100,MATCH(C42,'Catalogue'!$B$3:$B$100,0)),F42),F42)</f>
        <v>29</v>
      </c>
      <c r="F42" s="8">
        <v>29</v>
      </c>
      <c r="G42" s="3">
        <v>2</v>
      </c>
      <c r="H42" s="6">
        <f>IF('Settings'!$B$11="Scenario",ROUND(E42*G42*IFERROR(SUMIF('Pricing &amp; promotions'!$A$6:$A$8,L42,'Pricing &amp; promotions'!$B$6:$B$8)/100,0),2),J42)</f>
        <v>8.7</v>
      </c>
      <c r="I42" s="6">
        <f>ROUND((E42*G42-H42)/(1+'Settings'!$B$6/100),2)</f>
        <v>40.74</v>
      </c>
      <c r="J42" s="8">
        <v>8.7</v>
      </c>
      <c r="K42" s="3" t="inlineStr">
        <is>
          <t xml:space="preserve">TRUE</t>
        </is>
      </c>
      <c r="L42" s="3" t="inlineStr">
        <is>
          <t xml:space="preserve">SUMMER15</t>
        </is>
      </c>
    </row>
    <row r="43">
      <c r="A43" s="3" t="inlineStr">
        <is>
          <t xml:space="preserve">#1028</t>
        </is>
      </c>
      <c r="B43" s="3" t="inlineStr">
        <is>
          <t xml:space="preserve">2025-11-02</t>
        </is>
      </c>
      <c r="C43" s="3" t="inlineStr">
        <is>
          <t xml:space="preserve">SKU-G</t>
        </is>
      </c>
      <c r="D43" s="3" t="inlineStr">
        <is>
          <t xml:space="preserve">Daily Reset Set</t>
        </is>
      </c>
      <c r="E43" s="6">
        <f>IF('Settings'!$B$11="Scenario",IFERROR(INDEX('Catalogue'!$E$3:$E$100,MATCH(C43,'Catalogue'!$B$3:$B$100,0)),F43),F43)</f>
        <v>69</v>
      </c>
      <c r="F43" s="8">
        <v>69</v>
      </c>
      <c r="G43" s="3">
        <v>1</v>
      </c>
      <c r="H43" s="6">
        <f>IF('Settings'!$B$11="Scenario",ROUND(E43*G43*IFERROR(SUMIF('Pricing &amp; promotions'!$A$6:$A$8,L43,'Pricing &amp; promotions'!$B$6:$B$8)/100,0),2),J43)</f>
        <v>0.0</v>
      </c>
      <c r="I43" s="6">
        <f>ROUND((E43*G43-H43)/(1+'Settings'!$B$6/100),2)</f>
        <v>57.02</v>
      </c>
      <c r="J43" s="8">
        <v>0.0</v>
      </c>
      <c r="K43" s="3" t="inlineStr">
        <is>
          <t xml:space="preserve">TRUE</t>
        </is>
      </c>
      <c r="L43" s="3"/>
    </row>
    <row r="44">
      <c r="A44" s="3" t="inlineStr">
        <is>
          <t xml:space="preserve">#1029</t>
        </is>
      </c>
      <c r="B44" s="3" t="inlineStr">
        <is>
          <t xml:space="preserve">2025-11-02</t>
        </is>
      </c>
      <c r="C44" s="3" t="inlineStr">
        <is>
          <t xml:space="preserve">SKU-D</t>
        </is>
      </c>
      <c r="D44" s="3" t="inlineStr">
        <is>
          <t xml:space="preserve">Daily Duo</t>
        </is>
      </c>
      <c r="E44" s="6">
        <f>IF('Settings'!$B$11="Scenario",IFERROR(INDEX('Catalogue'!$E$3:$E$100,MATCH(C44,'Catalogue'!$B$3:$B$100,0)),F44),F44)</f>
        <v>79</v>
      </c>
      <c r="F44" s="8">
        <v>79</v>
      </c>
      <c r="G44" s="3">
        <v>1</v>
      </c>
      <c r="H44" s="6">
        <f>IF('Settings'!$B$11="Scenario",ROUND(E44*G44*IFERROR(SUMIF('Pricing &amp; promotions'!$A$6:$A$8,L44,'Pricing &amp; promotions'!$B$6:$B$8)/100,0),2),J44)</f>
        <v>0.0</v>
      </c>
      <c r="I44" s="6">
        <f>ROUND((E44*G44-H44)/(1+'Settings'!$B$6/100),2)</f>
        <v>65.29</v>
      </c>
      <c r="J44" s="8">
        <v>0.0</v>
      </c>
      <c r="K44" s="3" t="inlineStr">
        <is>
          <t xml:space="preserve">TRUE</t>
        </is>
      </c>
      <c r="L44" s="3"/>
    </row>
    <row r="45">
      <c r="A45" s="3" t="inlineStr">
        <is>
          <t xml:space="preserve">#1030</t>
        </is>
      </c>
      <c r="B45" s="3" t="inlineStr">
        <is>
          <t xml:space="preserve">2025-11-02</t>
        </is>
      </c>
      <c r="C45" s="3" t="inlineStr">
        <is>
          <t xml:space="preserve">SKU-E</t>
        </is>
      </c>
      <c r="D45" s="3" t="inlineStr">
        <is>
          <t xml:space="preserve">Complete Ritual</t>
        </is>
      </c>
      <c r="E45" s="6">
        <f>IF('Settings'!$B$11="Scenario",IFERROR(INDEX('Catalogue'!$E$3:$E$100,MATCH(C45,'Catalogue'!$B$3:$B$100,0)),F45),F45)</f>
        <v>89</v>
      </c>
      <c r="F45" s="8">
        <v>89</v>
      </c>
      <c r="G45" s="3">
        <v>2</v>
      </c>
      <c r="H45" s="6">
        <f>IF('Settings'!$B$11="Scenario",ROUND(E45*G45*IFERROR(SUMIF('Pricing &amp; promotions'!$A$6:$A$8,L45,'Pricing &amp; promotions'!$B$6:$B$8)/100,0),2),J45)</f>
        <v>0.0</v>
      </c>
      <c r="I45" s="6">
        <f>ROUND((E45*G45-H45)/(1+'Settings'!$B$6/100),2)</f>
        <v>147.11</v>
      </c>
      <c r="J45" s="8">
        <v>0.0</v>
      </c>
      <c r="K45" s="3" t="inlineStr">
        <is>
          <t xml:space="preserve">TRUE</t>
        </is>
      </c>
      <c r="L45" s="3"/>
    </row>
    <row r="46">
      <c r="A46" s="3" t="inlineStr">
        <is>
          <t xml:space="preserve">#1031</t>
        </is>
      </c>
      <c r="B46" s="3" t="inlineStr">
        <is>
          <t xml:space="preserve">2025-11-03</t>
        </is>
      </c>
      <c r="C46" s="3" t="inlineStr">
        <is>
          <t xml:space="preserve">SKU-D</t>
        </is>
      </c>
      <c r="D46" s="3" t="inlineStr">
        <is>
          <t xml:space="preserve">Daily Duo</t>
        </is>
      </c>
      <c r="E46" s="6">
        <f>IF('Settings'!$B$11="Scenario",IFERROR(INDEX('Catalogue'!$E$3:$E$100,MATCH(C46,'Catalogue'!$B$3:$B$100,0)),F46),F46)</f>
        <v>79</v>
      </c>
      <c r="F46" s="8">
        <v>79</v>
      </c>
      <c r="G46" s="3">
        <v>1</v>
      </c>
      <c r="H46" s="6">
        <f>IF('Settings'!$B$11="Scenario",ROUND(E46*G46*IFERROR(SUMIF('Pricing &amp; promotions'!$A$6:$A$8,L46,'Pricing &amp; promotions'!$B$6:$B$8)/100,0),2),J46)</f>
        <v>11.85</v>
      </c>
      <c r="I46" s="6">
        <f>ROUND((E46*G46-H46)/(1+'Settings'!$B$6/100),2)</f>
        <v>55.5</v>
      </c>
      <c r="J46" s="8">
        <v>11.85</v>
      </c>
      <c r="K46" s="3" t="inlineStr">
        <is>
          <t xml:space="preserve">TRUE</t>
        </is>
      </c>
      <c r="L46" s="3" t="inlineStr">
        <is>
          <t xml:space="preserve">SUMMER15</t>
        </is>
      </c>
    </row>
    <row r="47">
      <c r="A47" s="3" t="inlineStr">
        <is>
          <t xml:space="preserve">#1031</t>
        </is>
      </c>
      <c r="B47" s="3" t="inlineStr">
        <is>
          <t xml:space="preserve">2025-11-03</t>
        </is>
      </c>
      <c r="C47" s="3" t="inlineStr">
        <is>
          <t xml:space="preserve">SKU-B</t>
        </is>
      </c>
      <c r="D47" s="3" t="inlineStr">
        <is>
          <t xml:space="preserve">Barrier Balm</t>
        </is>
      </c>
      <c r="E47" s="6">
        <f>IF('Settings'!$B$11="Scenario",IFERROR(INDEX('Catalogue'!$E$3:$E$100,MATCH(C47,'Catalogue'!$B$3:$B$100,0)),F47),F47)</f>
        <v>19</v>
      </c>
      <c r="F47" s="8">
        <v>18</v>
      </c>
      <c r="G47" s="3">
        <v>1</v>
      </c>
      <c r="H47" s="6">
        <f>IF('Settings'!$B$11="Scenario",ROUND(E47*G47*IFERROR(SUMIF('Pricing &amp; promotions'!$A$6:$A$8,L47,'Pricing &amp; promotions'!$B$6:$B$8)/100,0),2),J47)</f>
        <v>2.85</v>
      </c>
      <c r="I47" s="6">
        <f>ROUND((E47*G47-H47)/(1+'Settings'!$B$6/100),2)</f>
        <v>13.35</v>
      </c>
      <c r="J47" s="8">
        <v>2.7</v>
      </c>
      <c r="K47" s="3" t="inlineStr">
        <is>
          <t xml:space="preserve">TRUE</t>
        </is>
      </c>
      <c r="L47" s="3" t="inlineStr">
        <is>
          <t xml:space="preserve">SUMMER15</t>
        </is>
      </c>
    </row>
    <row r="48">
      <c r="A48" s="3" t="inlineStr">
        <is>
          <t xml:space="preserve">#1032</t>
        </is>
      </c>
      <c r="B48" s="3" t="inlineStr">
        <is>
          <t xml:space="preserve">2025-11-03</t>
        </is>
      </c>
      <c r="C48" s="3" t="inlineStr">
        <is>
          <t xml:space="preserve">SKU-A</t>
        </is>
      </c>
      <c r="D48" s="3" t="inlineStr">
        <is>
          <t xml:space="preserve">Renewal Serum</t>
        </is>
      </c>
      <c r="E48" s="6">
        <f>IF('Settings'!$B$11="Scenario",IFERROR(INDEX('Catalogue'!$E$3:$E$100,MATCH(C48,'Catalogue'!$B$3:$B$100,0)),F48),F48)</f>
        <v>69.9</v>
      </c>
      <c r="F48" s="8">
        <v>64</v>
      </c>
      <c r="G48" s="3">
        <v>1</v>
      </c>
      <c r="H48" s="6">
        <f>IF('Settings'!$B$11="Scenario",ROUND(E48*G48*IFERROR(SUMIF('Pricing &amp; promotions'!$A$6:$A$8,L48,'Pricing &amp; promotions'!$B$6:$B$8)/100,0),2),J48)</f>
        <v>0.0</v>
      </c>
      <c r="I48" s="6">
        <f>ROUND((E48*G48-H48)/(1+'Settings'!$B$6/100),2)</f>
        <v>57.77</v>
      </c>
      <c r="J48" s="8">
        <v>0.0</v>
      </c>
      <c r="K48" s="3" t="inlineStr">
        <is>
          <t xml:space="preserve">TRUE</t>
        </is>
      </c>
      <c r="L48" s="3"/>
    </row>
    <row r="49">
      <c r="A49" s="3" t="inlineStr">
        <is>
          <t xml:space="preserve">#1033</t>
        </is>
      </c>
      <c r="B49" s="3" t="inlineStr">
        <is>
          <t xml:space="preserve">2025-11-03</t>
        </is>
      </c>
      <c r="C49" s="3" t="inlineStr">
        <is>
          <t xml:space="preserve">SKU-C</t>
        </is>
      </c>
      <c r="D49" s="3" t="inlineStr">
        <is>
          <t xml:space="preserve">Contour Stone</t>
        </is>
      </c>
      <c r="E49" s="6">
        <f>IF('Settings'!$B$11="Scenario",IFERROR(INDEX('Catalogue'!$E$3:$E$100,MATCH(C49,'Catalogue'!$B$3:$B$100,0)),F49),F49)</f>
        <v>29</v>
      </c>
      <c r="F49" s="8">
        <v>29</v>
      </c>
      <c r="G49" s="3">
        <v>1</v>
      </c>
      <c r="H49" s="6">
        <f>IF('Settings'!$B$11="Scenario",ROUND(E49*G49*IFERROR(SUMIF('Pricing &amp; promotions'!$A$6:$A$8,L49,'Pricing &amp; promotions'!$B$6:$B$8)/100,0),2),J49)</f>
        <v>2.9</v>
      </c>
      <c r="I49" s="6">
        <f>ROUND((E49*G49-H49)/(1+'Settings'!$B$6/100),2)</f>
        <v>21.57</v>
      </c>
      <c r="J49" s="8">
        <v>2.9</v>
      </c>
      <c r="K49" s="3" t="inlineStr">
        <is>
          <t xml:space="preserve">TRUE</t>
        </is>
      </c>
      <c r="L49" s="3" t="inlineStr">
        <is>
          <t xml:space="preserve">WELCOME10</t>
        </is>
      </c>
    </row>
    <row r="50">
      <c r="A50" s="3" t="inlineStr">
        <is>
          <t xml:space="preserve">#1034</t>
        </is>
      </c>
      <c r="B50" s="3" t="inlineStr">
        <is>
          <t xml:space="preserve">2025-11-04</t>
        </is>
      </c>
      <c r="C50" s="3" t="inlineStr">
        <is>
          <t xml:space="preserve">SKU-A</t>
        </is>
      </c>
      <c r="D50" s="3" t="inlineStr">
        <is>
          <t xml:space="preserve">Renewal Serum</t>
        </is>
      </c>
      <c r="E50" s="6">
        <f>IF('Settings'!$B$11="Scenario",IFERROR(INDEX('Catalogue'!$E$3:$E$100,MATCH(C50,'Catalogue'!$B$3:$B$100,0)),F50),F50)</f>
        <v>69.9</v>
      </c>
      <c r="F50" s="8">
        <v>64</v>
      </c>
      <c r="G50" s="3">
        <v>1</v>
      </c>
      <c r="H50" s="6">
        <f>IF('Settings'!$B$11="Scenario",ROUND(E50*G50*IFERROR(SUMIF('Pricing &amp; promotions'!$A$6:$A$8,L50,'Pricing &amp; promotions'!$B$6:$B$8)/100,0),2),J50)</f>
        <v>13.98</v>
      </c>
      <c r="I50" s="6">
        <f>ROUND((E50*G50-H50)/(1+'Settings'!$B$6/100),2)</f>
        <v>46.21</v>
      </c>
      <c r="J50" s="8">
        <v>12.8</v>
      </c>
      <c r="K50" s="3" t="inlineStr">
        <is>
          <t xml:space="preserve">TRUE</t>
        </is>
      </c>
      <c r="L50" s="3" t="inlineStr">
        <is>
          <t xml:space="preserve">VIP20</t>
        </is>
      </c>
    </row>
    <row r="51">
      <c r="A51" s="3" t="inlineStr">
        <is>
          <t xml:space="preserve">#1035</t>
        </is>
      </c>
      <c r="B51" s="3" t="inlineStr">
        <is>
          <t xml:space="preserve">2025-11-04</t>
        </is>
      </c>
      <c r="C51" s="3" t="inlineStr">
        <is>
          <t xml:space="preserve">SKU-B</t>
        </is>
      </c>
      <c r="D51" s="3" t="inlineStr">
        <is>
          <t xml:space="preserve">Barrier Balm</t>
        </is>
      </c>
      <c r="E51" s="6">
        <f>IF('Settings'!$B$11="Scenario",IFERROR(INDEX('Catalogue'!$E$3:$E$100,MATCH(C51,'Catalogue'!$B$3:$B$100,0)),F51),F51)</f>
        <v>19</v>
      </c>
      <c r="F51" s="8">
        <v>18</v>
      </c>
      <c r="G51" s="3">
        <v>1</v>
      </c>
      <c r="H51" s="6">
        <f>IF('Settings'!$B$11="Scenario",ROUND(E51*G51*IFERROR(SUMIF('Pricing &amp; promotions'!$A$6:$A$8,L51,'Pricing &amp; promotions'!$B$6:$B$8)/100,0),2),J51)</f>
        <v>2.85</v>
      </c>
      <c r="I51" s="6">
        <f>ROUND((E51*G51-H51)/(1+'Settings'!$B$6/100),2)</f>
        <v>13.35</v>
      </c>
      <c r="J51" s="8">
        <v>2.7</v>
      </c>
      <c r="K51" s="3" t="inlineStr">
        <is>
          <t xml:space="preserve">TRUE</t>
        </is>
      </c>
      <c r="L51" s="3" t="inlineStr">
        <is>
          <t xml:space="preserve">SUMMER15</t>
        </is>
      </c>
    </row>
    <row r="52">
      <c r="A52" s="3" t="inlineStr">
        <is>
          <t xml:space="preserve">#1036</t>
        </is>
      </c>
      <c r="B52" s="3" t="inlineStr">
        <is>
          <t xml:space="preserve">2025-11-05</t>
        </is>
      </c>
      <c r="C52" s="3" t="inlineStr">
        <is>
          <t xml:space="preserve">SKU-D</t>
        </is>
      </c>
      <c r="D52" s="3" t="inlineStr">
        <is>
          <t xml:space="preserve">Daily Duo</t>
        </is>
      </c>
      <c r="E52" s="6">
        <f>IF('Settings'!$B$11="Scenario",IFERROR(INDEX('Catalogue'!$E$3:$E$100,MATCH(C52,'Catalogue'!$B$3:$B$100,0)),F52),F52)</f>
        <v>79</v>
      </c>
      <c r="F52" s="8">
        <v>79</v>
      </c>
      <c r="G52" s="3">
        <v>1</v>
      </c>
      <c r="H52" s="6">
        <f>IF('Settings'!$B$11="Scenario",ROUND(E52*G52*IFERROR(SUMIF('Pricing &amp; promotions'!$A$6:$A$8,L52,'Pricing &amp; promotions'!$B$6:$B$8)/100,0),2),J52)</f>
        <v>0.0</v>
      </c>
      <c r="I52" s="6">
        <f>ROUND((E52*G52-H52)/(1+'Settings'!$B$6/100),2)</f>
        <v>65.29</v>
      </c>
      <c r="J52" s="8">
        <v>0.0</v>
      </c>
      <c r="K52" s="3" t="inlineStr">
        <is>
          <t xml:space="preserve">TRUE</t>
        </is>
      </c>
      <c r="L52" s="3"/>
    </row>
    <row r="53">
      <c r="A53" s="3" t="inlineStr">
        <is>
          <t xml:space="preserve">#1036</t>
        </is>
      </c>
      <c r="B53" s="3" t="inlineStr">
        <is>
          <t xml:space="preserve">2025-11-05</t>
        </is>
      </c>
      <c r="C53" s="3" t="inlineStr">
        <is>
          <t xml:space="preserve">SKU-E</t>
        </is>
      </c>
      <c r="D53" s="3" t="inlineStr">
        <is>
          <t xml:space="preserve">Complete Ritual</t>
        </is>
      </c>
      <c r="E53" s="6">
        <f>IF('Settings'!$B$11="Scenario",IFERROR(INDEX('Catalogue'!$E$3:$E$100,MATCH(C53,'Catalogue'!$B$3:$B$100,0)),F53),F53)</f>
        <v>89</v>
      </c>
      <c r="F53" s="8">
        <v>89</v>
      </c>
      <c r="G53" s="3">
        <v>1</v>
      </c>
      <c r="H53" s="6">
        <f>IF('Settings'!$B$11="Scenario",ROUND(E53*G53*IFERROR(SUMIF('Pricing &amp; promotions'!$A$6:$A$8,L53,'Pricing &amp; promotions'!$B$6:$B$8)/100,0),2),J53)</f>
        <v>0.0</v>
      </c>
      <c r="I53" s="6">
        <f>ROUND((E53*G53-H53)/(1+'Settings'!$B$6/100),2)</f>
        <v>73.55</v>
      </c>
      <c r="J53" s="8">
        <v>0.0</v>
      </c>
      <c r="K53" s="3" t="inlineStr">
        <is>
          <t xml:space="preserve">TRUE</t>
        </is>
      </c>
      <c r="L53" s="3"/>
    </row>
    <row r="54">
      <c r="A54" s="3" t="inlineStr">
        <is>
          <t xml:space="preserve">#1036</t>
        </is>
      </c>
      <c r="B54" s="3" t="inlineStr">
        <is>
          <t xml:space="preserve">2025-11-05</t>
        </is>
      </c>
      <c r="C54" s="3" t="inlineStr">
        <is>
          <t xml:space="preserve">SKU-A</t>
        </is>
      </c>
      <c r="D54" s="3" t="inlineStr">
        <is>
          <t xml:space="preserve">Renewal Serum</t>
        </is>
      </c>
      <c r="E54" s="6">
        <f>IF('Settings'!$B$11="Scenario",IFERROR(INDEX('Catalogue'!$E$3:$E$100,MATCH(C54,'Catalogue'!$B$3:$B$100,0)),F54),F54)</f>
        <v>69.9</v>
      </c>
      <c r="F54" s="8">
        <v>64</v>
      </c>
      <c r="G54" s="3">
        <v>1</v>
      </c>
      <c r="H54" s="6">
        <f>IF('Settings'!$B$11="Scenario",ROUND(E54*G54*IFERROR(SUMIF('Pricing &amp; promotions'!$A$6:$A$8,L54,'Pricing &amp; promotions'!$B$6:$B$8)/100,0),2),J54)</f>
        <v>0.0</v>
      </c>
      <c r="I54" s="6">
        <f>ROUND((E54*G54-H54)/(1+'Settings'!$B$6/100),2)</f>
        <v>57.77</v>
      </c>
      <c r="J54" s="8">
        <v>0.0</v>
      </c>
      <c r="K54" s="3" t="inlineStr">
        <is>
          <t xml:space="preserve">TRUE</t>
        </is>
      </c>
      <c r="L54" s="3"/>
    </row>
    <row r="55">
      <c r="A55" s="3" t="inlineStr">
        <is>
          <t xml:space="preserve">#1037</t>
        </is>
      </c>
      <c r="B55" s="3" t="inlineStr">
        <is>
          <t xml:space="preserve">2025-11-06</t>
        </is>
      </c>
      <c r="C55" s="3" t="inlineStr">
        <is>
          <t xml:space="preserve">SKU-A</t>
        </is>
      </c>
      <c r="D55" s="3" t="inlineStr">
        <is>
          <t xml:space="preserve">Renewal Serum</t>
        </is>
      </c>
      <c r="E55" s="6">
        <f>IF('Settings'!$B$11="Scenario",IFERROR(INDEX('Catalogue'!$E$3:$E$100,MATCH(C55,'Catalogue'!$B$3:$B$100,0)),F55),F55)</f>
        <v>69.9</v>
      </c>
      <c r="F55" s="8">
        <v>64</v>
      </c>
      <c r="G55" s="3">
        <v>1</v>
      </c>
      <c r="H55" s="6">
        <f>IF('Settings'!$B$11="Scenario",ROUND(E55*G55*IFERROR(SUMIF('Pricing &amp; promotions'!$A$6:$A$8,L55,'Pricing &amp; promotions'!$B$6:$B$8)/100,0),2),J55)</f>
        <v>6.99</v>
      </c>
      <c r="I55" s="6">
        <f>ROUND((E55*G55-H55)/(1+'Settings'!$B$6/100),2)</f>
        <v>51.99</v>
      </c>
      <c r="J55" s="8">
        <v>6.4</v>
      </c>
      <c r="K55" s="3" t="inlineStr">
        <is>
          <t xml:space="preserve">TRUE</t>
        </is>
      </c>
      <c r="L55" s="3" t="inlineStr">
        <is>
          <t xml:space="preserve">WELCOME10</t>
        </is>
      </c>
    </row>
    <row r="56">
      <c r="A56" s="3" t="inlineStr">
        <is>
          <t xml:space="preserve">#1037</t>
        </is>
      </c>
      <c r="B56" s="3" t="inlineStr">
        <is>
          <t xml:space="preserve">2025-11-06</t>
        </is>
      </c>
      <c r="C56" s="3" t="inlineStr">
        <is>
          <t xml:space="preserve">SKU-D</t>
        </is>
      </c>
      <c r="D56" s="3" t="inlineStr">
        <is>
          <t xml:space="preserve">Daily Duo</t>
        </is>
      </c>
      <c r="E56" s="6">
        <f>IF('Settings'!$B$11="Scenario",IFERROR(INDEX('Catalogue'!$E$3:$E$100,MATCH(C56,'Catalogue'!$B$3:$B$100,0)),F56),F56)</f>
        <v>79</v>
      </c>
      <c r="F56" s="8">
        <v>79</v>
      </c>
      <c r="G56" s="3">
        <v>1</v>
      </c>
      <c r="H56" s="6">
        <f>IF('Settings'!$B$11="Scenario",ROUND(E56*G56*IFERROR(SUMIF('Pricing &amp; promotions'!$A$6:$A$8,L56,'Pricing &amp; promotions'!$B$6:$B$8)/100,0),2),J56)</f>
        <v>7.9</v>
      </c>
      <c r="I56" s="6">
        <f>ROUND((E56*G56-H56)/(1+'Settings'!$B$6/100),2)</f>
        <v>58.76</v>
      </c>
      <c r="J56" s="8">
        <v>7.9</v>
      </c>
      <c r="K56" s="3" t="inlineStr">
        <is>
          <t xml:space="preserve">TRUE</t>
        </is>
      </c>
      <c r="L56" s="3" t="inlineStr">
        <is>
          <t xml:space="preserve">WELCOME10</t>
        </is>
      </c>
    </row>
    <row r="57">
      <c r="A57" s="3" t="inlineStr">
        <is>
          <t xml:space="preserve">#1038</t>
        </is>
      </c>
      <c r="B57" s="3" t="inlineStr">
        <is>
          <t xml:space="preserve">2025-11-06</t>
        </is>
      </c>
      <c r="C57" s="3" t="inlineStr">
        <is>
          <t xml:space="preserve">SKU-D</t>
        </is>
      </c>
      <c r="D57" s="3" t="inlineStr">
        <is>
          <t xml:space="preserve">Daily Duo</t>
        </is>
      </c>
      <c r="E57" s="6">
        <f>IF('Settings'!$B$11="Scenario",IFERROR(INDEX('Catalogue'!$E$3:$E$100,MATCH(C57,'Catalogue'!$B$3:$B$100,0)),F57),F57)</f>
        <v>79</v>
      </c>
      <c r="F57" s="8">
        <v>79</v>
      </c>
      <c r="G57" s="3">
        <v>2</v>
      </c>
      <c r="H57" s="6">
        <f>IF('Settings'!$B$11="Scenario",ROUND(E57*G57*IFERROR(SUMIF('Pricing &amp; promotions'!$A$6:$A$8,L57,'Pricing &amp; promotions'!$B$6:$B$8)/100,0),2),J57)</f>
        <v>0.0</v>
      </c>
      <c r="I57" s="6">
        <f>ROUND((E57*G57-H57)/(1+'Settings'!$B$6/100),2)</f>
        <v>130.58</v>
      </c>
      <c r="J57" s="8">
        <v>0.0</v>
      </c>
      <c r="K57" s="3" t="inlineStr">
        <is>
          <t xml:space="preserve">TRUE</t>
        </is>
      </c>
      <c r="L57" s="3"/>
    </row>
    <row r="58">
      <c r="A58" s="3" t="inlineStr">
        <is>
          <t xml:space="preserve">#1039</t>
        </is>
      </c>
      <c r="B58" s="3" t="inlineStr">
        <is>
          <t xml:space="preserve">2025-11-06</t>
        </is>
      </c>
      <c r="C58" s="3" t="inlineStr">
        <is>
          <t xml:space="preserve">SKU-A</t>
        </is>
      </c>
      <c r="D58" s="3" t="inlineStr">
        <is>
          <t xml:space="preserve">Renewal Serum</t>
        </is>
      </c>
      <c r="E58" s="6">
        <f>IF('Settings'!$B$11="Scenario",IFERROR(INDEX('Catalogue'!$E$3:$E$100,MATCH(C58,'Catalogue'!$B$3:$B$100,0)),F58),F58)</f>
        <v>69.9</v>
      </c>
      <c r="F58" s="8">
        <v>64</v>
      </c>
      <c r="G58" s="3">
        <v>1</v>
      </c>
      <c r="H58" s="6">
        <f>IF('Settings'!$B$11="Scenario",ROUND(E58*G58*IFERROR(SUMIF('Pricing &amp; promotions'!$A$6:$A$8,L58,'Pricing &amp; promotions'!$B$6:$B$8)/100,0),2),J58)</f>
        <v>13.98</v>
      </c>
      <c r="I58" s="6">
        <f>ROUND((E58*G58-H58)/(1+'Settings'!$B$6/100),2)</f>
        <v>46.21</v>
      </c>
      <c r="J58" s="8">
        <v>12.8</v>
      </c>
      <c r="K58" s="3" t="inlineStr">
        <is>
          <t xml:space="preserve">TRUE</t>
        </is>
      </c>
      <c r="L58" s="3" t="inlineStr">
        <is>
          <t xml:space="preserve">VIP20</t>
        </is>
      </c>
    </row>
    <row r="59">
      <c r="A59" s="3" t="inlineStr">
        <is>
          <t xml:space="preserve">#1040</t>
        </is>
      </c>
      <c r="B59" s="3" t="inlineStr">
        <is>
          <t xml:space="preserve">2025-11-06</t>
        </is>
      </c>
      <c r="C59" s="3" t="inlineStr">
        <is>
          <t xml:space="preserve">SKU-A</t>
        </is>
      </c>
      <c r="D59" s="3" t="inlineStr">
        <is>
          <t xml:space="preserve">Renewal Serum</t>
        </is>
      </c>
      <c r="E59" s="6">
        <f>IF('Settings'!$B$11="Scenario",IFERROR(INDEX('Catalogue'!$E$3:$E$100,MATCH(C59,'Catalogue'!$B$3:$B$100,0)),F59),F59)</f>
        <v>69.9</v>
      </c>
      <c r="F59" s="8">
        <v>64</v>
      </c>
      <c r="G59" s="3">
        <v>1</v>
      </c>
      <c r="H59" s="6">
        <f>IF('Settings'!$B$11="Scenario",ROUND(E59*G59*IFERROR(SUMIF('Pricing &amp; promotions'!$A$6:$A$8,L59,'Pricing &amp; promotions'!$B$6:$B$8)/100,0),2),J59)</f>
        <v>6.99</v>
      </c>
      <c r="I59" s="6">
        <f>ROUND((E59*G59-H59)/(1+'Settings'!$B$6/100),2)</f>
        <v>51.99</v>
      </c>
      <c r="J59" s="8">
        <v>6.4</v>
      </c>
      <c r="K59" s="3" t="inlineStr">
        <is>
          <t xml:space="preserve">TRUE</t>
        </is>
      </c>
      <c r="L59" s="3" t="inlineStr">
        <is>
          <t xml:space="preserve">WELCOME10</t>
        </is>
      </c>
    </row>
    <row r="60">
      <c r="A60" s="3" t="inlineStr">
        <is>
          <t xml:space="preserve">#1040</t>
        </is>
      </c>
      <c r="B60" s="3" t="inlineStr">
        <is>
          <t xml:space="preserve">2025-11-06</t>
        </is>
      </c>
      <c r="C60" s="3" t="inlineStr">
        <is>
          <t xml:space="preserve">SKU-G</t>
        </is>
      </c>
      <c r="D60" s="3" t="inlineStr">
        <is>
          <t xml:space="preserve">Daily Reset Set</t>
        </is>
      </c>
      <c r="E60" s="6">
        <f>IF('Settings'!$B$11="Scenario",IFERROR(INDEX('Catalogue'!$E$3:$E$100,MATCH(C60,'Catalogue'!$B$3:$B$100,0)),F60),F60)</f>
        <v>69</v>
      </c>
      <c r="F60" s="8">
        <v>69</v>
      </c>
      <c r="G60" s="3">
        <v>1</v>
      </c>
      <c r="H60" s="6">
        <f>IF('Settings'!$B$11="Scenario",ROUND(E60*G60*IFERROR(SUMIF('Pricing &amp; promotions'!$A$6:$A$8,L60,'Pricing &amp; promotions'!$B$6:$B$8)/100,0),2),J60)</f>
        <v>6.9</v>
      </c>
      <c r="I60" s="6">
        <f>ROUND((E60*G60-H60)/(1+'Settings'!$B$6/100),2)</f>
        <v>51.32</v>
      </c>
      <c r="J60" s="8">
        <v>6.9</v>
      </c>
      <c r="K60" s="3" t="inlineStr">
        <is>
          <t xml:space="preserve">TRUE</t>
        </is>
      </c>
      <c r="L60" s="3" t="inlineStr">
        <is>
          <t xml:space="preserve">WELCOME10</t>
        </is>
      </c>
    </row>
    <row r="61">
      <c r="A61" s="3" t="inlineStr">
        <is>
          <t xml:space="preserve">#1041</t>
        </is>
      </c>
      <c r="B61" s="3" t="inlineStr">
        <is>
          <t xml:space="preserve">2025-11-07</t>
        </is>
      </c>
      <c r="C61" s="3" t="inlineStr">
        <is>
          <t xml:space="preserve">SKU-A</t>
        </is>
      </c>
      <c r="D61" s="3" t="inlineStr">
        <is>
          <t xml:space="preserve">Renewal Serum</t>
        </is>
      </c>
      <c r="E61" s="6">
        <f>IF('Settings'!$B$11="Scenario",IFERROR(INDEX('Catalogue'!$E$3:$E$100,MATCH(C61,'Catalogue'!$B$3:$B$100,0)),F61),F61)</f>
        <v>69.9</v>
      </c>
      <c r="F61" s="8">
        <v>64</v>
      </c>
      <c r="G61" s="3">
        <v>1</v>
      </c>
      <c r="H61" s="6">
        <f>IF('Settings'!$B$11="Scenario",ROUND(E61*G61*IFERROR(SUMIF('Pricing &amp; promotions'!$A$6:$A$8,L61,'Pricing &amp; promotions'!$B$6:$B$8)/100,0),2),J61)</f>
        <v>0.0</v>
      </c>
      <c r="I61" s="6">
        <f>ROUND((E61*G61-H61)/(1+'Settings'!$B$6/100),2)</f>
        <v>57.77</v>
      </c>
      <c r="J61" s="8">
        <v>0.0</v>
      </c>
      <c r="K61" s="3" t="inlineStr">
        <is>
          <t xml:space="preserve">TRUE</t>
        </is>
      </c>
      <c r="L61" s="3"/>
    </row>
    <row r="62">
      <c r="A62" s="3" t="inlineStr">
        <is>
          <t xml:space="preserve">#1042</t>
        </is>
      </c>
      <c r="B62" s="3" t="inlineStr">
        <is>
          <t xml:space="preserve">2025-11-07</t>
        </is>
      </c>
      <c r="C62" s="3" t="inlineStr">
        <is>
          <t xml:space="preserve">SKU-E</t>
        </is>
      </c>
      <c r="D62" s="3" t="inlineStr">
        <is>
          <t xml:space="preserve">Complete Ritual</t>
        </is>
      </c>
      <c r="E62" s="6">
        <f>IF('Settings'!$B$11="Scenario",IFERROR(INDEX('Catalogue'!$E$3:$E$100,MATCH(C62,'Catalogue'!$B$3:$B$100,0)),F62),F62)</f>
        <v>89</v>
      </c>
      <c r="F62" s="8">
        <v>89</v>
      </c>
      <c r="G62" s="3">
        <v>2</v>
      </c>
      <c r="H62" s="6">
        <f>IF('Settings'!$B$11="Scenario",ROUND(E62*G62*IFERROR(SUMIF('Pricing &amp; promotions'!$A$6:$A$8,L62,'Pricing &amp; promotions'!$B$6:$B$8)/100,0),2),J62)</f>
        <v>0.0</v>
      </c>
      <c r="I62" s="6">
        <f>ROUND((E62*G62-H62)/(1+'Settings'!$B$6/100),2)</f>
        <v>147.11</v>
      </c>
      <c r="J62" s="8">
        <v>0.0</v>
      </c>
      <c r="K62" s="3" t="inlineStr">
        <is>
          <t xml:space="preserve">TRUE</t>
        </is>
      </c>
      <c r="L62" s="3"/>
    </row>
    <row r="63">
      <c r="A63" s="3" t="inlineStr">
        <is>
          <t xml:space="preserve">#1043</t>
        </is>
      </c>
      <c r="B63" s="3" t="inlineStr">
        <is>
          <t xml:space="preserve">2025-11-07</t>
        </is>
      </c>
      <c r="C63" s="3" t="inlineStr">
        <is>
          <t xml:space="preserve">SKU-D</t>
        </is>
      </c>
      <c r="D63" s="3" t="inlineStr">
        <is>
          <t xml:space="preserve">Daily Duo</t>
        </is>
      </c>
      <c r="E63" s="6">
        <f>IF('Settings'!$B$11="Scenario",IFERROR(INDEX('Catalogue'!$E$3:$E$100,MATCH(C63,'Catalogue'!$B$3:$B$100,0)),F63),F63)</f>
        <v>79</v>
      </c>
      <c r="F63" s="8">
        <v>79</v>
      </c>
      <c r="G63" s="3">
        <v>1</v>
      </c>
      <c r="H63" s="6">
        <f>IF('Settings'!$B$11="Scenario",ROUND(E63*G63*IFERROR(SUMIF('Pricing &amp; promotions'!$A$6:$A$8,L63,'Pricing &amp; promotions'!$B$6:$B$8)/100,0),2),J63)</f>
        <v>7.9</v>
      </c>
      <c r="I63" s="6">
        <f>ROUND((E63*G63-H63)/(1+'Settings'!$B$6/100),2)</f>
        <v>58.76</v>
      </c>
      <c r="J63" s="8">
        <v>7.9</v>
      </c>
      <c r="K63" s="3" t="inlineStr">
        <is>
          <t xml:space="preserve">TRUE</t>
        </is>
      </c>
      <c r="L63" s="3" t="inlineStr">
        <is>
          <t xml:space="preserve">WELCOME10</t>
        </is>
      </c>
    </row>
    <row r="64">
      <c r="A64" s="3" t="inlineStr">
        <is>
          <t xml:space="preserve">#1043</t>
        </is>
      </c>
      <c r="B64" s="3" t="inlineStr">
        <is>
          <t xml:space="preserve">2025-11-07</t>
        </is>
      </c>
      <c r="C64" s="3" t="inlineStr">
        <is>
          <t xml:space="preserve">SKU-A</t>
        </is>
      </c>
      <c r="D64" s="3" t="inlineStr">
        <is>
          <t xml:space="preserve">Renewal Serum</t>
        </is>
      </c>
      <c r="E64" s="6">
        <f>IF('Settings'!$B$11="Scenario",IFERROR(INDEX('Catalogue'!$E$3:$E$100,MATCH(C64,'Catalogue'!$B$3:$B$100,0)),F64),F64)</f>
        <v>69.9</v>
      </c>
      <c r="F64" s="8">
        <v>64</v>
      </c>
      <c r="G64" s="3">
        <v>1</v>
      </c>
      <c r="H64" s="6">
        <f>IF('Settings'!$B$11="Scenario",ROUND(E64*G64*IFERROR(SUMIF('Pricing &amp; promotions'!$A$6:$A$8,L64,'Pricing &amp; promotions'!$B$6:$B$8)/100,0),2),J64)</f>
        <v>6.99</v>
      </c>
      <c r="I64" s="6">
        <f>ROUND((E64*G64-H64)/(1+'Settings'!$B$6/100),2)</f>
        <v>51.99</v>
      </c>
      <c r="J64" s="8">
        <v>6.4</v>
      </c>
      <c r="K64" s="3" t="inlineStr">
        <is>
          <t xml:space="preserve">TRUE</t>
        </is>
      </c>
      <c r="L64" s="3" t="inlineStr">
        <is>
          <t xml:space="preserve">WELCOME10</t>
        </is>
      </c>
    </row>
    <row r="65">
      <c r="A65" s="3" t="inlineStr">
        <is>
          <t xml:space="preserve">#1044</t>
        </is>
      </c>
      <c r="B65" s="3" t="inlineStr">
        <is>
          <t xml:space="preserve">2025-11-07</t>
        </is>
      </c>
      <c r="C65" s="3" t="inlineStr">
        <is>
          <t xml:space="preserve">SKU-D</t>
        </is>
      </c>
      <c r="D65" s="3" t="inlineStr">
        <is>
          <t xml:space="preserve">Daily Duo</t>
        </is>
      </c>
      <c r="E65" s="6">
        <f>IF('Settings'!$B$11="Scenario",IFERROR(INDEX('Catalogue'!$E$3:$E$100,MATCH(C65,'Catalogue'!$B$3:$B$100,0)),F65),F65)</f>
        <v>79</v>
      </c>
      <c r="F65" s="8">
        <v>79</v>
      </c>
      <c r="G65" s="3">
        <v>1</v>
      </c>
      <c r="H65" s="6">
        <f>IF('Settings'!$B$11="Scenario",ROUND(E65*G65*IFERROR(SUMIF('Pricing &amp; promotions'!$A$6:$A$8,L65,'Pricing &amp; promotions'!$B$6:$B$8)/100,0),2),J65)</f>
        <v>0.0</v>
      </c>
      <c r="I65" s="6">
        <f>ROUND((E65*G65-H65)/(1+'Settings'!$B$6/100),2)</f>
        <v>65.29</v>
      </c>
      <c r="J65" s="8">
        <v>0.0</v>
      </c>
      <c r="K65" s="3" t="inlineStr">
        <is>
          <t xml:space="preserve">TRUE</t>
        </is>
      </c>
      <c r="L65" s="3"/>
    </row>
    <row r="66">
      <c r="A66" s="3" t="inlineStr">
        <is>
          <t xml:space="preserve">#1045</t>
        </is>
      </c>
      <c r="B66" s="3" t="inlineStr">
        <is>
          <t xml:space="preserve">2025-11-08</t>
        </is>
      </c>
      <c r="C66" s="3" t="inlineStr">
        <is>
          <t xml:space="preserve">SKU-G</t>
        </is>
      </c>
      <c r="D66" s="3" t="inlineStr">
        <is>
          <t xml:space="preserve">Daily Reset Set</t>
        </is>
      </c>
      <c r="E66" s="6">
        <f>IF('Settings'!$B$11="Scenario",IFERROR(INDEX('Catalogue'!$E$3:$E$100,MATCH(C66,'Catalogue'!$B$3:$B$100,0)),F66),F66)</f>
        <v>69</v>
      </c>
      <c r="F66" s="8">
        <v>69</v>
      </c>
      <c r="G66" s="3">
        <v>2</v>
      </c>
      <c r="H66" s="6">
        <f>IF('Settings'!$B$11="Scenario",ROUND(E66*G66*IFERROR(SUMIF('Pricing &amp; promotions'!$A$6:$A$8,L66,'Pricing &amp; promotions'!$B$6:$B$8)/100,0),2),J66)</f>
        <v>20.7</v>
      </c>
      <c r="I66" s="6">
        <f>ROUND((E66*G66-H66)/(1+'Settings'!$B$6/100),2)</f>
        <v>96.94</v>
      </c>
      <c r="J66" s="8">
        <v>20.7</v>
      </c>
      <c r="K66" s="3" t="inlineStr">
        <is>
          <t xml:space="preserve">TRUE</t>
        </is>
      </c>
      <c r="L66" s="3" t="inlineStr">
        <is>
          <t xml:space="preserve">SUMMER15</t>
        </is>
      </c>
    </row>
    <row r="67">
      <c r="A67" s="3" t="inlineStr">
        <is>
          <t xml:space="preserve">#1046</t>
        </is>
      </c>
      <c r="B67" s="3" t="inlineStr">
        <is>
          <t xml:space="preserve">2025-11-08</t>
        </is>
      </c>
      <c r="C67" s="3" t="inlineStr">
        <is>
          <t xml:space="preserve">SKU-C</t>
        </is>
      </c>
      <c r="D67" s="3" t="inlineStr">
        <is>
          <t xml:space="preserve">Contour Stone</t>
        </is>
      </c>
      <c r="E67" s="6">
        <f>IF('Settings'!$B$11="Scenario",IFERROR(INDEX('Catalogue'!$E$3:$E$100,MATCH(C67,'Catalogue'!$B$3:$B$100,0)),F67),F67)</f>
        <v>29</v>
      </c>
      <c r="F67" s="8">
        <v>29</v>
      </c>
      <c r="G67" s="3">
        <v>1</v>
      </c>
      <c r="H67" s="6">
        <f>IF('Settings'!$B$11="Scenario",ROUND(E67*G67*IFERROR(SUMIF('Pricing &amp; promotions'!$A$6:$A$8,L67,'Pricing &amp; promotions'!$B$6:$B$8)/100,0),2),J67)</f>
        <v>0.0</v>
      </c>
      <c r="I67" s="6">
        <f>ROUND((E67*G67-H67)/(1+'Settings'!$B$6/100),2)</f>
        <v>23.97</v>
      </c>
      <c r="J67" s="8">
        <v>0.0</v>
      </c>
      <c r="K67" s="3" t="inlineStr">
        <is>
          <t xml:space="preserve">TRUE</t>
        </is>
      </c>
      <c r="L67" s="3"/>
    </row>
    <row r="68">
      <c r="A68" s="3" t="inlineStr">
        <is>
          <t xml:space="preserve">#1047</t>
        </is>
      </c>
      <c r="B68" s="3" t="inlineStr">
        <is>
          <t xml:space="preserve">2025-11-09</t>
        </is>
      </c>
      <c r="C68" s="3" t="inlineStr">
        <is>
          <t xml:space="preserve">SKU-E</t>
        </is>
      </c>
      <c r="D68" s="3" t="inlineStr">
        <is>
          <t xml:space="preserve">Complete Ritual</t>
        </is>
      </c>
      <c r="E68" s="6">
        <f>IF('Settings'!$B$11="Scenario",IFERROR(INDEX('Catalogue'!$E$3:$E$100,MATCH(C68,'Catalogue'!$B$3:$B$100,0)),F68),F68)</f>
        <v>89</v>
      </c>
      <c r="F68" s="8">
        <v>89</v>
      </c>
      <c r="G68" s="3">
        <v>2</v>
      </c>
      <c r="H68" s="6">
        <f>IF('Settings'!$B$11="Scenario",ROUND(E68*G68*IFERROR(SUMIF('Pricing &amp; promotions'!$A$6:$A$8,L68,'Pricing &amp; promotions'!$B$6:$B$8)/100,0),2),J68)</f>
        <v>0.0</v>
      </c>
      <c r="I68" s="6">
        <f>ROUND((E68*G68-H68)/(1+'Settings'!$B$6/100),2)</f>
        <v>147.11</v>
      </c>
      <c r="J68" s="8">
        <v>0.0</v>
      </c>
      <c r="K68" s="3" t="inlineStr">
        <is>
          <t xml:space="preserve">TRUE</t>
        </is>
      </c>
      <c r="L68" s="3"/>
    </row>
    <row r="69">
      <c r="A69" s="3" t="inlineStr">
        <is>
          <t xml:space="preserve">#1047</t>
        </is>
      </c>
      <c r="B69" s="3" t="inlineStr">
        <is>
          <t xml:space="preserve">2025-11-09</t>
        </is>
      </c>
      <c r="C69" s="3" t="inlineStr">
        <is>
          <t xml:space="preserve">SKU-B</t>
        </is>
      </c>
      <c r="D69" s="3" t="inlineStr">
        <is>
          <t xml:space="preserve">Barrier Balm</t>
        </is>
      </c>
      <c r="E69" s="6">
        <f>IF('Settings'!$B$11="Scenario",IFERROR(INDEX('Catalogue'!$E$3:$E$100,MATCH(C69,'Catalogue'!$B$3:$B$100,0)),F69),F69)</f>
        <v>19</v>
      </c>
      <c r="F69" s="8">
        <v>18</v>
      </c>
      <c r="G69" s="3">
        <v>1</v>
      </c>
      <c r="H69" s="6">
        <f>IF('Settings'!$B$11="Scenario",ROUND(E69*G69*IFERROR(SUMIF('Pricing &amp; promotions'!$A$6:$A$8,L69,'Pricing &amp; promotions'!$B$6:$B$8)/100,0),2),J69)</f>
        <v>0.0</v>
      </c>
      <c r="I69" s="6">
        <f>ROUND((E69*G69-H69)/(1+'Settings'!$B$6/100),2)</f>
        <v>15.7</v>
      </c>
      <c r="J69" s="8">
        <v>0.0</v>
      </c>
      <c r="K69" s="3" t="inlineStr">
        <is>
          <t xml:space="preserve">TRUE</t>
        </is>
      </c>
      <c r="L69" s="3"/>
    </row>
    <row r="70">
      <c r="A70" s="3" t="inlineStr">
        <is>
          <t xml:space="preserve">#1048</t>
        </is>
      </c>
      <c r="B70" s="3" t="inlineStr">
        <is>
          <t xml:space="preserve">2025-11-10</t>
        </is>
      </c>
      <c r="C70" s="3" t="inlineStr">
        <is>
          <t xml:space="preserve">SKU-A</t>
        </is>
      </c>
      <c r="D70" s="3" t="inlineStr">
        <is>
          <t xml:space="preserve">Renewal Serum</t>
        </is>
      </c>
      <c r="E70" s="6">
        <f>IF('Settings'!$B$11="Scenario",IFERROR(INDEX('Catalogue'!$E$3:$E$100,MATCH(C70,'Catalogue'!$B$3:$B$100,0)),F70),F70)</f>
        <v>69.9</v>
      </c>
      <c r="F70" s="8">
        <v>64</v>
      </c>
      <c r="G70" s="3">
        <v>1</v>
      </c>
      <c r="H70" s="6">
        <f>IF('Settings'!$B$11="Scenario",ROUND(E70*G70*IFERROR(SUMIF('Pricing &amp; promotions'!$A$6:$A$8,L70,'Pricing &amp; promotions'!$B$6:$B$8)/100,0),2),J70)</f>
        <v>0.0</v>
      </c>
      <c r="I70" s="6">
        <f>ROUND((E70*G70-H70)/(1+'Settings'!$B$6/100),2)</f>
        <v>57.77</v>
      </c>
      <c r="J70" s="8">
        <v>0.0</v>
      </c>
      <c r="K70" s="3" t="inlineStr">
        <is>
          <t xml:space="preserve">TRUE</t>
        </is>
      </c>
      <c r="L70" s="3"/>
    </row>
    <row r="71">
      <c r="A71" s="3" t="inlineStr">
        <is>
          <t xml:space="preserve">#1049</t>
        </is>
      </c>
      <c r="B71" s="3" t="inlineStr">
        <is>
          <t xml:space="preserve">2025-11-10</t>
        </is>
      </c>
      <c r="C71" s="3" t="inlineStr">
        <is>
          <t xml:space="preserve">SKU-G</t>
        </is>
      </c>
      <c r="D71" s="3" t="inlineStr">
        <is>
          <t xml:space="preserve">Daily Reset Set</t>
        </is>
      </c>
      <c r="E71" s="6">
        <f>IF('Settings'!$B$11="Scenario",IFERROR(INDEX('Catalogue'!$E$3:$E$100,MATCH(C71,'Catalogue'!$B$3:$B$100,0)),F71),F71)</f>
        <v>69</v>
      </c>
      <c r="F71" s="8">
        <v>69</v>
      </c>
      <c r="G71" s="3">
        <v>2</v>
      </c>
      <c r="H71" s="6">
        <f>IF('Settings'!$B$11="Scenario",ROUND(E71*G71*IFERROR(SUMIF('Pricing &amp; promotions'!$A$6:$A$8,L71,'Pricing &amp; promotions'!$B$6:$B$8)/100,0),2),J71)</f>
        <v>27.6</v>
      </c>
      <c r="I71" s="6">
        <f>ROUND((E71*G71-H71)/(1+'Settings'!$B$6/100),2)</f>
        <v>91.24</v>
      </c>
      <c r="J71" s="8">
        <v>27.6</v>
      </c>
      <c r="K71" s="3" t="inlineStr">
        <is>
          <t xml:space="preserve">TRUE</t>
        </is>
      </c>
      <c r="L71" s="3" t="inlineStr">
        <is>
          <t xml:space="preserve">VIP20</t>
        </is>
      </c>
    </row>
    <row r="72">
      <c r="A72" s="3" t="inlineStr">
        <is>
          <t xml:space="preserve">#1050</t>
        </is>
      </c>
      <c r="B72" s="3" t="inlineStr">
        <is>
          <t xml:space="preserve">2025-11-10</t>
        </is>
      </c>
      <c r="C72" s="3" t="inlineStr">
        <is>
          <t xml:space="preserve">SKU-G</t>
        </is>
      </c>
      <c r="D72" s="3" t="inlineStr">
        <is>
          <t xml:space="preserve">Daily Reset Set</t>
        </is>
      </c>
      <c r="E72" s="6">
        <f>IF('Settings'!$B$11="Scenario",IFERROR(INDEX('Catalogue'!$E$3:$E$100,MATCH(C72,'Catalogue'!$B$3:$B$100,0)),F72),F72)</f>
        <v>69</v>
      </c>
      <c r="F72" s="8">
        <v>69</v>
      </c>
      <c r="G72" s="3">
        <v>1</v>
      </c>
      <c r="H72" s="6">
        <f>IF('Settings'!$B$11="Scenario",ROUND(E72*G72*IFERROR(SUMIF('Pricing &amp; promotions'!$A$6:$A$8,L72,'Pricing &amp; promotions'!$B$6:$B$8)/100,0),2),J72)</f>
        <v>0.0</v>
      </c>
      <c r="I72" s="6">
        <f>ROUND((E72*G72-H72)/(1+'Settings'!$B$6/100),2)</f>
        <v>57.02</v>
      </c>
      <c r="J72" s="8">
        <v>0.0</v>
      </c>
      <c r="K72" s="3" t="inlineStr">
        <is>
          <t xml:space="preserve">TRUE</t>
        </is>
      </c>
      <c r="L72" s="3"/>
    </row>
    <row r="73">
      <c r="A73" s="3" t="inlineStr">
        <is>
          <t xml:space="preserve">#1050</t>
        </is>
      </c>
      <c r="B73" s="3" t="inlineStr">
        <is>
          <t xml:space="preserve">2025-11-10</t>
        </is>
      </c>
      <c r="C73" s="3" t="inlineStr">
        <is>
          <t xml:space="preserve">SKU-D</t>
        </is>
      </c>
      <c r="D73" s="3" t="inlineStr">
        <is>
          <t xml:space="preserve">Daily Duo</t>
        </is>
      </c>
      <c r="E73" s="6">
        <f>IF('Settings'!$B$11="Scenario",IFERROR(INDEX('Catalogue'!$E$3:$E$100,MATCH(C73,'Catalogue'!$B$3:$B$100,0)),F73),F73)</f>
        <v>79</v>
      </c>
      <c r="F73" s="8">
        <v>79</v>
      </c>
      <c r="G73" s="3">
        <v>1</v>
      </c>
      <c r="H73" s="6">
        <f>IF('Settings'!$B$11="Scenario",ROUND(E73*G73*IFERROR(SUMIF('Pricing &amp; promotions'!$A$6:$A$8,L73,'Pricing &amp; promotions'!$B$6:$B$8)/100,0),2),J73)</f>
        <v>0.0</v>
      </c>
      <c r="I73" s="6">
        <f>ROUND((E73*G73-H73)/(1+'Settings'!$B$6/100),2)</f>
        <v>65.29</v>
      </c>
      <c r="J73" s="8">
        <v>0.0</v>
      </c>
      <c r="K73" s="3" t="inlineStr">
        <is>
          <t xml:space="preserve">TRUE</t>
        </is>
      </c>
      <c r="L73" s="3"/>
    </row>
    <row r="74">
      <c r="A74" s="3" t="inlineStr">
        <is>
          <t xml:space="preserve">#1051</t>
        </is>
      </c>
      <c r="B74" s="3" t="inlineStr">
        <is>
          <t xml:space="preserve">2025-11-10</t>
        </is>
      </c>
      <c r="C74" s="3" t="inlineStr">
        <is>
          <t xml:space="preserve">SKU-D</t>
        </is>
      </c>
      <c r="D74" s="3" t="inlineStr">
        <is>
          <t xml:space="preserve">Daily Duo</t>
        </is>
      </c>
      <c r="E74" s="6">
        <f>IF('Settings'!$B$11="Scenario",IFERROR(INDEX('Catalogue'!$E$3:$E$100,MATCH(C74,'Catalogue'!$B$3:$B$100,0)),F74),F74)</f>
        <v>79</v>
      </c>
      <c r="F74" s="8">
        <v>79</v>
      </c>
      <c r="G74" s="3">
        <v>1</v>
      </c>
      <c r="H74" s="6">
        <f>IF('Settings'!$B$11="Scenario",ROUND(E74*G74*IFERROR(SUMIF('Pricing &amp; promotions'!$A$6:$A$8,L74,'Pricing &amp; promotions'!$B$6:$B$8)/100,0),2),J74)</f>
        <v>0.0</v>
      </c>
      <c r="I74" s="6">
        <f>ROUND((E74*G74-H74)/(1+'Settings'!$B$6/100),2)</f>
        <v>65.29</v>
      </c>
      <c r="J74" s="8">
        <v>0.0</v>
      </c>
      <c r="K74" s="3" t="inlineStr">
        <is>
          <t xml:space="preserve">TRUE</t>
        </is>
      </c>
      <c r="L74" s="3"/>
    </row>
    <row r="75">
      <c r="A75" s="3" t="inlineStr">
        <is>
          <t xml:space="preserve">#1052</t>
        </is>
      </c>
      <c r="B75" s="3" t="inlineStr">
        <is>
          <t xml:space="preserve">2025-11-11</t>
        </is>
      </c>
      <c r="C75" s="3" t="inlineStr">
        <is>
          <t xml:space="preserve">SKU-G</t>
        </is>
      </c>
      <c r="D75" s="3" t="inlineStr">
        <is>
          <t xml:space="preserve">Daily Reset Set</t>
        </is>
      </c>
      <c r="E75" s="6">
        <f>IF('Settings'!$B$11="Scenario",IFERROR(INDEX('Catalogue'!$E$3:$E$100,MATCH(C75,'Catalogue'!$B$3:$B$100,0)),F75),F75)</f>
        <v>69</v>
      </c>
      <c r="F75" s="8">
        <v>69</v>
      </c>
      <c r="G75" s="3">
        <v>1</v>
      </c>
      <c r="H75" s="6">
        <f>IF('Settings'!$B$11="Scenario",ROUND(E75*G75*IFERROR(SUMIF('Pricing &amp; promotions'!$A$6:$A$8,L75,'Pricing &amp; promotions'!$B$6:$B$8)/100,0),2),J75)</f>
        <v>10.35</v>
      </c>
      <c r="I75" s="6">
        <f>ROUND((E75*G75-H75)/(1+'Settings'!$B$6/100),2)</f>
        <v>48.47</v>
      </c>
      <c r="J75" s="8">
        <v>10.35</v>
      </c>
      <c r="K75" s="3" t="inlineStr">
        <is>
          <t xml:space="preserve">TRUE</t>
        </is>
      </c>
      <c r="L75" s="3" t="inlineStr">
        <is>
          <t xml:space="preserve">SUMMER15</t>
        </is>
      </c>
    </row>
    <row r="76">
      <c r="A76" s="3" t="inlineStr">
        <is>
          <t xml:space="preserve">#1052</t>
        </is>
      </c>
      <c r="B76" s="3" t="inlineStr">
        <is>
          <t xml:space="preserve">2025-11-11</t>
        </is>
      </c>
      <c r="C76" s="3" t="inlineStr">
        <is>
          <t xml:space="preserve">SKU-A</t>
        </is>
      </c>
      <c r="D76" s="3" t="inlineStr">
        <is>
          <t xml:space="preserve">Renewal Serum</t>
        </is>
      </c>
      <c r="E76" s="6">
        <f>IF('Settings'!$B$11="Scenario",IFERROR(INDEX('Catalogue'!$E$3:$E$100,MATCH(C76,'Catalogue'!$B$3:$B$100,0)),F76),F76)</f>
        <v>69.9</v>
      </c>
      <c r="F76" s="8">
        <v>64</v>
      </c>
      <c r="G76" s="3">
        <v>1</v>
      </c>
      <c r="H76" s="6">
        <f>IF('Settings'!$B$11="Scenario",ROUND(E76*G76*IFERROR(SUMIF('Pricing &amp; promotions'!$A$6:$A$8,L76,'Pricing &amp; promotions'!$B$6:$B$8)/100,0),2),J76)</f>
        <v>10.49</v>
      </c>
      <c r="I76" s="6">
        <f>ROUND((E76*G76-H76)/(1+'Settings'!$B$6/100),2)</f>
        <v>49.1</v>
      </c>
      <c r="J76" s="8">
        <v>9.6</v>
      </c>
      <c r="K76" s="3" t="inlineStr">
        <is>
          <t xml:space="preserve">TRUE</t>
        </is>
      </c>
      <c r="L76" s="3" t="inlineStr">
        <is>
          <t xml:space="preserve">SUMMER15</t>
        </is>
      </c>
    </row>
    <row r="77">
      <c r="A77" s="3" t="inlineStr">
        <is>
          <t xml:space="preserve">#1053</t>
        </is>
      </c>
      <c r="B77" s="3" t="inlineStr">
        <is>
          <t xml:space="preserve">2025-11-11</t>
        </is>
      </c>
      <c r="C77" s="3" t="inlineStr">
        <is>
          <t xml:space="preserve">SKU-G</t>
        </is>
      </c>
      <c r="D77" s="3" t="inlineStr">
        <is>
          <t xml:space="preserve">Daily Reset Set</t>
        </is>
      </c>
      <c r="E77" s="6">
        <f>IF('Settings'!$B$11="Scenario",IFERROR(INDEX('Catalogue'!$E$3:$E$100,MATCH(C77,'Catalogue'!$B$3:$B$100,0)),F77),F77)</f>
        <v>69</v>
      </c>
      <c r="F77" s="8">
        <v>69</v>
      </c>
      <c r="G77" s="3">
        <v>1</v>
      </c>
      <c r="H77" s="6">
        <f>IF('Settings'!$B$11="Scenario",ROUND(E77*G77*IFERROR(SUMIF('Pricing &amp; promotions'!$A$6:$A$8,L77,'Pricing &amp; promotions'!$B$6:$B$8)/100,0),2),J77)</f>
        <v>0.0</v>
      </c>
      <c r="I77" s="6">
        <f>ROUND((E77*G77-H77)/(1+'Settings'!$B$6/100),2)</f>
        <v>57.02</v>
      </c>
      <c r="J77" s="8">
        <v>0.0</v>
      </c>
      <c r="K77" s="3" t="inlineStr">
        <is>
          <t xml:space="preserve">TRUE</t>
        </is>
      </c>
      <c r="L77" s="3"/>
    </row>
    <row r="78">
      <c r="A78" s="3" t="inlineStr">
        <is>
          <t xml:space="preserve">#1054</t>
        </is>
      </c>
      <c r="B78" s="3" t="inlineStr">
        <is>
          <t xml:space="preserve">2025-11-11</t>
        </is>
      </c>
      <c r="C78" s="3" t="inlineStr">
        <is>
          <t xml:space="preserve">SKU-C</t>
        </is>
      </c>
      <c r="D78" s="3" t="inlineStr">
        <is>
          <t xml:space="preserve">Contour Stone</t>
        </is>
      </c>
      <c r="E78" s="6">
        <f>IF('Settings'!$B$11="Scenario",IFERROR(INDEX('Catalogue'!$E$3:$E$100,MATCH(C78,'Catalogue'!$B$3:$B$100,0)),F78),F78)</f>
        <v>29</v>
      </c>
      <c r="F78" s="8">
        <v>29</v>
      </c>
      <c r="G78" s="3">
        <v>1</v>
      </c>
      <c r="H78" s="6">
        <f>IF('Settings'!$B$11="Scenario",ROUND(E78*G78*IFERROR(SUMIF('Pricing &amp; promotions'!$A$6:$A$8,L78,'Pricing &amp; promotions'!$B$6:$B$8)/100,0),2),J78)</f>
        <v>2.9</v>
      </c>
      <c r="I78" s="6">
        <f>ROUND((E78*G78-H78)/(1+'Settings'!$B$6/100),2)</f>
        <v>21.57</v>
      </c>
      <c r="J78" s="8">
        <v>2.9</v>
      </c>
      <c r="K78" s="3" t="inlineStr">
        <is>
          <t xml:space="preserve">TRUE</t>
        </is>
      </c>
      <c r="L78" s="3" t="inlineStr">
        <is>
          <t xml:space="preserve">WELCOME10</t>
        </is>
      </c>
    </row>
    <row r="79">
      <c r="A79" s="3" t="inlineStr">
        <is>
          <t xml:space="preserve">#1054</t>
        </is>
      </c>
      <c r="B79" s="3" t="inlineStr">
        <is>
          <t xml:space="preserve">2025-11-11</t>
        </is>
      </c>
      <c r="C79" s="3" t="inlineStr">
        <is>
          <t xml:space="preserve">SKU-A</t>
        </is>
      </c>
      <c r="D79" s="3" t="inlineStr">
        <is>
          <t xml:space="preserve">Renewal Serum</t>
        </is>
      </c>
      <c r="E79" s="6">
        <f>IF('Settings'!$B$11="Scenario",IFERROR(INDEX('Catalogue'!$E$3:$E$100,MATCH(C79,'Catalogue'!$B$3:$B$100,0)),F79),F79)</f>
        <v>69.9</v>
      </c>
      <c r="F79" s="8">
        <v>64</v>
      </c>
      <c r="G79" s="3">
        <v>1</v>
      </c>
      <c r="H79" s="6">
        <f>IF('Settings'!$B$11="Scenario",ROUND(E79*G79*IFERROR(SUMIF('Pricing &amp; promotions'!$A$6:$A$8,L79,'Pricing &amp; promotions'!$B$6:$B$8)/100,0),2),J79)</f>
        <v>6.99</v>
      </c>
      <c r="I79" s="6">
        <f>ROUND((E79*G79-H79)/(1+'Settings'!$B$6/100),2)</f>
        <v>51.99</v>
      </c>
      <c r="J79" s="8">
        <v>6.4</v>
      </c>
      <c r="K79" s="3" t="inlineStr">
        <is>
          <t xml:space="preserve">TRUE</t>
        </is>
      </c>
      <c r="L79" s="3" t="inlineStr">
        <is>
          <t xml:space="preserve">WELCOME10</t>
        </is>
      </c>
    </row>
    <row r="80">
      <c r="A80" s="3" t="inlineStr">
        <is>
          <t xml:space="preserve">#1055</t>
        </is>
      </c>
      <c r="B80" s="3" t="inlineStr">
        <is>
          <t xml:space="preserve">2025-11-12</t>
        </is>
      </c>
      <c r="C80" s="3" t="inlineStr">
        <is>
          <t xml:space="preserve">SKU-E</t>
        </is>
      </c>
      <c r="D80" s="3" t="inlineStr">
        <is>
          <t xml:space="preserve">Complete Ritual</t>
        </is>
      </c>
      <c r="E80" s="6">
        <f>IF('Settings'!$B$11="Scenario",IFERROR(INDEX('Catalogue'!$E$3:$E$100,MATCH(C80,'Catalogue'!$B$3:$B$100,0)),F80),F80)</f>
        <v>89</v>
      </c>
      <c r="F80" s="8">
        <v>89</v>
      </c>
      <c r="G80" s="3">
        <v>1</v>
      </c>
      <c r="H80" s="6">
        <f>IF('Settings'!$B$11="Scenario",ROUND(E80*G80*IFERROR(SUMIF('Pricing &amp; promotions'!$A$6:$A$8,L80,'Pricing &amp; promotions'!$B$6:$B$8)/100,0),2),J80)</f>
        <v>0.0</v>
      </c>
      <c r="I80" s="6">
        <f>ROUND((E80*G80-H80)/(1+'Settings'!$B$6/100),2)</f>
        <v>73.55</v>
      </c>
      <c r="J80" s="8">
        <v>0.0</v>
      </c>
      <c r="K80" s="3" t="inlineStr">
        <is>
          <t xml:space="preserve">TRUE</t>
        </is>
      </c>
      <c r="L80" s="3"/>
    </row>
    <row r="81">
      <c r="A81" s="3" t="inlineStr">
        <is>
          <t xml:space="preserve">#1056</t>
        </is>
      </c>
      <c r="B81" s="3" t="inlineStr">
        <is>
          <t xml:space="preserve">2025-11-12</t>
        </is>
      </c>
      <c r="C81" s="3" t="inlineStr">
        <is>
          <t xml:space="preserve">SKU-D</t>
        </is>
      </c>
      <c r="D81" s="3" t="inlineStr">
        <is>
          <t xml:space="preserve">Daily Duo</t>
        </is>
      </c>
      <c r="E81" s="6">
        <f>IF('Settings'!$B$11="Scenario",IFERROR(INDEX('Catalogue'!$E$3:$E$100,MATCH(C81,'Catalogue'!$B$3:$B$100,0)),F81),F81)</f>
        <v>79</v>
      </c>
      <c r="F81" s="8">
        <v>79</v>
      </c>
      <c r="G81" s="3">
        <v>2</v>
      </c>
      <c r="H81" s="6">
        <f>IF('Settings'!$B$11="Scenario",ROUND(E81*G81*IFERROR(SUMIF('Pricing &amp; promotions'!$A$6:$A$8,L81,'Pricing &amp; promotions'!$B$6:$B$8)/100,0),2),J81)</f>
        <v>0.0</v>
      </c>
      <c r="I81" s="6">
        <f>ROUND((E81*G81-H81)/(1+'Settings'!$B$6/100),2)</f>
        <v>130.58</v>
      </c>
      <c r="J81" s="8">
        <v>0.0</v>
      </c>
      <c r="K81" s="3" t="inlineStr">
        <is>
          <t xml:space="preserve">TRUE</t>
        </is>
      </c>
      <c r="L81" s="3"/>
    </row>
    <row r="82">
      <c r="A82" s="3" t="inlineStr">
        <is>
          <t xml:space="preserve">#1057</t>
        </is>
      </c>
      <c r="B82" s="3" t="inlineStr">
        <is>
          <t xml:space="preserve">2025-11-12</t>
        </is>
      </c>
      <c r="C82" s="3" t="inlineStr">
        <is>
          <t xml:space="preserve">SKU-B</t>
        </is>
      </c>
      <c r="D82" s="3" t="inlineStr">
        <is>
          <t xml:space="preserve">Barrier Balm</t>
        </is>
      </c>
      <c r="E82" s="6">
        <f>IF('Settings'!$B$11="Scenario",IFERROR(INDEX('Catalogue'!$E$3:$E$100,MATCH(C82,'Catalogue'!$B$3:$B$100,0)),F82),F82)</f>
        <v>19</v>
      </c>
      <c r="F82" s="8">
        <v>18</v>
      </c>
      <c r="G82" s="3">
        <v>1</v>
      </c>
      <c r="H82" s="6">
        <f>IF('Settings'!$B$11="Scenario",ROUND(E82*G82*IFERROR(SUMIF('Pricing &amp; promotions'!$A$6:$A$8,L82,'Pricing &amp; promotions'!$B$6:$B$8)/100,0),2),J82)</f>
        <v>0.0</v>
      </c>
      <c r="I82" s="6">
        <f>ROUND((E82*G82-H82)/(1+'Settings'!$B$6/100),2)</f>
        <v>15.7</v>
      </c>
      <c r="J82" s="8">
        <v>0.0</v>
      </c>
      <c r="K82" s="3" t="inlineStr">
        <is>
          <t xml:space="preserve">TRUE</t>
        </is>
      </c>
      <c r="L82" s="3"/>
    </row>
    <row r="83">
      <c r="A83" s="3" t="inlineStr">
        <is>
          <t xml:space="preserve">#1058</t>
        </is>
      </c>
      <c r="B83" s="3" t="inlineStr">
        <is>
          <t xml:space="preserve">2025-11-12</t>
        </is>
      </c>
      <c r="C83" s="3" t="inlineStr">
        <is>
          <t xml:space="preserve">SKU-A</t>
        </is>
      </c>
      <c r="D83" s="3" t="inlineStr">
        <is>
          <t xml:space="preserve">Renewal Serum</t>
        </is>
      </c>
      <c r="E83" s="6">
        <f>IF('Settings'!$B$11="Scenario",IFERROR(INDEX('Catalogue'!$E$3:$E$100,MATCH(C83,'Catalogue'!$B$3:$B$100,0)),F83),F83)</f>
        <v>69.9</v>
      </c>
      <c r="F83" s="8">
        <v>64</v>
      </c>
      <c r="G83" s="3">
        <v>1</v>
      </c>
      <c r="H83" s="6">
        <f>IF('Settings'!$B$11="Scenario",ROUND(E83*G83*IFERROR(SUMIF('Pricing &amp; promotions'!$A$6:$A$8,L83,'Pricing &amp; promotions'!$B$6:$B$8)/100,0),2),J83)</f>
        <v>0.0</v>
      </c>
      <c r="I83" s="6">
        <f>ROUND((E83*G83-H83)/(1+'Settings'!$B$6/100),2)</f>
        <v>57.77</v>
      </c>
      <c r="J83" s="8">
        <v>0.0</v>
      </c>
      <c r="K83" s="3" t="inlineStr">
        <is>
          <t xml:space="preserve">TRUE</t>
        </is>
      </c>
      <c r="L83" s="3"/>
    </row>
    <row r="84">
      <c r="A84" s="3" t="inlineStr">
        <is>
          <t xml:space="preserve">#1059</t>
        </is>
      </c>
      <c r="B84" s="3" t="inlineStr">
        <is>
          <t xml:space="preserve">2025-11-13</t>
        </is>
      </c>
      <c r="C84" s="3" t="inlineStr">
        <is>
          <t xml:space="preserve">SKU-D</t>
        </is>
      </c>
      <c r="D84" s="3" t="inlineStr">
        <is>
          <t xml:space="preserve">Daily Duo</t>
        </is>
      </c>
      <c r="E84" s="6">
        <f>IF('Settings'!$B$11="Scenario",IFERROR(INDEX('Catalogue'!$E$3:$E$100,MATCH(C84,'Catalogue'!$B$3:$B$100,0)),F84),F84)</f>
        <v>79</v>
      </c>
      <c r="F84" s="8">
        <v>79</v>
      </c>
      <c r="G84" s="3">
        <v>1</v>
      </c>
      <c r="H84" s="6">
        <f>IF('Settings'!$B$11="Scenario",ROUND(E84*G84*IFERROR(SUMIF('Pricing &amp; promotions'!$A$6:$A$8,L84,'Pricing &amp; promotions'!$B$6:$B$8)/100,0),2),J84)</f>
        <v>0.0</v>
      </c>
      <c r="I84" s="6">
        <f>ROUND((E84*G84-H84)/(1+'Settings'!$B$6/100),2)</f>
        <v>65.29</v>
      </c>
      <c r="J84" s="8">
        <v>0.0</v>
      </c>
      <c r="K84" s="3" t="inlineStr">
        <is>
          <t xml:space="preserve">TRUE</t>
        </is>
      </c>
      <c r="L84" s="3"/>
    </row>
    <row r="85">
      <c r="A85" s="3" t="inlineStr">
        <is>
          <t xml:space="preserve">#1059</t>
        </is>
      </c>
      <c r="B85" s="3" t="inlineStr">
        <is>
          <t xml:space="preserve">2025-11-13</t>
        </is>
      </c>
      <c r="C85" s="3" t="inlineStr">
        <is>
          <t xml:space="preserve">SKU-B</t>
        </is>
      </c>
      <c r="D85" s="3" t="inlineStr">
        <is>
          <t xml:space="preserve">Barrier Balm</t>
        </is>
      </c>
      <c r="E85" s="6">
        <f>IF('Settings'!$B$11="Scenario",IFERROR(INDEX('Catalogue'!$E$3:$E$100,MATCH(C85,'Catalogue'!$B$3:$B$100,0)),F85),F85)</f>
        <v>19</v>
      </c>
      <c r="F85" s="8">
        <v>18</v>
      </c>
      <c r="G85" s="3">
        <v>1</v>
      </c>
      <c r="H85" s="6">
        <f>IF('Settings'!$B$11="Scenario",ROUND(E85*G85*IFERROR(SUMIF('Pricing &amp; promotions'!$A$6:$A$8,L85,'Pricing &amp; promotions'!$B$6:$B$8)/100,0),2),J85)</f>
        <v>0.0</v>
      </c>
      <c r="I85" s="6">
        <f>ROUND((E85*G85-H85)/(1+'Settings'!$B$6/100),2)</f>
        <v>15.7</v>
      </c>
      <c r="J85" s="8">
        <v>0.0</v>
      </c>
      <c r="K85" s="3" t="inlineStr">
        <is>
          <t xml:space="preserve">TRUE</t>
        </is>
      </c>
      <c r="L85" s="3"/>
    </row>
    <row r="86">
      <c r="A86" s="3" t="inlineStr">
        <is>
          <t xml:space="preserve">#1060</t>
        </is>
      </c>
      <c r="B86" s="3" t="inlineStr">
        <is>
          <t xml:space="preserve">2025-11-13</t>
        </is>
      </c>
      <c r="C86" s="3" t="inlineStr">
        <is>
          <t xml:space="preserve">SKU-E</t>
        </is>
      </c>
      <c r="D86" s="3" t="inlineStr">
        <is>
          <t xml:space="preserve">Complete Ritual</t>
        </is>
      </c>
      <c r="E86" s="6">
        <f>IF('Settings'!$B$11="Scenario",IFERROR(INDEX('Catalogue'!$E$3:$E$100,MATCH(C86,'Catalogue'!$B$3:$B$100,0)),F86),F86)</f>
        <v>89</v>
      </c>
      <c r="F86" s="8">
        <v>89</v>
      </c>
      <c r="G86" s="3">
        <v>2</v>
      </c>
      <c r="H86" s="6">
        <f>IF('Settings'!$B$11="Scenario",ROUND(E86*G86*IFERROR(SUMIF('Pricing &amp; promotions'!$A$6:$A$8,L86,'Pricing &amp; promotions'!$B$6:$B$8)/100,0),2),J86)</f>
        <v>35.6</v>
      </c>
      <c r="I86" s="6">
        <f>ROUND((E86*G86-H86)/(1+'Settings'!$B$6/100),2)</f>
        <v>117.69</v>
      </c>
      <c r="J86" s="8">
        <v>35.6</v>
      </c>
      <c r="K86" s="3" t="inlineStr">
        <is>
          <t xml:space="preserve">TRUE</t>
        </is>
      </c>
      <c r="L86" s="3" t="inlineStr">
        <is>
          <t xml:space="preserve">VIP20</t>
        </is>
      </c>
    </row>
    <row r="87">
      <c r="A87" s="3" t="inlineStr">
        <is>
          <t xml:space="preserve">#1061</t>
        </is>
      </c>
      <c r="B87" s="3" t="inlineStr">
        <is>
          <t xml:space="preserve">2025-11-13</t>
        </is>
      </c>
      <c r="C87" s="3" t="inlineStr">
        <is>
          <t xml:space="preserve">SKU-D</t>
        </is>
      </c>
      <c r="D87" s="3" t="inlineStr">
        <is>
          <t xml:space="preserve">Daily Duo</t>
        </is>
      </c>
      <c r="E87" s="6">
        <f>IF('Settings'!$B$11="Scenario",IFERROR(INDEX('Catalogue'!$E$3:$E$100,MATCH(C87,'Catalogue'!$B$3:$B$100,0)),F87),F87)</f>
        <v>79</v>
      </c>
      <c r="F87" s="8">
        <v>79</v>
      </c>
      <c r="G87" s="3">
        <v>1</v>
      </c>
      <c r="H87" s="6">
        <f>IF('Settings'!$B$11="Scenario",ROUND(E87*G87*IFERROR(SUMIF('Pricing &amp; promotions'!$A$6:$A$8,L87,'Pricing &amp; promotions'!$B$6:$B$8)/100,0),2),J87)</f>
        <v>7.9</v>
      </c>
      <c r="I87" s="6">
        <f>ROUND((E87*G87-H87)/(1+'Settings'!$B$6/100),2)</f>
        <v>58.76</v>
      </c>
      <c r="J87" s="8">
        <v>7.9</v>
      </c>
      <c r="K87" s="3" t="inlineStr">
        <is>
          <t xml:space="preserve">TRUE</t>
        </is>
      </c>
      <c r="L87" s="3" t="inlineStr">
        <is>
          <t xml:space="preserve">WELCOME10</t>
        </is>
      </c>
    </row>
    <row r="88">
      <c r="A88" s="3" t="inlineStr">
        <is>
          <t xml:space="preserve">#1062</t>
        </is>
      </c>
      <c r="B88" s="3" t="inlineStr">
        <is>
          <t xml:space="preserve">2025-11-14</t>
        </is>
      </c>
      <c r="C88" s="3" t="inlineStr">
        <is>
          <t xml:space="preserve">SKU-D</t>
        </is>
      </c>
      <c r="D88" s="3" t="inlineStr">
        <is>
          <t xml:space="preserve">Daily Duo</t>
        </is>
      </c>
      <c r="E88" s="6">
        <f>IF('Settings'!$B$11="Scenario",IFERROR(INDEX('Catalogue'!$E$3:$E$100,MATCH(C88,'Catalogue'!$B$3:$B$100,0)),F88),F88)</f>
        <v>79</v>
      </c>
      <c r="F88" s="8">
        <v>79</v>
      </c>
      <c r="G88" s="3">
        <v>2</v>
      </c>
      <c r="H88" s="6">
        <f>IF('Settings'!$B$11="Scenario",ROUND(E88*G88*IFERROR(SUMIF('Pricing &amp; promotions'!$A$6:$A$8,L88,'Pricing &amp; promotions'!$B$6:$B$8)/100,0),2),J88)</f>
        <v>0.0</v>
      </c>
      <c r="I88" s="6">
        <f>ROUND((E88*G88-H88)/(1+'Settings'!$B$6/100),2)</f>
        <v>130.58</v>
      </c>
      <c r="J88" s="8">
        <v>0.0</v>
      </c>
      <c r="K88" s="3" t="inlineStr">
        <is>
          <t xml:space="preserve">TRUE</t>
        </is>
      </c>
      <c r="L88" s="3"/>
    </row>
    <row r="89">
      <c r="A89" s="3" t="inlineStr">
        <is>
          <t xml:space="preserve">#1062</t>
        </is>
      </c>
      <c r="B89" s="3" t="inlineStr">
        <is>
          <t xml:space="preserve">2025-11-14</t>
        </is>
      </c>
      <c r="C89" s="3" t="inlineStr">
        <is>
          <t xml:space="preserve">SKU-A</t>
        </is>
      </c>
      <c r="D89" s="3" t="inlineStr">
        <is>
          <t xml:space="preserve">Renewal Serum</t>
        </is>
      </c>
      <c r="E89" s="6">
        <f>IF('Settings'!$B$11="Scenario",IFERROR(INDEX('Catalogue'!$E$3:$E$100,MATCH(C89,'Catalogue'!$B$3:$B$100,0)),F89),F89)</f>
        <v>69.9</v>
      </c>
      <c r="F89" s="8">
        <v>64</v>
      </c>
      <c r="G89" s="3">
        <v>1</v>
      </c>
      <c r="H89" s="6">
        <f>IF('Settings'!$B$11="Scenario",ROUND(E89*G89*IFERROR(SUMIF('Pricing &amp; promotions'!$A$6:$A$8,L89,'Pricing &amp; promotions'!$B$6:$B$8)/100,0),2),J89)</f>
        <v>0.0</v>
      </c>
      <c r="I89" s="6">
        <f>ROUND((E89*G89-H89)/(1+'Settings'!$B$6/100),2)</f>
        <v>57.77</v>
      </c>
      <c r="J89" s="8">
        <v>0.0</v>
      </c>
      <c r="K89" s="3" t="inlineStr">
        <is>
          <t xml:space="preserve">TRUE</t>
        </is>
      </c>
      <c r="L89" s="3"/>
    </row>
    <row r="90">
      <c r="A90" s="3" t="inlineStr">
        <is>
          <t xml:space="preserve">#1063</t>
        </is>
      </c>
      <c r="B90" s="3" t="inlineStr">
        <is>
          <t xml:space="preserve">2025-11-14</t>
        </is>
      </c>
      <c r="C90" s="3" t="inlineStr">
        <is>
          <t xml:space="preserve">SKU-A</t>
        </is>
      </c>
      <c r="D90" s="3" t="inlineStr">
        <is>
          <t xml:space="preserve">Renewal Serum</t>
        </is>
      </c>
      <c r="E90" s="6">
        <f>IF('Settings'!$B$11="Scenario",IFERROR(INDEX('Catalogue'!$E$3:$E$100,MATCH(C90,'Catalogue'!$B$3:$B$100,0)),F90),F90)</f>
        <v>69.9</v>
      </c>
      <c r="F90" s="8">
        <v>64</v>
      </c>
      <c r="G90" s="3">
        <v>1</v>
      </c>
      <c r="H90" s="6">
        <f>IF('Settings'!$B$11="Scenario",ROUND(E90*G90*IFERROR(SUMIF('Pricing &amp; promotions'!$A$6:$A$8,L90,'Pricing &amp; promotions'!$B$6:$B$8)/100,0),2),J90)</f>
        <v>6.99</v>
      </c>
      <c r="I90" s="6">
        <f>ROUND((E90*G90-H90)/(1+'Settings'!$B$6/100),2)</f>
        <v>51.99</v>
      </c>
      <c r="J90" s="8">
        <v>6.4</v>
      </c>
      <c r="K90" s="3" t="inlineStr">
        <is>
          <t xml:space="preserve">TRUE</t>
        </is>
      </c>
      <c r="L90" s="3" t="inlineStr">
        <is>
          <t xml:space="preserve">WELCOME10</t>
        </is>
      </c>
    </row>
    <row r="91">
      <c r="A91" s="3" t="inlineStr">
        <is>
          <t xml:space="preserve">#1063</t>
        </is>
      </c>
      <c r="B91" s="3" t="inlineStr">
        <is>
          <t xml:space="preserve">2025-11-14</t>
        </is>
      </c>
      <c r="C91" s="3" t="inlineStr">
        <is>
          <t xml:space="preserve">SKU-G</t>
        </is>
      </c>
      <c r="D91" s="3" t="inlineStr">
        <is>
          <t xml:space="preserve">Daily Reset Set</t>
        </is>
      </c>
      <c r="E91" s="6">
        <f>IF('Settings'!$B$11="Scenario",IFERROR(INDEX('Catalogue'!$E$3:$E$100,MATCH(C91,'Catalogue'!$B$3:$B$100,0)),F91),F91)</f>
        <v>69</v>
      </c>
      <c r="F91" s="8">
        <v>69</v>
      </c>
      <c r="G91" s="3">
        <v>1</v>
      </c>
      <c r="H91" s="6">
        <f>IF('Settings'!$B$11="Scenario",ROUND(E91*G91*IFERROR(SUMIF('Pricing &amp; promotions'!$A$6:$A$8,L91,'Pricing &amp; promotions'!$B$6:$B$8)/100,0),2),J91)</f>
        <v>6.9</v>
      </c>
      <c r="I91" s="6">
        <f>ROUND((E91*G91-H91)/(1+'Settings'!$B$6/100),2)</f>
        <v>51.32</v>
      </c>
      <c r="J91" s="8">
        <v>6.9</v>
      </c>
      <c r="K91" s="3" t="inlineStr">
        <is>
          <t xml:space="preserve">TRUE</t>
        </is>
      </c>
      <c r="L91" s="3" t="inlineStr">
        <is>
          <t xml:space="preserve">WELCOME10</t>
        </is>
      </c>
    </row>
    <row r="92">
      <c r="A92" s="3" t="inlineStr">
        <is>
          <t xml:space="preserve">#1064</t>
        </is>
      </c>
      <c r="B92" s="3" t="inlineStr">
        <is>
          <t xml:space="preserve">2025-11-14</t>
        </is>
      </c>
      <c r="C92" s="3" t="inlineStr">
        <is>
          <t xml:space="preserve">SKU-D</t>
        </is>
      </c>
      <c r="D92" s="3" t="inlineStr">
        <is>
          <t xml:space="preserve">Daily Duo</t>
        </is>
      </c>
      <c r="E92" s="6">
        <f>IF('Settings'!$B$11="Scenario",IFERROR(INDEX('Catalogue'!$E$3:$E$100,MATCH(C92,'Catalogue'!$B$3:$B$100,0)),F92),F92)</f>
        <v>79</v>
      </c>
      <c r="F92" s="8">
        <v>79</v>
      </c>
      <c r="G92" s="3">
        <v>1</v>
      </c>
      <c r="H92" s="6">
        <f>IF('Settings'!$B$11="Scenario",ROUND(E92*G92*IFERROR(SUMIF('Pricing &amp; promotions'!$A$6:$A$8,L92,'Pricing &amp; promotions'!$B$6:$B$8)/100,0),2),J92)</f>
        <v>7.9</v>
      </c>
      <c r="I92" s="6">
        <f>ROUND((E92*G92-H92)/(1+'Settings'!$B$6/100),2)</f>
        <v>58.76</v>
      </c>
      <c r="J92" s="8">
        <v>7.9</v>
      </c>
      <c r="K92" s="3" t="inlineStr">
        <is>
          <t xml:space="preserve">TRUE</t>
        </is>
      </c>
      <c r="L92" s="3" t="inlineStr">
        <is>
          <t xml:space="preserve">WELCOME10</t>
        </is>
      </c>
    </row>
    <row r="93">
      <c r="A93" s="3" t="inlineStr">
        <is>
          <t xml:space="preserve">#1064</t>
        </is>
      </c>
      <c r="B93" s="3" t="inlineStr">
        <is>
          <t xml:space="preserve">2025-11-14</t>
        </is>
      </c>
      <c r="C93" s="3" t="inlineStr">
        <is>
          <t xml:space="preserve">SKU-A</t>
        </is>
      </c>
      <c r="D93" s="3" t="inlineStr">
        <is>
          <t xml:space="preserve">Renewal Serum</t>
        </is>
      </c>
      <c r="E93" s="6">
        <f>IF('Settings'!$B$11="Scenario",IFERROR(INDEX('Catalogue'!$E$3:$E$100,MATCH(C93,'Catalogue'!$B$3:$B$100,0)),F93),F93)</f>
        <v>69.9</v>
      </c>
      <c r="F93" s="8">
        <v>64</v>
      </c>
      <c r="G93" s="3">
        <v>1</v>
      </c>
      <c r="H93" s="6">
        <f>IF('Settings'!$B$11="Scenario",ROUND(E93*G93*IFERROR(SUMIF('Pricing &amp; promotions'!$A$6:$A$8,L93,'Pricing &amp; promotions'!$B$6:$B$8)/100,0),2),J93)</f>
        <v>6.99</v>
      </c>
      <c r="I93" s="6">
        <f>ROUND((E93*G93-H93)/(1+'Settings'!$B$6/100),2)</f>
        <v>51.99</v>
      </c>
      <c r="J93" s="8">
        <v>6.4</v>
      </c>
      <c r="K93" s="3" t="inlineStr">
        <is>
          <t xml:space="preserve">TRUE</t>
        </is>
      </c>
      <c r="L93" s="3" t="inlineStr">
        <is>
          <t xml:space="preserve">WELCOME10</t>
        </is>
      </c>
    </row>
    <row r="94">
      <c r="A94" s="3" t="inlineStr">
        <is>
          <t xml:space="preserve">#1065</t>
        </is>
      </c>
      <c r="B94" s="3" t="inlineStr">
        <is>
          <t xml:space="preserve">2025-11-15</t>
        </is>
      </c>
      <c r="C94" s="3" t="inlineStr">
        <is>
          <t xml:space="preserve">SKU-A</t>
        </is>
      </c>
      <c r="D94" s="3" t="inlineStr">
        <is>
          <t xml:space="preserve">Renewal Serum</t>
        </is>
      </c>
      <c r="E94" s="6">
        <f>IF('Settings'!$B$11="Scenario",IFERROR(INDEX('Catalogue'!$E$3:$E$100,MATCH(C94,'Catalogue'!$B$3:$B$100,0)),F94),F94)</f>
        <v>69.9</v>
      </c>
      <c r="F94" s="8">
        <v>64</v>
      </c>
      <c r="G94" s="3">
        <v>1</v>
      </c>
      <c r="H94" s="6">
        <f>IF('Settings'!$B$11="Scenario",ROUND(E94*G94*IFERROR(SUMIF('Pricing &amp; promotions'!$A$6:$A$8,L94,'Pricing &amp; promotions'!$B$6:$B$8)/100,0),2),J94)</f>
        <v>0.0</v>
      </c>
      <c r="I94" s="6">
        <f>ROUND((E94*G94-H94)/(1+'Settings'!$B$6/100),2)</f>
        <v>57.77</v>
      </c>
      <c r="J94" s="8">
        <v>0.0</v>
      </c>
      <c r="K94" s="3" t="inlineStr">
        <is>
          <t xml:space="preserve">TRUE</t>
        </is>
      </c>
      <c r="L94" s="3"/>
    </row>
    <row r="95">
      <c r="A95" s="3" t="inlineStr">
        <is>
          <t xml:space="preserve">#1066</t>
        </is>
      </c>
      <c r="B95" s="3" t="inlineStr">
        <is>
          <t xml:space="preserve">2025-11-16</t>
        </is>
      </c>
      <c r="C95" s="3" t="inlineStr">
        <is>
          <t xml:space="preserve">SKU-B</t>
        </is>
      </c>
      <c r="D95" s="3" t="inlineStr">
        <is>
          <t xml:space="preserve">Barrier Balm</t>
        </is>
      </c>
      <c r="E95" s="6">
        <f>IF('Settings'!$B$11="Scenario",IFERROR(INDEX('Catalogue'!$E$3:$E$100,MATCH(C95,'Catalogue'!$B$3:$B$100,0)),F95),F95)</f>
        <v>19</v>
      </c>
      <c r="F95" s="8">
        <v>18</v>
      </c>
      <c r="G95" s="3">
        <v>1</v>
      </c>
      <c r="H95" s="6">
        <f>IF('Settings'!$B$11="Scenario",ROUND(E95*G95*IFERROR(SUMIF('Pricing &amp; promotions'!$A$6:$A$8,L95,'Pricing &amp; promotions'!$B$6:$B$8)/100,0),2),J95)</f>
        <v>0.0</v>
      </c>
      <c r="I95" s="6">
        <f>ROUND((E95*G95-H95)/(1+'Settings'!$B$6/100),2)</f>
        <v>15.7</v>
      </c>
      <c r="J95" s="8">
        <v>0.0</v>
      </c>
      <c r="K95" s="3" t="inlineStr">
        <is>
          <t xml:space="preserve">TRUE</t>
        </is>
      </c>
      <c r="L95" s="3"/>
    </row>
    <row r="96">
      <c r="A96" s="3" t="inlineStr">
        <is>
          <t xml:space="preserve">#1067</t>
        </is>
      </c>
      <c r="B96" s="3" t="inlineStr">
        <is>
          <t xml:space="preserve">2025-11-16</t>
        </is>
      </c>
      <c r="C96" s="3" t="inlineStr">
        <is>
          <t xml:space="preserve">SKU-G</t>
        </is>
      </c>
      <c r="D96" s="3" t="inlineStr">
        <is>
          <t xml:space="preserve">Daily Reset Set</t>
        </is>
      </c>
      <c r="E96" s="6">
        <f>IF('Settings'!$B$11="Scenario",IFERROR(INDEX('Catalogue'!$E$3:$E$100,MATCH(C96,'Catalogue'!$B$3:$B$100,0)),F96),F96)</f>
        <v>69</v>
      </c>
      <c r="F96" s="8">
        <v>69</v>
      </c>
      <c r="G96" s="3">
        <v>2</v>
      </c>
      <c r="H96" s="6">
        <f>IF('Settings'!$B$11="Scenario",ROUND(E96*G96*IFERROR(SUMIF('Pricing &amp; promotions'!$A$6:$A$8,L96,'Pricing &amp; promotions'!$B$6:$B$8)/100,0),2),J96)</f>
        <v>0.0</v>
      </c>
      <c r="I96" s="6">
        <f>ROUND((E96*G96-H96)/(1+'Settings'!$B$6/100),2)</f>
        <v>114.05</v>
      </c>
      <c r="J96" s="8">
        <v>0.0</v>
      </c>
      <c r="K96" s="3" t="inlineStr">
        <is>
          <t xml:space="preserve">TRUE</t>
        </is>
      </c>
      <c r="L96" s="3"/>
    </row>
    <row r="97">
      <c r="A97" s="3" t="inlineStr">
        <is>
          <t xml:space="preserve">#1068</t>
        </is>
      </c>
      <c r="B97" s="3" t="inlineStr">
        <is>
          <t xml:space="preserve">2025-11-16</t>
        </is>
      </c>
      <c r="C97" s="3" t="inlineStr">
        <is>
          <t xml:space="preserve">SKU-D</t>
        </is>
      </c>
      <c r="D97" s="3" t="inlineStr">
        <is>
          <t xml:space="preserve">Daily Duo</t>
        </is>
      </c>
      <c r="E97" s="6">
        <f>IF('Settings'!$B$11="Scenario",IFERROR(INDEX('Catalogue'!$E$3:$E$100,MATCH(C97,'Catalogue'!$B$3:$B$100,0)),F97),F97)</f>
        <v>79</v>
      </c>
      <c r="F97" s="8">
        <v>79</v>
      </c>
      <c r="G97" s="3">
        <v>1</v>
      </c>
      <c r="H97" s="6">
        <f>IF('Settings'!$B$11="Scenario",ROUND(E97*G97*IFERROR(SUMIF('Pricing &amp; promotions'!$A$6:$A$8,L97,'Pricing &amp; promotions'!$B$6:$B$8)/100,0),2),J97)</f>
        <v>0.0</v>
      </c>
      <c r="I97" s="6">
        <f>ROUND((E97*G97-H97)/(1+'Settings'!$B$6/100),2)</f>
        <v>65.29</v>
      </c>
      <c r="J97" s="8">
        <v>0.0</v>
      </c>
      <c r="K97" s="3" t="inlineStr">
        <is>
          <t xml:space="preserve">TRUE</t>
        </is>
      </c>
      <c r="L97" s="3"/>
    </row>
    <row r="98">
      <c r="A98" s="3" t="inlineStr">
        <is>
          <t xml:space="preserve">#1069</t>
        </is>
      </c>
      <c r="B98" s="3" t="inlineStr">
        <is>
          <t xml:space="preserve">2025-11-16</t>
        </is>
      </c>
      <c r="C98" s="3" t="inlineStr">
        <is>
          <t xml:space="preserve">SKU-A</t>
        </is>
      </c>
      <c r="D98" s="3" t="inlineStr">
        <is>
          <t xml:space="preserve">Renewal Serum</t>
        </is>
      </c>
      <c r="E98" s="6">
        <f>IF('Settings'!$B$11="Scenario",IFERROR(INDEX('Catalogue'!$E$3:$E$100,MATCH(C98,'Catalogue'!$B$3:$B$100,0)),F98),F98)</f>
        <v>69.9</v>
      </c>
      <c r="F98" s="8">
        <v>64</v>
      </c>
      <c r="G98" s="3">
        <v>1</v>
      </c>
      <c r="H98" s="6">
        <f>IF('Settings'!$B$11="Scenario",ROUND(E98*G98*IFERROR(SUMIF('Pricing &amp; promotions'!$A$6:$A$8,L98,'Pricing &amp; promotions'!$B$6:$B$8)/100,0),2),J98)</f>
        <v>0.0</v>
      </c>
      <c r="I98" s="6">
        <f>ROUND((E98*G98-H98)/(1+'Settings'!$B$6/100),2)</f>
        <v>57.77</v>
      </c>
      <c r="J98" s="8">
        <v>0.0</v>
      </c>
      <c r="K98" s="3" t="inlineStr">
        <is>
          <t xml:space="preserve">TRUE</t>
        </is>
      </c>
      <c r="L98" s="3"/>
    </row>
    <row r="99">
      <c r="A99" s="3" t="inlineStr">
        <is>
          <t xml:space="preserve">#1069</t>
        </is>
      </c>
      <c r="B99" s="3" t="inlineStr">
        <is>
          <t xml:space="preserve">2025-11-16</t>
        </is>
      </c>
      <c r="C99" s="3" t="inlineStr">
        <is>
          <t xml:space="preserve">SKU-G</t>
        </is>
      </c>
      <c r="D99" s="3" t="inlineStr">
        <is>
          <t xml:space="preserve">Daily Reset Set</t>
        </is>
      </c>
      <c r="E99" s="6">
        <f>IF('Settings'!$B$11="Scenario",IFERROR(INDEX('Catalogue'!$E$3:$E$100,MATCH(C99,'Catalogue'!$B$3:$B$100,0)),F99),F99)</f>
        <v>69</v>
      </c>
      <c r="F99" s="8">
        <v>69</v>
      </c>
      <c r="G99" s="3">
        <v>1</v>
      </c>
      <c r="H99" s="6">
        <f>IF('Settings'!$B$11="Scenario",ROUND(E99*G99*IFERROR(SUMIF('Pricing &amp; promotions'!$A$6:$A$8,L99,'Pricing &amp; promotions'!$B$6:$B$8)/100,0),2),J99)</f>
        <v>0.0</v>
      </c>
      <c r="I99" s="6">
        <f>ROUND((E99*G99-H99)/(1+'Settings'!$B$6/100),2)</f>
        <v>57.02</v>
      </c>
      <c r="J99" s="8">
        <v>0.0</v>
      </c>
      <c r="K99" s="3" t="inlineStr">
        <is>
          <t xml:space="preserve">TRUE</t>
        </is>
      </c>
      <c r="L99" s="3"/>
    </row>
    <row r="100">
      <c r="A100" s="3" t="inlineStr">
        <is>
          <t xml:space="preserve">#1069</t>
        </is>
      </c>
      <c r="B100" s="3" t="inlineStr">
        <is>
          <t xml:space="preserve">2025-11-16</t>
        </is>
      </c>
      <c r="C100" s="3" t="inlineStr">
        <is>
          <t xml:space="preserve">SKU-B</t>
        </is>
      </c>
      <c r="D100" s="3" t="inlineStr">
        <is>
          <t xml:space="preserve">Barrier Balm</t>
        </is>
      </c>
      <c r="E100" s="6">
        <f>IF('Settings'!$B$11="Scenario",IFERROR(INDEX('Catalogue'!$E$3:$E$100,MATCH(C100,'Catalogue'!$B$3:$B$100,0)),F100),F100)</f>
        <v>19</v>
      </c>
      <c r="F100" s="8">
        <v>18</v>
      </c>
      <c r="G100" s="3">
        <v>1</v>
      </c>
      <c r="H100" s="6">
        <f>IF('Settings'!$B$11="Scenario",ROUND(E100*G100*IFERROR(SUMIF('Pricing &amp; promotions'!$A$6:$A$8,L100,'Pricing &amp; promotions'!$B$6:$B$8)/100,0),2),J100)</f>
        <v>0.0</v>
      </c>
      <c r="I100" s="6">
        <f>ROUND((E100*G100-H100)/(1+'Settings'!$B$6/100),2)</f>
        <v>15.7</v>
      </c>
      <c r="J100" s="8">
        <v>0.0</v>
      </c>
      <c r="K100" s="3" t="inlineStr">
        <is>
          <t xml:space="preserve">TRUE</t>
        </is>
      </c>
      <c r="L100" s="3"/>
    </row>
    <row r="101">
      <c r="A101" s="3" t="inlineStr">
        <is>
          <t xml:space="preserve">#1070</t>
        </is>
      </c>
      <c r="B101" s="3" t="inlineStr">
        <is>
          <t xml:space="preserve">2025-11-17</t>
        </is>
      </c>
      <c r="C101" s="3" t="inlineStr">
        <is>
          <t xml:space="preserve">SKU-G</t>
        </is>
      </c>
      <c r="D101" s="3" t="inlineStr">
        <is>
          <t xml:space="preserve">Daily Reset Set</t>
        </is>
      </c>
      <c r="E101" s="6">
        <f>IF('Settings'!$B$11="Scenario",IFERROR(INDEX('Catalogue'!$E$3:$E$100,MATCH(C101,'Catalogue'!$B$3:$B$100,0)),F101),F101)</f>
        <v>69</v>
      </c>
      <c r="F101" s="8">
        <v>69</v>
      </c>
      <c r="G101" s="3">
        <v>2</v>
      </c>
      <c r="H101" s="6">
        <f>IF('Settings'!$B$11="Scenario",ROUND(E101*G101*IFERROR(SUMIF('Pricing &amp; promotions'!$A$6:$A$8,L101,'Pricing &amp; promotions'!$B$6:$B$8)/100,0),2),J101)</f>
        <v>0.0</v>
      </c>
      <c r="I101" s="6">
        <f>ROUND((E101*G101-H101)/(1+'Settings'!$B$6/100),2)</f>
        <v>114.05</v>
      </c>
      <c r="J101" s="8">
        <v>0.0</v>
      </c>
      <c r="K101" s="3" t="inlineStr">
        <is>
          <t xml:space="preserve">TRUE</t>
        </is>
      </c>
      <c r="L101" s="3"/>
    </row>
    <row r="102">
      <c r="A102" s="3" t="inlineStr">
        <is>
          <t xml:space="preserve">#1071</t>
        </is>
      </c>
      <c r="B102" s="3" t="inlineStr">
        <is>
          <t xml:space="preserve">2025-11-17</t>
        </is>
      </c>
      <c r="C102" s="3" t="inlineStr">
        <is>
          <t xml:space="preserve">SKU-D</t>
        </is>
      </c>
      <c r="D102" s="3" t="inlineStr">
        <is>
          <t xml:space="preserve">Daily Duo</t>
        </is>
      </c>
      <c r="E102" s="6">
        <f>IF('Settings'!$B$11="Scenario",IFERROR(INDEX('Catalogue'!$E$3:$E$100,MATCH(C102,'Catalogue'!$B$3:$B$100,0)),F102),F102)</f>
        <v>79</v>
      </c>
      <c r="F102" s="8">
        <v>79</v>
      </c>
      <c r="G102" s="3">
        <v>1</v>
      </c>
      <c r="H102" s="6">
        <f>IF('Settings'!$B$11="Scenario",ROUND(E102*G102*IFERROR(SUMIF('Pricing &amp; promotions'!$A$6:$A$8,L102,'Pricing &amp; promotions'!$B$6:$B$8)/100,0),2),J102)</f>
        <v>0.0</v>
      </c>
      <c r="I102" s="6">
        <f>ROUND((E102*G102-H102)/(1+'Settings'!$B$6/100),2)</f>
        <v>65.29</v>
      </c>
      <c r="J102" s="8">
        <v>0.0</v>
      </c>
      <c r="K102" s="3" t="inlineStr">
        <is>
          <t xml:space="preserve">TRUE</t>
        </is>
      </c>
      <c r="L102" s="3"/>
    </row>
    <row r="103">
      <c r="A103" s="3" t="inlineStr">
        <is>
          <t xml:space="preserve">#1072</t>
        </is>
      </c>
      <c r="B103" s="3" t="inlineStr">
        <is>
          <t xml:space="preserve">2025-11-17</t>
        </is>
      </c>
      <c r="C103" s="3" t="inlineStr">
        <is>
          <t xml:space="preserve">SKU-A</t>
        </is>
      </c>
      <c r="D103" s="3" t="inlineStr">
        <is>
          <t xml:space="preserve">Renewal Serum</t>
        </is>
      </c>
      <c r="E103" s="6">
        <f>IF('Settings'!$B$11="Scenario",IFERROR(INDEX('Catalogue'!$E$3:$E$100,MATCH(C103,'Catalogue'!$B$3:$B$100,0)),F103),F103)</f>
        <v>69.9</v>
      </c>
      <c r="F103" s="8">
        <v>64</v>
      </c>
      <c r="G103" s="3">
        <v>1</v>
      </c>
      <c r="H103" s="6">
        <f>IF('Settings'!$B$11="Scenario",ROUND(E103*G103*IFERROR(SUMIF('Pricing &amp; promotions'!$A$6:$A$8,L103,'Pricing &amp; promotions'!$B$6:$B$8)/100,0),2),J103)</f>
        <v>0.0</v>
      </c>
      <c r="I103" s="6">
        <f>ROUND((E103*G103-H103)/(1+'Settings'!$B$6/100),2)</f>
        <v>57.77</v>
      </c>
      <c r="J103" s="8">
        <v>0.0</v>
      </c>
      <c r="K103" s="3" t="inlineStr">
        <is>
          <t xml:space="preserve">TRUE</t>
        </is>
      </c>
      <c r="L103" s="3"/>
    </row>
    <row r="104">
      <c r="A104" s="3" t="inlineStr">
        <is>
          <t xml:space="preserve">#1072</t>
        </is>
      </c>
      <c r="B104" s="3" t="inlineStr">
        <is>
          <t xml:space="preserve">2025-11-17</t>
        </is>
      </c>
      <c r="C104" s="3" t="inlineStr">
        <is>
          <t xml:space="preserve">SKU-E</t>
        </is>
      </c>
      <c r="D104" s="3" t="inlineStr">
        <is>
          <t xml:space="preserve">Complete Ritual</t>
        </is>
      </c>
      <c r="E104" s="6">
        <f>IF('Settings'!$B$11="Scenario",IFERROR(INDEX('Catalogue'!$E$3:$E$100,MATCH(C104,'Catalogue'!$B$3:$B$100,0)),F104),F104)</f>
        <v>89</v>
      </c>
      <c r="F104" s="8">
        <v>89</v>
      </c>
      <c r="G104" s="3">
        <v>1</v>
      </c>
      <c r="H104" s="6">
        <f>IF('Settings'!$B$11="Scenario",ROUND(E104*G104*IFERROR(SUMIF('Pricing &amp; promotions'!$A$6:$A$8,L104,'Pricing &amp; promotions'!$B$6:$B$8)/100,0),2),J104)</f>
        <v>0.0</v>
      </c>
      <c r="I104" s="6">
        <f>ROUND((E104*G104-H104)/(1+'Settings'!$B$6/100),2)</f>
        <v>73.55</v>
      </c>
      <c r="J104" s="8">
        <v>0.0</v>
      </c>
      <c r="K104" s="3" t="inlineStr">
        <is>
          <t xml:space="preserve">TRUE</t>
        </is>
      </c>
      <c r="L104" s="3"/>
    </row>
    <row r="105">
      <c r="A105" s="3" t="inlineStr">
        <is>
          <t xml:space="preserve">#1073</t>
        </is>
      </c>
      <c r="B105" s="3" t="inlineStr">
        <is>
          <t xml:space="preserve">2025-11-18</t>
        </is>
      </c>
      <c r="C105" s="3" t="inlineStr">
        <is>
          <t xml:space="preserve">SKU-A</t>
        </is>
      </c>
      <c r="D105" s="3" t="inlineStr">
        <is>
          <t xml:space="preserve">Renewal Serum</t>
        </is>
      </c>
      <c r="E105" s="6">
        <f>IF('Settings'!$B$11="Scenario",IFERROR(INDEX('Catalogue'!$E$3:$E$100,MATCH(C105,'Catalogue'!$B$3:$B$100,0)),F105),F105)</f>
        <v>69.9</v>
      </c>
      <c r="F105" s="8">
        <v>64</v>
      </c>
      <c r="G105" s="3">
        <v>2</v>
      </c>
      <c r="H105" s="6">
        <f>IF('Settings'!$B$11="Scenario",ROUND(E105*G105*IFERROR(SUMIF('Pricing &amp; promotions'!$A$6:$A$8,L105,'Pricing &amp; promotions'!$B$6:$B$8)/100,0),2),J105)</f>
        <v>0.0</v>
      </c>
      <c r="I105" s="6">
        <f>ROUND((E105*G105-H105)/(1+'Settings'!$B$6/100),2)</f>
        <v>115.54</v>
      </c>
      <c r="J105" s="8">
        <v>0.0</v>
      </c>
      <c r="K105" s="3" t="inlineStr">
        <is>
          <t xml:space="preserve">TRUE</t>
        </is>
      </c>
      <c r="L105" s="3"/>
    </row>
    <row r="106">
      <c r="A106" s="3" t="inlineStr">
        <is>
          <t xml:space="preserve">#1074</t>
        </is>
      </c>
      <c r="B106" s="3" t="inlineStr">
        <is>
          <t xml:space="preserve">2025-11-18</t>
        </is>
      </c>
      <c r="C106" s="3" t="inlineStr">
        <is>
          <t xml:space="preserve">SKU-A</t>
        </is>
      </c>
      <c r="D106" s="3" t="inlineStr">
        <is>
          <t xml:space="preserve">Renewal Serum</t>
        </is>
      </c>
      <c r="E106" s="6">
        <f>IF('Settings'!$B$11="Scenario",IFERROR(INDEX('Catalogue'!$E$3:$E$100,MATCH(C106,'Catalogue'!$B$3:$B$100,0)),F106),F106)</f>
        <v>69.9</v>
      </c>
      <c r="F106" s="8">
        <v>64</v>
      </c>
      <c r="G106" s="3">
        <v>1</v>
      </c>
      <c r="H106" s="6">
        <f>IF('Settings'!$B$11="Scenario",ROUND(E106*G106*IFERROR(SUMIF('Pricing &amp; promotions'!$A$6:$A$8,L106,'Pricing &amp; promotions'!$B$6:$B$8)/100,0),2),J106)</f>
        <v>0.0</v>
      </c>
      <c r="I106" s="6">
        <f>ROUND((E106*G106-H106)/(1+'Settings'!$B$6/100),2)</f>
        <v>57.77</v>
      </c>
      <c r="J106" s="8">
        <v>0.0</v>
      </c>
      <c r="K106" s="3" t="inlineStr">
        <is>
          <t xml:space="preserve">TRUE</t>
        </is>
      </c>
      <c r="L106" s="3"/>
    </row>
    <row r="107">
      <c r="A107" s="3" t="inlineStr">
        <is>
          <t xml:space="preserve">#1074</t>
        </is>
      </c>
      <c r="B107" s="3" t="inlineStr">
        <is>
          <t xml:space="preserve">2025-11-18</t>
        </is>
      </c>
      <c r="C107" s="3" t="inlineStr">
        <is>
          <t xml:space="preserve">SKU-F</t>
        </is>
      </c>
      <c r="D107" s="3" t="inlineStr">
        <is>
          <t xml:space="preserve">Cloud Cleanser</t>
        </is>
      </c>
      <c r="E107" s="6">
        <f>IF('Settings'!$B$11="Scenario",IFERROR(INDEX('Catalogue'!$E$3:$E$100,MATCH(C107,'Catalogue'!$B$3:$B$100,0)),F107),F107)</f>
        <v>34</v>
      </c>
      <c r="F107" s="8">
        <v>34</v>
      </c>
      <c r="G107" s="3">
        <v>1</v>
      </c>
      <c r="H107" s="6">
        <f>IF('Settings'!$B$11="Scenario",ROUND(E107*G107*IFERROR(SUMIF('Pricing &amp; promotions'!$A$6:$A$8,L107,'Pricing &amp; promotions'!$B$6:$B$8)/100,0),2),J107)</f>
        <v>0.0</v>
      </c>
      <c r="I107" s="6">
        <f>ROUND((E107*G107-H107)/(1+'Settings'!$B$6/100),2)</f>
        <v>28.1</v>
      </c>
      <c r="J107" s="8">
        <v>0.0</v>
      </c>
      <c r="K107" s="3" t="inlineStr">
        <is>
          <t xml:space="preserve">TRUE</t>
        </is>
      </c>
      <c r="L107" s="3"/>
    </row>
    <row r="108">
      <c r="A108" s="3" t="inlineStr">
        <is>
          <t xml:space="preserve">#1075</t>
        </is>
      </c>
      <c r="B108" s="3" t="inlineStr">
        <is>
          <t xml:space="preserve">2025-11-18</t>
        </is>
      </c>
      <c r="C108" s="3" t="inlineStr">
        <is>
          <t xml:space="preserve">SKU-D</t>
        </is>
      </c>
      <c r="D108" s="3" t="inlineStr">
        <is>
          <t xml:space="preserve">Daily Duo</t>
        </is>
      </c>
      <c r="E108" s="6">
        <f>IF('Settings'!$B$11="Scenario",IFERROR(INDEX('Catalogue'!$E$3:$E$100,MATCH(C108,'Catalogue'!$B$3:$B$100,0)),F108),F108)</f>
        <v>79</v>
      </c>
      <c r="F108" s="8">
        <v>79</v>
      </c>
      <c r="G108" s="3">
        <v>1</v>
      </c>
      <c r="H108" s="6">
        <f>IF('Settings'!$B$11="Scenario",ROUND(E108*G108*IFERROR(SUMIF('Pricing &amp; promotions'!$A$6:$A$8,L108,'Pricing &amp; promotions'!$B$6:$B$8)/100,0),2),J108)</f>
        <v>0.0</v>
      </c>
      <c r="I108" s="6">
        <f>ROUND((E108*G108-H108)/(1+'Settings'!$B$6/100),2)</f>
        <v>65.29</v>
      </c>
      <c r="J108" s="8">
        <v>0.0</v>
      </c>
      <c r="K108" s="3" t="inlineStr">
        <is>
          <t xml:space="preserve">TRUE</t>
        </is>
      </c>
      <c r="L108" s="3"/>
    </row>
    <row r="109">
      <c r="A109" s="3" t="inlineStr">
        <is>
          <t xml:space="preserve">#1076</t>
        </is>
      </c>
      <c r="B109" s="3" t="inlineStr">
        <is>
          <t xml:space="preserve">2025-11-19</t>
        </is>
      </c>
      <c r="C109" s="3" t="inlineStr">
        <is>
          <t xml:space="preserve">SKU-D</t>
        </is>
      </c>
      <c r="D109" s="3" t="inlineStr">
        <is>
          <t xml:space="preserve">Daily Duo</t>
        </is>
      </c>
      <c r="E109" s="6">
        <f>IF('Settings'!$B$11="Scenario",IFERROR(INDEX('Catalogue'!$E$3:$E$100,MATCH(C109,'Catalogue'!$B$3:$B$100,0)),F109),F109)</f>
        <v>79</v>
      </c>
      <c r="F109" s="8">
        <v>79</v>
      </c>
      <c r="G109" s="3">
        <v>1</v>
      </c>
      <c r="H109" s="6">
        <f>IF('Settings'!$B$11="Scenario",ROUND(E109*G109*IFERROR(SUMIF('Pricing &amp; promotions'!$A$6:$A$8,L109,'Pricing &amp; promotions'!$B$6:$B$8)/100,0),2),J109)</f>
        <v>7.9</v>
      </c>
      <c r="I109" s="6">
        <f>ROUND((E109*G109-H109)/(1+'Settings'!$B$6/100),2)</f>
        <v>58.76</v>
      </c>
      <c r="J109" s="8">
        <v>7.9</v>
      </c>
      <c r="K109" s="3" t="inlineStr">
        <is>
          <t xml:space="preserve">TRUE</t>
        </is>
      </c>
      <c r="L109" s="3" t="inlineStr">
        <is>
          <t xml:space="preserve">WELCOME10</t>
        </is>
      </c>
    </row>
    <row r="110">
      <c r="A110" s="3" t="inlineStr">
        <is>
          <t xml:space="preserve">#1076</t>
        </is>
      </c>
      <c r="B110" s="3" t="inlineStr">
        <is>
          <t xml:space="preserve">2025-11-19</t>
        </is>
      </c>
      <c r="C110" s="3" t="inlineStr">
        <is>
          <t xml:space="preserve">SKU-G</t>
        </is>
      </c>
      <c r="D110" s="3" t="inlineStr">
        <is>
          <t xml:space="preserve">Daily Reset Set</t>
        </is>
      </c>
      <c r="E110" s="6">
        <f>IF('Settings'!$B$11="Scenario",IFERROR(INDEX('Catalogue'!$E$3:$E$100,MATCH(C110,'Catalogue'!$B$3:$B$100,0)),F110),F110)</f>
        <v>69</v>
      </c>
      <c r="F110" s="8">
        <v>69</v>
      </c>
      <c r="G110" s="3">
        <v>1</v>
      </c>
      <c r="H110" s="6">
        <f>IF('Settings'!$B$11="Scenario",ROUND(E110*G110*IFERROR(SUMIF('Pricing &amp; promotions'!$A$6:$A$8,L110,'Pricing &amp; promotions'!$B$6:$B$8)/100,0),2),J110)</f>
        <v>6.9</v>
      </c>
      <c r="I110" s="6">
        <f>ROUND((E110*G110-H110)/(1+'Settings'!$B$6/100),2)</f>
        <v>51.32</v>
      </c>
      <c r="J110" s="8">
        <v>6.9</v>
      </c>
      <c r="K110" s="3" t="inlineStr">
        <is>
          <t xml:space="preserve">TRUE</t>
        </is>
      </c>
      <c r="L110" s="3" t="inlineStr">
        <is>
          <t xml:space="preserve">WELCOME10</t>
        </is>
      </c>
    </row>
    <row r="111">
      <c r="A111" s="3" t="inlineStr">
        <is>
          <t xml:space="preserve">#1077</t>
        </is>
      </c>
      <c r="B111" s="3" t="inlineStr">
        <is>
          <t xml:space="preserve">2025-11-19</t>
        </is>
      </c>
      <c r="C111" s="3" t="inlineStr">
        <is>
          <t xml:space="preserve">SKU-B</t>
        </is>
      </c>
      <c r="D111" s="3" t="inlineStr">
        <is>
          <t xml:space="preserve">Barrier Balm</t>
        </is>
      </c>
      <c r="E111" s="6">
        <f>IF('Settings'!$B$11="Scenario",IFERROR(INDEX('Catalogue'!$E$3:$E$100,MATCH(C111,'Catalogue'!$B$3:$B$100,0)),F111),F111)</f>
        <v>19</v>
      </c>
      <c r="F111" s="8">
        <v>18</v>
      </c>
      <c r="G111" s="3">
        <v>1</v>
      </c>
      <c r="H111" s="6">
        <f>IF('Settings'!$B$11="Scenario",ROUND(E111*G111*IFERROR(SUMIF('Pricing &amp; promotions'!$A$6:$A$8,L111,'Pricing &amp; promotions'!$B$6:$B$8)/100,0),2),J111)</f>
        <v>0.0</v>
      </c>
      <c r="I111" s="6">
        <f>ROUND((E111*G111-H111)/(1+'Settings'!$B$6/100),2)</f>
        <v>15.7</v>
      </c>
      <c r="J111" s="8">
        <v>0.0</v>
      </c>
      <c r="K111" s="3" t="inlineStr">
        <is>
          <t xml:space="preserve">TRUE</t>
        </is>
      </c>
      <c r="L111" s="3"/>
    </row>
    <row r="112">
      <c r="A112" s="3" t="inlineStr">
        <is>
          <t xml:space="preserve">#1078</t>
        </is>
      </c>
      <c r="B112" s="3" t="inlineStr">
        <is>
          <t xml:space="preserve">2025-11-19</t>
        </is>
      </c>
      <c r="C112" s="3" t="inlineStr">
        <is>
          <t xml:space="preserve">SKU-D</t>
        </is>
      </c>
      <c r="D112" s="3" t="inlineStr">
        <is>
          <t xml:space="preserve">Daily Duo</t>
        </is>
      </c>
      <c r="E112" s="6">
        <f>IF('Settings'!$B$11="Scenario",IFERROR(INDEX('Catalogue'!$E$3:$E$100,MATCH(C112,'Catalogue'!$B$3:$B$100,0)),F112),F112)</f>
        <v>79</v>
      </c>
      <c r="F112" s="8">
        <v>79</v>
      </c>
      <c r="G112" s="3">
        <v>2</v>
      </c>
      <c r="H112" s="6">
        <f>IF('Settings'!$B$11="Scenario",ROUND(E112*G112*IFERROR(SUMIF('Pricing &amp; promotions'!$A$6:$A$8,L112,'Pricing &amp; promotions'!$B$6:$B$8)/100,0),2),J112)</f>
        <v>0.0</v>
      </c>
      <c r="I112" s="6">
        <f>ROUND((E112*G112-H112)/(1+'Settings'!$B$6/100),2)</f>
        <v>130.58</v>
      </c>
      <c r="J112" s="8">
        <v>0.0</v>
      </c>
      <c r="K112" s="3" t="inlineStr">
        <is>
          <t xml:space="preserve">TRUE</t>
        </is>
      </c>
      <c r="L112" s="3"/>
    </row>
    <row r="113">
      <c r="A113" s="3" t="inlineStr">
        <is>
          <t xml:space="preserve">#1078</t>
        </is>
      </c>
      <c r="B113" s="3" t="inlineStr">
        <is>
          <t xml:space="preserve">2025-11-19</t>
        </is>
      </c>
      <c r="C113" s="3" t="inlineStr">
        <is>
          <t xml:space="preserve">SKU-E</t>
        </is>
      </c>
      <c r="D113" s="3" t="inlineStr">
        <is>
          <t xml:space="preserve">Complete Ritual</t>
        </is>
      </c>
      <c r="E113" s="6">
        <f>IF('Settings'!$B$11="Scenario",IFERROR(INDEX('Catalogue'!$E$3:$E$100,MATCH(C113,'Catalogue'!$B$3:$B$100,0)),F113),F113)</f>
        <v>89</v>
      </c>
      <c r="F113" s="8">
        <v>89</v>
      </c>
      <c r="G113" s="3">
        <v>1</v>
      </c>
      <c r="H113" s="6">
        <f>IF('Settings'!$B$11="Scenario",ROUND(E113*G113*IFERROR(SUMIF('Pricing &amp; promotions'!$A$6:$A$8,L113,'Pricing &amp; promotions'!$B$6:$B$8)/100,0),2),J113)</f>
        <v>0.0</v>
      </c>
      <c r="I113" s="6">
        <f>ROUND((E113*G113-H113)/(1+'Settings'!$B$6/100),2)</f>
        <v>73.55</v>
      </c>
      <c r="J113" s="8">
        <v>0.0</v>
      </c>
      <c r="K113" s="3" t="inlineStr">
        <is>
          <t xml:space="preserve">TRUE</t>
        </is>
      </c>
      <c r="L113" s="3"/>
    </row>
    <row r="114">
      <c r="A114" s="3" t="inlineStr">
        <is>
          <t xml:space="preserve">#1079</t>
        </is>
      </c>
      <c r="B114" s="3" t="inlineStr">
        <is>
          <t xml:space="preserve">2025-11-19</t>
        </is>
      </c>
      <c r="C114" s="3" t="inlineStr">
        <is>
          <t xml:space="preserve">SKU-C</t>
        </is>
      </c>
      <c r="D114" s="3" t="inlineStr">
        <is>
          <t xml:space="preserve">Contour Stone</t>
        </is>
      </c>
      <c r="E114" s="6">
        <f>IF('Settings'!$B$11="Scenario",IFERROR(INDEX('Catalogue'!$E$3:$E$100,MATCH(C114,'Catalogue'!$B$3:$B$100,0)),F114),F114)</f>
        <v>29</v>
      </c>
      <c r="F114" s="8">
        <v>29</v>
      </c>
      <c r="G114" s="3">
        <v>1</v>
      </c>
      <c r="H114" s="6">
        <f>IF('Settings'!$B$11="Scenario",ROUND(E114*G114*IFERROR(SUMIF('Pricing &amp; promotions'!$A$6:$A$8,L114,'Pricing &amp; promotions'!$B$6:$B$8)/100,0),2),J114)</f>
        <v>0.0</v>
      </c>
      <c r="I114" s="6">
        <f>ROUND((E114*G114-H114)/(1+'Settings'!$B$6/100),2)</f>
        <v>23.97</v>
      </c>
      <c r="J114" s="8">
        <v>0.0</v>
      </c>
      <c r="K114" s="3" t="inlineStr">
        <is>
          <t xml:space="preserve">TRUE</t>
        </is>
      </c>
      <c r="L114" s="3"/>
    </row>
    <row r="115">
      <c r="A115" s="3" t="inlineStr">
        <is>
          <t xml:space="preserve">#1080</t>
        </is>
      </c>
      <c r="B115" s="3" t="inlineStr">
        <is>
          <t xml:space="preserve">2025-11-19</t>
        </is>
      </c>
      <c r="C115" s="3" t="inlineStr">
        <is>
          <t xml:space="preserve">SKU-B</t>
        </is>
      </c>
      <c r="D115" s="3" t="inlineStr">
        <is>
          <t xml:space="preserve">Barrier Balm</t>
        </is>
      </c>
      <c r="E115" s="6">
        <f>IF('Settings'!$B$11="Scenario",IFERROR(INDEX('Catalogue'!$E$3:$E$100,MATCH(C115,'Catalogue'!$B$3:$B$100,0)),F115),F115)</f>
        <v>19</v>
      </c>
      <c r="F115" s="8">
        <v>18</v>
      </c>
      <c r="G115" s="3">
        <v>1</v>
      </c>
      <c r="H115" s="6">
        <f>IF('Settings'!$B$11="Scenario",ROUND(E115*G115*IFERROR(SUMIF('Pricing &amp; promotions'!$A$6:$A$8,L115,'Pricing &amp; promotions'!$B$6:$B$8)/100,0),2),J115)</f>
        <v>0.0</v>
      </c>
      <c r="I115" s="6">
        <f>ROUND((E115*G115-H115)/(1+'Settings'!$B$6/100),2)</f>
        <v>15.7</v>
      </c>
      <c r="J115" s="8">
        <v>0.0</v>
      </c>
      <c r="K115" s="3" t="inlineStr">
        <is>
          <t xml:space="preserve">TRUE</t>
        </is>
      </c>
      <c r="L115" s="3"/>
    </row>
    <row r="116">
      <c r="A116" s="3" t="inlineStr">
        <is>
          <t xml:space="preserve">#1080</t>
        </is>
      </c>
      <c r="B116" s="3" t="inlineStr">
        <is>
          <t xml:space="preserve">2025-11-19</t>
        </is>
      </c>
      <c r="C116" s="3" t="inlineStr">
        <is>
          <t xml:space="preserve">SKU-G</t>
        </is>
      </c>
      <c r="D116" s="3" t="inlineStr">
        <is>
          <t xml:space="preserve">Daily Reset Set</t>
        </is>
      </c>
      <c r="E116" s="6">
        <f>IF('Settings'!$B$11="Scenario",IFERROR(INDEX('Catalogue'!$E$3:$E$100,MATCH(C116,'Catalogue'!$B$3:$B$100,0)),F116),F116)</f>
        <v>69</v>
      </c>
      <c r="F116" s="8">
        <v>69</v>
      </c>
      <c r="G116" s="3">
        <v>1</v>
      </c>
      <c r="H116" s="6">
        <f>IF('Settings'!$B$11="Scenario",ROUND(E116*G116*IFERROR(SUMIF('Pricing &amp; promotions'!$A$6:$A$8,L116,'Pricing &amp; promotions'!$B$6:$B$8)/100,0),2),J116)</f>
        <v>0.0</v>
      </c>
      <c r="I116" s="6">
        <f>ROUND((E116*G116-H116)/(1+'Settings'!$B$6/100),2)</f>
        <v>57.02</v>
      </c>
      <c r="J116" s="8">
        <v>0.0</v>
      </c>
      <c r="K116" s="3" t="inlineStr">
        <is>
          <t xml:space="preserve">TRUE</t>
        </is>
      </c>
      <c r="L116" s="3"/>
    </row>
    <row r="117">
      <c r="A117" s="3" t="inlineStr">
        <is>
          <t xml:space="preserve">#1081</t>
        </is>
      </c>
      <c r="B117" s="3" t="inlineStr">
        <is>
          <t xml:space="preserve">2025-11-19</t>
        </is>
      </c>
      <c r="C117" s="3" t="inlineStr">
        <is>
          <t xml:space="preserve">SKU-D</t>
        </is>
      </c>
      <c r="D117" s="3" t="inlineStr">
        <is>
          <t xml:space="preserve">Daily Duo</t>
        </is>
      </c>
      <c r="E117" s="6">
        <f>IF('Settings'!$B$11="Scenario",IFERROR(INDEX('Catalogue'!$E$3:$E$100,MATCH(C117,'Catalogue'!$B$3:$B$100,0)),F117),F117)</f>
        <v>79</v>
      </c>
      <c r="F117" s="8">
        <v>79</v>
      </c>
      <c r="G117" s="3">
        <v>1</v>
      </c>
      <c r="H117" s="6">
        <f>IF('Settings'!$B$11="Scenario",ROUND(E117*G117*IFERROR(SUMIF('Pricing &amp; promotions'!$A$6:$A$8,L117,'Pricing &amp; promotions'!$B$6:$B$8)/100,0),2),J117)</f>
        <v>11.85</v>
      </c>
      <c r="I117" s="6">
        <f>ROUND((E117*G117-H117)/(1+'Settings'!$B$6/100),2)</f>
        <v>55.5</v>
      </c>
      <c r="J117" s="8">
        <v>11.85</v>
      </c>
      <c r="K117" s="3" t="inlineStr">
        <is>
          <t xml:space="preserve">TRUE</t>
        </is>
      </c>
      <c r="L117" s="3" t="inlineStr">
        <is>
          <t xml:space="preserve">SUMMER15</t>
        </is>
      </c>
    </row>
    <row r="118">
      <c r="A118" s="3" t="inlineStr">
        <is>
          <t xml:space="preserve">#1081</t>
        </is>
      </c>
      <c r="B118" s="3" t="inlineStr">
        <is>
          <t xml:space="preserve">2025-11-19</t>
        </is>
      </c>
      <c r="C118" s="3" t="inlineStr">
        <is>
          <t xml:space="preserve">SKU-A</t>
        </is>
      </c>
      <c r="D118" s="3" t="inlineStr">
        <is>
          <t xml:space="preserve">Renewal Serum</t>
        </is>
      </c>
      <c r="E118" s="6">
        <f>IF('Settings'!$B$11="Scenario",IFERROR(INDEX('Catalogue'!$E$3:$E$100,MATCH(C118,'Catalogue'!$B$3:$B$100,0)),F118),F118)</f>
        <v>69.9</v>
      </c>
      <c r="F118" s="8">
        <v>64</v>
      </c>
      <c r="G118" s="3">
        <v>1</v>
      </c>
      <c r="H118" s="6">
        <f>IF('Settings'!$B$11="Scenario",ROUND(E118*G118*IFERROR(SUMIF('Pricing &amp; promotions'!$A$6:$A$8,L118,'Pricing &amp; promotions'!$B$6:$B$8)/100,0),2),J118)</f>
        <v>10.49</v>
      </c>
      <c r="I118" s="6">
        <f>ROUND((E118*G118-H118)/(1+'Settings'!$B$6/100),2)</f>
        <v>49.1</v>
      </c>
      <c r="J118" s="8">
        <v>9.6</v>
      </c>
      <c r="K118" s="3" t="inlineStr">
        <is>
          <t xml:space="preserve">TRUE</t>
        </is>
      </c>
      <c r="L118" s="3" t="inlineStr">
        <is>
          <t xml:space="preserve">SUMMER15</t>
        </is>
      </c>
    </row>
    <row r="119">
      <c r="A119" s="3" t="inlineStr">
        <is>
          <t xml:space="preserve">#1082</t>
        </is>
      </c>
      <c r="B119" s="3" t="inlineStr">
        <is>
          <t xml:space="preserve">2025-11-19</t>
        </is>
      </c>
      <c r="C119" s="3" t="inlineStr">
        <is>
          <t xml:space="preserve">SKU-D</t>
        </is>
      </c>
      <c r="D119" s="3" t="inlineStr">
        <is>
          <t xml:space="preserve">Daily Duo</t>
        </is>
      </c>
      <c r="E119" s="6">
        <f>IF('Settings'!$B$11="Scenario",IFERROR(INDEX('Catalogue'!$E$3:$E$100,MATCH(C119,'Catalogue'!$B$3:$B$100,0)),F119),F119)</f>
        <v>79</v>
      </c>
      <c r="F119" s="8">
        <v>79</v>
      </c>
      <c r="G119" s="3">
        <v>1</v>
      </c>
      <c r="H119" s="6">
        <f>IF('Settings'!$B$11="Scenario",ROUND(E119*G119*IFERROR(SUMIF('Pricing &amp; promotions'!$A$6:$A$8,L119,'Pricing &amp; promotions'!$B$6:$B$8)/100,0),2),J119)</f>
        <v>0.0</v>
      </c>
      <c r="I119" s="6">
        <f>ROUND((E119*G119-H119)/(1+'Settings'!$B$6/100),2)</f>
        <v>65.29</v>
      </c>
      <c r="J119" s="8">
        <v>0.0</v>
      </c>
      <c r="K119" s="3" t="inlineStr">
        <is>
          <t xml:space="preserve">TRUE</t>
        </is>
      </c>
      <c r="L119" s="3"/>
    </row>
    <row r="120">
      <c r="A120" s="3" t="inlineStr">
        <is>
          <t xml:space="preserve">#1082</t>
        </is>
      </c>
      <c r="B120" s="3" t="inlineStr">
        <is>
          <t xml:space="preserve">2025-11-19</t>
        </is>
      </c>
      <c r="C120" s="3" t="inlineStr">
        <is>
          <t xml:space="preserve">SKU-E</t>
        </is>
      </c>
      <c r="D120" s="3" t="inlineStr">
        <is>
          <t xml:space="preserve">Complete Ritual</t>
        </is>
      </c>
      <c r="E120" s="6">
        <f>IF('Settings'!$B$11="Scenario",IFERROR(INDEX('Catalogue'!$E$3:$E$100,MATCH(C120,'Catalogue'!$B$3:$B$100,0)),F120),F120)</f>
        <v>89</v>
      </c>
      <c r="F120" s="8">
        <v>89</v>
      </c>
      <c r="G120" s="3">
        <v>1</v>
      </c>
      <c r="H120" s="6">
        <f>IF('Settings'!$B$11="Scenario",ROUND(E120*G120*IFERROR(SUMIF('Pricing &amp; promotions'!$A$6:$A$8,L120,'Pricing &amp; promotions'!$B$6:$B$8)/100,0),2),J120)</f>
        <v>0.0</v>
      </c>
      <c r="I120" s="6">
        <f>ROUND((E120*G120-H120)/(1+'Settings'!$B$6/100),2)</f>
        <v>73.55</v>
      </c>
      <c r="J120" s="8">
        <v>0.0</v>
      </c>
      <c r="K120" s="3" t="inlineStr">
        <is>
          <t xml:space="preserve">TRUE</t>
        </is>
      </c>
      <c r="L120" s="3"/>
    </row>
    <row r="121">
      <c r="A121" s="3" t="inlineStr">
        <is>
          <t xml:space="preserve">#1083</t>
        </is>
      </c>
      <c r="B121" s="3" t="inlineStr">
        <is>
          <t xml:space="preserve">2025-11-20</t>
        </is>
      </c>
      <c r="C121" s="3" t="inlineStr">
        <is>
          <t xml:space="preserve">SKU-G</t>
        </is>
      </c>
      <c r="D121" s="3" t="inlineStr">
        <is>
          <t xml:space="preserve">Daily Reset Set</t>
        </is>
      </c>
      <c r="E121" s="6">
        <f>IF('Settings'!$B$11="Scenario",IFERROR(INDEX('Catalogue'!$E$3:$E$100,MATCH(C121,'Catalogue'!$B$3:$B$100,0)),F121),F121)</f>
        <v>69</v>
      </c>
      <c r="F121" s="8">
        <v>69</v>
      </c>
      <c r="G121" s="3">
        <v>1</v>
      </c>
      <c r="H121" s="6">
        <f>IF('Settings'!$B$11="Scenario",ROUND(E121*G121*IFERROR(SUMIF('Pricing &amp; promotions'!$A$6:$A$8,L121,'Pricing &amp; promotions'!$B$6:$B$8)/100,0),2),J121)</f>
        <v>10.35</v>
      </c>
      <c r="I121" s="6">
        <f>ROUND((E121*G121-H121)/(1+'Settings'!$B$6/100),2)</f>
        <v>48.47</v>
      </c>
      <c r="J121" s="8">
        <v>10.35</v>
      </c>
      <c r="K121" s="3" t="inlineStr">
        <is>
          <t xml:space="preserve">TRUE</t>
        </is>
      </c>
      <c r="L121" s="3" t="inlineStr">
        <is>
          <t xml:space="preserve">SUMMER15</t>
        </is>
      </c>
    </row>
    <row r="122">
      <c r="A122" s="3" t="inlineStr">
        <is>
          <t xml:space="preserve">#1083</t>
        </is>
      </c>
      <c r="B122" s="3" t="inlineStr">
        <is>
          <t xml:space="preserve">2025-11-20</t>
        </is>
      </c>
      <c r="C122" s="3" t="inlineStr">
        <is>
          <t xml:space="preserve">SKU-F</t>
        </is>
      </c>
      <c r="D122" s="3" t="inlineStr">
        <is>
          <t xml:space="preserve">Cloud Cleanser</t>
        </is>
      </c>
      <c r="E122" s="6">
        <f>IF('Settings'!$B$11="Scenario",IFERROR(INDEX('Catalogue'!$E$3:$E$100,MATCH(C122,'Catalogue'!$B$3:$B$100,0)),F122),F122)</f>
        <v>34</v>
      </c>
      <c r="F122" s="8">
        <v>34</v>
      </c>
      <c r="G122" s="3">
        <v>1</v>
      </c>
      <c r="H122" s="6">
        <f>IF('Settings'!$B$11="Scenario",ROUND(E122*G122*IFERROR(SUMIF('Pricing &amp; promotions'!$A$6:$A$8,L122,'Pricing &amp; promotions'!$B$6:$B$8)/100,0),2),J122)</f>
        <v>5.1</v>
      </c>
      <c r="I122" s="6">
        <f>ROUND((E122*G122-H122)/(1+'Settings'!$B$6/100),2)</f>
        <v>23.88</v>
      </c>
      <c r="J122" s="8">
        <v>5.1</v>
      </c>
      <c r="K122" s="3" t="inlineStr">
        <is>
          <t xml:space="preserve">TRUE</t>
        </is>
      </c>
      <c r="L122" s="3" t="inlineStr">
        <is>
          <t xml:space="preserve">SUMMER15</t>
        </is>
      </c>
    </row>
    <row r="123">
      <c r="A123" s="3" t="inlineStr">
        <is>
          <t xml:space="preserve">#1084</t>
        </is>
      </c>
      <c r="B123" s="3" t="inlineStr">
        <is>
          <t xml:space="preserve">2025-11-20</t>
        </is>
      </c>
      <c r="C123" s="3" t="inlineStr">
        <is>
          <t xml:space="preserve">SKU-A</t>
        </is>
      </c>
      <c r="D123" s="3" t="inlineStr">
        <is>
          <t xml:space="preserve">Renewal Serum</t>
        </is>
      </c>
      <c r="E123" s="6">
        <f>IF('Settings'!$B$11="Scenario",IFERROR(INDEX('Catalogue'!$E$3:$E$100,MATCH(C123,'Catalogue'!$B$3:$B$100,0)),F123),F123)</f>
        <v>69.9</v>
      </c>
      <c r="F123" s="8">
        <v>64</v>
      </c>
      <c r="G123" s="3">
        <v>1</v>
      </c>
      <c r="H123" s="6">
        <f>IF('Settings'!$B$11="Scenario",ROUND(E123*G123*IFERROR(SUMIF('Pricing &amp; promotions'!$A$6:$A$8,L123,'Pricing &amp; promotions'!$B$6:$B$8)/100,0),2),J123)</f>
        <v>6.99</v>
      </c>
      <c r="I123" s="6">
        <f>ROUND((E123*G123-H123)/(1+'Settings'!$B$6/100),2)</f>
        <v>51.99</v>
      </c>
      <c r="J123" s="8">
        <v>6.4</v>
      </c>
      <c r="K123" s="3" t="inlineStr">
        <is>
          <t xml:space="preserve">TRUE</t>
        </is>
      </c>
      <c r="L123" s="3" t="inlineStr">
        <is>
          <t xml:space="preserve">WELCOME10</t>
        </is>
      </c>
    </row>
    <row r="124">
      <c r="A124" s="3" t="inlineStr">
        <is>
          <t xml:space="preserve">#1085</t>
        </is>
      </c>
      <c r="B124" s="3" t="inlineStr">
        <is>
          <t xml:space="preserve">2025-11-20</t>
        </is>
      </c>
      <c r="C124" s="3" t="inlineStr">
        <is>
          <t xml:space="preserve">SKU-C</t>
        </is>
      </c>
      <c r="D124" s="3" t="inlineStr">
        <is>
          <t xml:space="preserve">Contour Stone</t>
        </is>
      </c>
      <c r="E124" s="6">
        <f>IF('Settings'!$B$11="Scenario",IFERROR(INDEX('Catalogue'!$E$3:$E$100,MATCH(C124,'Catalogue'!$B$3:$B$100,0)),F124),F124)</f>
        <v>29</v>
      </c>
      <c r="F124" s="8">
        <v>29</v>
      </c>
      <c r="G124" s="3">
        <v>1</v>
      </c>
      <c r="H124" s="6">
        <f>IF('Settings'!$B$11="Scenario",ROUND(E124*G124*IFERROR(SUMIF('Pricing &amp; promotions'!$A$6:$A$8,L124,'Pricing &amp; promotions'!$B$6:$B$8)/100,0),2),J124)</f>
        <v>0.0</v>
      </c>
      <c r="I124" s="6">
        <f>ROUND((E124*G124-H124)/(1+'Settings'!$B$6/100),2)</f>
        <v>23.97</v>
      </c>
      <c r="J124" s="8">
        <v>0.0</v>
      </c>
      <c r="K124" s="3" t="inlineStr">
        <is>
          <t xml:space="preserve">TRUE</t>
        </is>
      </c>
      <c r="L124" s="3"/>
    </row>
    <row r="125">
      <c r="A125" s="3" t="inlineStr">
        <is>
          <t xml:space="preserve">#1086</t>
        </is>
      </c>
      <c r="B125" s="3" t="inlineStr">
        <is>
          <t xml:space="preserve">2025-11-21</t>
        </is>
      </c>
      <c r="C125" s="3" t="inlineStr">
        <is>
          <t xml:space="preserve">SKU-B</t>
        </is>
      </c>
      <c r="D125" s="3" t="inlineStr">
        <is>
          <t xml:space="preserve">Barrier Balm</t>
        </is>
      </c>
      <c r="E125" s="6">
        <f>IF('Settings'!$B$11="Scenario",IFERROR(INDEX('Catalogue'!$E$3:$E$100,MATCH(C125,'Catalogue'!$B$3:$B$100,0)),F125),F125)</f>
        <v>19</v>
      </c>
      <c r="F125" s="8">
        <v>18</v>
      </c>
      <c r="G125" s="3">
        <v>1</v>
      </c>
      <c r="H125" s="6">
        <f>IF('Settings'!$B$11="Scenario",ROUND(E125*G125*IFERROR(SUMIF('Pricing &amp; promotions'!$A$6:$A$8,L125,'Pricing &amp; promotions'!$B$6:$B$8)/100,0),2),J125)</f>
        <v>0.0</v>
      </c>
      <c r="I125" s="6">
        <f>ROUND((E125*G125-H125)/(1+'Settings'!$B$6/100),2)</f>
        <v>15.7</v>
      </c>
      <c r="J125" s="8">
        <v>0.0</v>
      </c>
      <c r="K125" s="3" t="inlineStr">
        <is>
          <t xml:space="preserve">TRUE</t>
        </is>
      </c>
      <c r="L125" s="3"/>
    </row>
    <row r="126">
      <c r="A126" s="3" t="inlineStr">
        <is>
          <t xml:space="preserve">#1086</t>
        </is>
      </c>
      <c r="B126" s="3" t="inlineStr">
        <is>
          <t xml:space="preserve">2025-11-21</t>
        </is>
      </c>
      <c r="C126" s="3" t="inlineStr">
        <is>
          <t xml:space="preserve">SKU-A</t>
        </is>
      </c>
      <c r="D126" s="3" t="inlineStr">
        <is>
          <t xml:space="preserve">Renewal Serum</t>
        </is>
      </c>
      <c r="E126" s="6">
        <f>IF('Settings'!$B$11="Scenario",IFERROR(INDEX('Catalogue'!$E$3:$E$100,MATCH(C126,'Catalogue'!$B$3:$B$100,0)),F126),F126)</f>
        <v>69.9</v>
      </c>
      <c r="F126" s="8">
        <v>64</v>
      </c>
      <c r="G126" s="3">
        <v>1</v>
      </c>
      <c r="H126" s="6">
        <f>IF('Settings'!$B$11="Scenario",ROUND(E126*G126*IFERROR(SUMIF('Pricing &amp; promotions'!$A$6:$A$8,L126,'Pricing &amp; promotions'!$B$6:$B$8)/100,0),2),J126)</f>
        <v>0.0</v>
      </c>
      <c r="I126" s="6">
        <f>ROUND((E126*G126-H126)/(1+'Settings'!$B$6/100),2)</f>
        <v>57.77</v>
      </c>
      <c r="J126" s="8">
        <v>0.0</v>
      </c>
      <c r="K126" s="3" t="inlineStr">
        <is>
          <t xml:space="preserve">TRUE</t>
        </is>
      </c>
      <c r="L126" s="3"/>
    </row>
    <row r="127">
      <c r="A127" s="3" t="inlineStr">
        <is>
          <t xml:space="preserve">#1087</t>
        </is>
      </c>
      <c r="B127" s="3" t="inlineStr">
        <is>
          <t xml:space="preserve">2025-11-21</t>
        </is>
      </c>
      <c r="C127" s="3" t="inlineStr">
        <is>
          <t xml:space="preserve">SKU-D</t>
        </is>
      </c>
      <c r="D127" s="3" t="inlineStr">
        <is>
          <t xml:space="preserve">Daily Duo</t>
        </is>
      </c>
      <c r="E127" s="6">
        <f>IF('Settings'!$B$11="Scenario",IFERROR(INDEX('Catalogue'!$E$3:$E$100,MATCH(C127,'Catalogue'!$B$3:$B$100,0)),F127),F127)</f>
        <v>79</v>
      </c>
      <c r="F127" s="8">
        <v>79</v>
      </c>
      <c r="G127" s="3">
        <v>1</v>
      </c>
      <c r="H127" s="6">
        <f>IF('Settings'!$B$11="Scenario",ROUND(E127*G127*IFERROR(SUMIF('Pricing &amp; promotions'!$A$6:$A$8,L127,'Pricing &amp; promotions'!$B$6:$B$8)/100,0),2),J127)</f>
        <v>0.0</v>
      </c>
      <c r="I127" s="6">
        <f>ROUND((E127*G127-H127)/(1+'Settings'!$B$6/100),2)</f>
        <v>65.29</v>
      </c>
      <c r="J127" s="8">
        <v>0.0</v>
      </c>
      <c r="K127" s="3" t="inlineStr">
        <is>
          <t xml:space="preserve">TRUE</t>
        </is>
      </c>
      <c r="L127" s="3"/>
    </row>
    <row r="128">
      <c r="A128" s="3" t="inlineStr">
        <is>
          <t xml:space="preserve">#1087</t>
        </is>
      </c>
      <c r="B128" s="3" t="inlineStr">
        <is>
          <t xml:space="preserve">2025-11-21</t>
        </is>
      </c>
      <c r="C128" s="3" t="inlineStr">
        <is>
          <t xml:space="preserve">SKU-A</t>
        </is>
      </c>
      <c r="D128" s="3" t="inlineStr">
        <is>
          <t xml:space="preserve">Renewal Serum</t>
        </is>
      </c>
      <c r="E128" s="6">
        <f>IF('Settings'!$B$11="Scenario",IFERROR(INDEX('Catalogue'!$E$3:$E$100,MATCH(C128,'Catalogue'!$B$3:$B$100,0)),F128),F128)</f>
        <v>69.9</v>
      </c>
      <c r="F128" s="8">
        <v>64</v>
      </c>
      <c r="G128" s="3">
        <v>1</v>
      </c>
      <c r="H128" s="6">
        <f>IF('Settings'!$B$11="Scenario",ROUND(E128*G128*IFERROR(SUMIF('Pricing &amp; promotions'!$A$6:$A$8,L128,'Pricing &amp; promotions'!$B$6:$B$8)/100,0),2),J128)</f>
        <v>0.0</v>
      </c>
      <c r="I128" s="6">
        <f>ROUND((E128*G128-H128)/(1+'Settings'!$B$6/100),2)</f>
        <v>57.77</v>
      </c>
      <c r="J128" s="8">
        <v>0.0</v>
      </c>
      <c r="K128" s="3" t="inlineStr">
        <is>
          <t xml:space="preserve">TRUE</t>
        </is>
      </c>
      <c r="L128" s="3"/>
    </row>
    <row r="129">
      <c r="A129" s="3" t="inlineStr">
        <is>
          <t xml:space="preserve">#1088</t>
        </is>
      </c>
      <c r="B129" s="3" t="inlineStr">
        <is>
          <t xml:space="preserve">2025-11-21</t>
        </is>
      </c>
      <c r="C129" s="3" t="inlineStr">
        <is>
          <t xml:space="preserve">SKU-E</t>
        </is>
      </c>
      <c r="D129" s="3" t="inlineStr">
        <is>
          <t xml:space="preserve">Complete Ritual</t>
        </is>
      </c>
      <c r="E129" s="6">
        <f>IF('Settings'!$B$11="Scenario",IFERROR(INDEX('Catalogue'!$E$3:$E$100,MATCH(C129,'Catalogue'!$B$3:$B$100,0)),F129),F129)</f>
        <v>89</v>
      </c>
      <c r="F129" s="8">
        <v>89</v>
      </c>
      <c r="G129" s="3">
        <v>1</v>
      </c>
      <c r="H129" s="6">
        <f>IF('Settings'!$B$11="Scenario",ROUND(E129*G129*IFERROR(SUMIF('Pricing &amp; promotions'!$A$6:$A$8,L129,'Pricing &amp; promotions'!$B$6:$B$8)/100,0),2),J129)</f>
        <v>13.35</v>
      </c>
      <c r="I129" s="6">
        <f>ROUND((E129*G129-H129)/(1+'Settings'!$B$6/100),2)</f>
        <v>62.52</v>
      </c>
      <c r="J129" s="8">
        <v>13.35</v>
      </c>
      <c r="K129" s="3" t="inlineStr">
        <is>
          <t xml:space="preserve">TRUE</t>
        </is>
      </c>
      <c r="L129" s="3" t="inlineStr">
        <is>
          <t xml:space="preserve">SUMMER15</t>
        </is>
      </c>
    </row>
    <row r="130">
      <c r="A130" s="3" t="inlineStr">
        <is>
          <t xml:space="preserve">#1088</t>
        </is>
      </c>
      <c r="B130" s="3" t="inlineStr">
        <is>
          <t xml:space="preserve">2025-11-21</t>
        </is>
      </c>
      <c r="C130" s="3" t="inlineStr">
        <is>
          <t xml:space="preserve">SKU-D</t>
        </is>
      </c>
      <c r="D130" s="3" t="inlineStr">
        <is>
          <t xml:space="preserve">Daily Duo</t>
        </is>
      </c>
      <c r="E130" s="6">
        <f>IF('Settings'!$B$11="Scenario",IFERROR(INDEX('Catalogue'!$E$3:$E$100,MATCH(C130,'Catalogue'!$B$3:$B$100,0)),F130),F130)</f>
        <v>79</v>
      </c>
      <c r="F130" s="8">
        <v>79</v>
      </c>
      <c r="G130" s="3">
        <v>1</v>
      </c>
      <c r="H130" s="6">
        <f>IF('Settings'!$B$11="Scenario",ROUND(E130*G130*IFERROR(SUMIF('Pricing &amp; promotions'!$A$6:$A$8,L130,'Pricing &amp; promotions'!$B$6:$B$8)/100,0),2),J130)</f>
        <v>11.85</v>
      </c>
      <c r="I130" s="6">
        <f>ROUND((E130*G130-H130)/(1+'Settings'!$B$6/100),2)</f>
        <v>55.5</v>
      </c>
      <c r="J130" s="8">
        <v>11.85</v>
      </c>
      <c r="K130" s="3" t="inlineStr">
        <is>
          <t xml:space="preserve">TRUE</t>
        </is>
      </c>
      <c r="L130" s="3" t="inlineStr">
        <is>
          <t xml:space="preserve">SUMMER15</t>
        </is>
      </c>
    </row>
    <row r="131">
      <c r="A131" s="3" t="inlineStr">
        <is>
          <t xml:space="preserve">#1089</t>
        </is>
      </c>
      <c r="B131" s="3" t="inlineStr">
        <is>
          <t xml:space="preserve">2025-11-21</t>
        </is>
      </c>
      <c r="C131" s="3" t="inlineStr">
        <is>
          <t xml:space="preserve">SKU-A</t>
        </is>
      </c>
      <c r="D131" s="3" t="inlineStr">
        <is>
          <t xml:space="preserve">Renewal Serum</t>
        </is>
      </c>
      <c r="E131" s="6">
        <f>IF('Settings'!$B$11="Scenario",IFERROR(INDEX('Catalogue'!$E$3:$E$100,MATCH(C131,'Catalogue'!$B$3:$B$100,0)),F131),F131)</f>
        <v>69.9</v>
      </c>
      <c r="F131" s="8">
        <v>64</v>
      </c>
      <c r="G131" s="3">
        <v>1</v>
      </c>
      <c r="H131" s="6">
        <f>IF('Settings'!$B$11="Scenario",ROUND(E131*G131*IFERROR(SUMIF('Pricing &amp; promotions'!$A$6:$A$8,L131,'Pricing &amp; promotions'!$B$6:$B$8)/100,0),2),J131)</f>
        <v>13.98</v>
      </c>
      <c r="I131" s="6">
        <f>ROUND((E131*G131-H131)/(1+'Settings'!$B$6/100),2)</f>
        <v>46.21</v>
      </c>
      <c r="J131" s="8">
        <v>12.8</v>
      </c>
      <c r="K131" s="3" t="inlineStr">
        <is>
          <t xml:space="preserve">TRUE</t>
        </is>
      </c>
      <c r="L131" s="3" t="inlineStr">
        <is>
          <t xml:space="preserve">VIP20</t>
        </is>
      </c>
    </row>
    <row r="132">
      <c r="A132" s="3" t="inlineStr">
        <is>
          <t xml:space="preserve">#1089</t>
        </is>
      </c>
      <c r="B132" s="3" t="inlineStr">
        <is>
          <t xml:space="preserve">2025-11-21</t>
        </is>
      </c>
      <c r="C132" s="3" t="inlineStr">
        <is>
          <t xml:space="preserve">SKU-G</t>
        </is>
      </c>
      <c r="D132" s="3" t="inlineStr">
        <is>
          <t xml:space="preserve">Daily Reset Set</t>
        </is>
      </c>
      <c r="E132" s="6">
        <f>IF('Settings'!$B$11="Scenario",IFERROR(INDEX('Catalogue'!$E$3:$E$100,MATCH(C132,'Catalogue'!$B$3:$B$100,0)),F132),F132)</f>
        <v>69</v>
      </c>
      <c r="F132" s="8">
        <v>69</v>
      </c>
      <c r="G132" s="3">
        <v>1</v>
      </c>
      <c r="H132" s="6">
        <f>IF('Settings'!$B$11="Scenario",ROUND(E132*G132*IFERROR(SUMIF('Pricing &amp; promotions'!$A$6:$A$8,L132,'Pricing &amp; promotions'!$B$6:$B$8)/100,0),2),J132)</f>
        <v>13.8</v>
      </c>
      <c r="I132" s="6">
        <f>ROUND((E132*G132-H132)/(1+'Settings'!$B$6/100),2)</f>
        <v>45.62</v>
      </c>
      <c r="J132" s="8">
        <v>13.8</v>
      </c>
      <c r="K132" s="3" t="inlineStr">
        <is>
          <t xml:space="preserve">TRUE</t>
        </is>
      </c>
      <c r="L132" s="3" t="inlineStr">
        <is>
          <t xml:space="preserve">VIP20</t>
        </is>
      </c>
    </row>
    <row r="133">
      <c r="A133" s="3" t="inlineStr">
        <is>
          <t xml:space="preserve">#1090</t>
        </is>
      </c>
      <c r="B133" s="3" t="inlineStr">
        <is>
          <t xml:space="preserve">2025-11-21</t>
        </is>
      </c>
      <c r="C133" s="3" t="inlineStr">
        <is>
          <t xml:space="preserve">SKU-A</t>
        </is>
      </c>
      <c r="D133" s="3" t="inlineStr">
        <is>
          <t xml:space="preserve">Renewal Serum</t>
        </is>
      </c>
      <c r="E133" s="6">
        <f>IF('Settings'!$B$11="Scenario",IFERROR(INDEX('Catalogue'!$E$3:$E$100,MATCH(C133,'Catalogue'!$B$3:$B$100,0)),F133),F133)</f>
        <v>69.9</v>
      </c>
      <c r="F133" s="8">
        <v>64</v>
      </c>
      <c r="G133" s="3">
        <v>2</v>
      </c>
      <c r="H133" s="6">
        <f>IF('Settings'!$B$11="Scenario",ROUND(E133*G133*IFERROR(SUMIF('Pricing &amp; promotions'!$A$6:$A$8,L133,'Pricing &amp; promotions'!$B$6:$B$8)/100,0),2),J133)</f>
        <v>0.0</v>
      </c>
      <c r="I133" s="6">
        <f>ROUND((E133*G133-H133)/(1+'Settings'!$B$6/100),2)</f>
        <v>115.54</v>
      </c>
      <c r="J133" s="8">
        <v>0.0</v>
      </c>
      <c r="K133" s="3" t="inlineStr">
        <is>
          <t xml:space="preserve">TRUE</t>
        </is>
      </c>
      <c r="L133" s="3"/>
    </row>
    <row r="134">
      <c r="A134" s="3" t="inlineStr">
        <is>
          <t xml:space="preserve">#1090</t>
        </is>
      </c>
      <c r="B134" s="3" t="inlineStr">
        <is>
          <t xml:space="preserve">2025-11-21</t>
        </is>
      </c>
      <c r="C134" s="3" t="inlineStr">
        <is>
          <t xml:space="preserve">SKU-C</t>
        </is>
      </c>
      <c r="D134" s="3" t="inlineStr">
        <is>
          <t xml:space="preserve">Contour Stone</t>
        </is>
      </c>
      <c r="E134" s="6">
        <f>IF('Settings'!$B$11="Scenario",IFERROR(INDEX('Catalogue'!$E$3:$E$100,MATCH(C134,'Catalogue'!$B$3:$B$100,0)),F134),F134)</f>
        <v>29</v>
      </c>
      <c r="F134" s="8">
        <v>29</v>
      </c>
      <c r="G134" s="3">
        <v>1</v>
      </c>
      <c r="H134" s="6">
        <f>IF('Settings'!$B$11="Scenario",ROUND(E134*G134*IFERROR(SUMIF('Pricing &amp; promotions'!$A$6:$A$8,L134,'Pricing &amp; promotions'!$B$6:$B$8)/100,0),2),J134)</f>
        <v>0.0</v>
      </c>
      <c r="I134" s="6">
        <f>ROUND((E134*G134-H134)/(1+'Settings'!$B$6/100),2)</f>
        <v>23.97</v>
      </c>
      <c r="J134" s="8">
        <v>0.0</v>
      </c>
      <c r="K134" s="3" t="inlineStr">
        <is>
          <t xml:space="preserve">TRUE</t>
        </is>
      </c>
      <c r="L134" s="3"/>
    </row>
    <row r="135">
      <c r="A135" s="3" t="inlineStr">
        <is>
          <t xml:space="preserve">#1090</t>
        </is>
      </c>
      <c r="B135" s="3" t="inlineStr">
        <is>
          <t xml:space="preserve">2025-11-21</t>
        </is>
      </c>
      <c r="C135" s="3" t="inlineStr">
        <is>
          <t xml:space="preserve">SKU-D</t>
        </is>
      </c>
      <c r="D135" s="3" t="inlineStr">
        <is>
          <t xml:space="preserve">Daily Duo</t>
        </is>
      </c>
      <c r="E135" s="6">
        <f>IF('Settings'!$B$11="Scenario",IFERROR(INDEX('Catalogue'!$E$3:$E$100,MATCH(C135,'Catalogue'!$B$3:$B$100,0)),F135),F135)</f>
        <v>79</v>
      </c>
      <c r="F135" s="8">
        <v>79</v>
      </c>
      <c r="G135" s="3">
        <v>1</v>
      </c>
      <c r="H135" s="6">
        <f>IF('Settings'!$B$11="Scenario",ROUND(E135*G135*IFERROR(SUMIF('Pricing &amp; promotions'!$A$6:$A$8,L135,'Pricing &amp; promotions'!$B$6:$B$8)/100,0),2),J135)</f>
        <v>0.0</v>
      </c>
      <c r="I135" s="6">
        <f>ROUND((E135*G135-H135)/(1+'Settings'!$B$6/100),2)</f>
        <v>65.29</v>
      </c>
      <c r="J135" s="8">
        <v>0.0</v>
      </c>
      <c r="K135" s="3" t="inlineStr">
        <is>
          <t xml:space="preserve">TRUE</t>
        </is>
      </c>
      <c r="L135" s="3"/>
    </row>
    <row r="136">
      <c r="A136" s="3" t="inlineStr">
        <is>
          <t xml:space="preserve">#1091</t>
        </is>
      </c>
      <c r="B136" s="3" t="inlineStr">
        <is>
          <t xml:space="preserve">2025-11-22</t>
        </is>
      </c>
      <c r="C136" s="3" t="inlineStr">
        <is>
          <t xml:space="preserve">SKU-D</t>
        </is>
      </c>
      <c r="D136" s="3" t="inlineStr">
        <is>
          <t xml:space="preserve">Daily Duo</t>
        </is>
      </c>
      <c r="E136" s="6">
        <f>IF('Settings'!$B$11="Scenario",IFERROR(INDEX('Catalogue'!$E$3:$E$100,MATCH(C136,'Catalogue'!$B$3:$B$100,0)),F136),F136)</f>
        <v>79</v>
      </c>
      <c r="F136" s="8">
        <v>79</v>
      </c>
      <c r="G136" s="3">
        <v>1</v>
      </c>
      <c r="H136" s="6">
        <f>IF('Settings'!$B$11="Scenario",ROUND(E136*G136*IFERROR(SUMIF('Pricing &amp; promotions'!$A$6:$A$8,L136,'Pricing &amp; promotions'!$B$6:$B$8)/100,0),2),J136)</f>
        <v>0.0</v>
      </c>
      <c r="I136" s="6">
        <f>ROUND((E136*G136-H136)/(1+'Settings'!$B$6/100),2)</f>
        <v>65.29</v>
      </c>
      <c r="J136" s="8">
        <v>0.0</v>
      </c>
      <c r="K136" s="3" t="inlineStr">
        <is>
          <t xml:space="preserve">TRUE</t>
        </is>
      </c>
      <c r="L136" s="3"/>
    </row>
    <row r="137">
      <c r="A137" s="3" t="inlineStr">
        <is>
          <t xml:space="preserve">#1091</t>
        </is>
      </c>
      <c r="B137" s="3" t="inlineStr">
        <is>
          <t xml:space="preserve">2025-11-22</t>
        </is>
      </c>
      <c r="C137" s="3" t="inlineStr">
        <is>
          <t xml:space="preserve">SKU-F</t>
        </is>
      </c>
      <c r="D137" s="3" t="inlineStr">
        <is>
          <t xml:space="preserve">Cloud Cleanser</t>
        </is>
      </c>
      <c r="E137" s="6">
        <f>IF('Settings'!$B$11="Scenario",IFERROR(INDEX('Catalogue'!$E$3:$E$100,MATCH(C137,'Catalogue'!$B$3:$B$100,0)),F137),F137)</f>
        <v>34</v>
      </c>
      <c r="F137" s="8">
        <v>34</v>
      </c>
      <c r="G137" s="3">
        <v>1</v>
      </c>
      <c r="H137" s="6">
        <f>IF('Settings'!$B$11="Scenario",ROUND(E137*G137*IFERROR(SUMIF('Pricing &amp; promotions'!$A$6:$A$8,L137,'Pricing &amp; promotions'!$B$6:$B$8)/100,0),2),J137)</f>
        <v>0.0</v>
      </c>
      <c r="I137" s="6">
        <f>ROUND((E137*G137-H137)/(1+'Settings'!$B$6/100),2)</f>
        <v>28.1</v>
      </c>
      <c r="J137" s="8">
        <v>0.0</v>
      </c>
      <c r="K137" s="3" t="inlineStr">
        <is>
          <t xml:space="preserve">TRUE</t>
        </is>
      </c>
      <c r="L137" s="3"/>
    </row>
    <row r="138">
      <c r="A138" s="3" t="inlineStr">
        <is>
          <t xml:space="preserve">#1092</t>
        </is>
      </c>
      <c r="B138" s="3" t="inlineStr">
        <is>
          <t xml:space="preserve">2025-11-22</t>
        </is>
      </c>
      <c r="C138" s="3" t="inlineStr">
        <is>
          <t xml:space="preserve">SKU-D</t>
        </is>
      </c>
      <c r="D138" s="3" t="inlineStr">
        <is>
          <t xml:space="preserve">Daily Duo</t>
        </is>
      </c>
      <c r="E138" s="6">
        <f>IF('Settings'!$B$11="Scenario",IFERROR(INDEX('Catalogue'!$E$3:$E$100,MATCH(C138,'Catalogue'!$B$3:$B$100,0)),F138),F138)</f>
        <v>79</v>
      </c>
      <c r="F138" s="8">
        <v>79</v>
      </c>
      <c r="G138" s="3">
        <v>1</v>
      </c>
      <c r="H138" s="6">
        <f>IF('Settings'!$B$11="Scenario",ROUND(E138*G138*IFERROR(SUMIF('Pricing &amp; promotions'!$A$6:$A$8,L138,'Pricing &amp; promotions'!$B$6:$B$8)/100,0),2),J138)</f>
        <v>7.9</v>
      </c>
      <c r="I138" s="6">
        <f>ROUND((E138*G138-H138)/(1+'Settings'!$B$6/100),2)</f>
        <v>58.76</v>
      </c>
      <c r="J138" s="8">
        <v>7.9</v>
      </c>
      <c r="K138" s="3" t="inlineStr">
        <is>
          <t xml:space="preserve">TRUE</t>
        </is>
      </c>
      <c r="L138" s="3" t="inlineStr">
        <is>
          <t xml:space="preserve">WELCOME10</t>
        </is>
      </c>
    </row>
    <row r="139">
      <c r="A139" s="3" t="inlineStr">
        <is>
          <t xml:space="preserve">#1093</t>
        </is>
      </c>
      <c r="B139" s="3" t="inlineStr">
        <is>
          <t xml:space="preserve">2025-11-22</t>
        </is>
      </c>
      <c r="C139" s="3" t="inlineStr">
        <is>
          <t xml:space="preserve">SKU-D</t>
        </is>
      </c>
      <c r="D139" s="3" t="inlineStr">
        <is>
          <t xml:space="preserve">Daily Duo</t>
        </is>
      </c>
      <c r="E139" s="6">
        <f>IF('Settings'!$B$11="Scenario",IFERROR(INDEX('Catalogue'!$E$3:$E$100,MATCH(C139,'Catalogue'!$B$3:$B$100,0)),F139),F139)</f>
        <v>79</v>
      </c>
      <c r="F139" s="8">
        <v>79</v>
      </c>
      <c r="G139" s="3">
        <v>1</v>
      </c>
      <c r="H139" s="6">
        <f>IF('Settings'!$B$11="Scenario",ROUND(E139*G139*IFERROR(SUMIF('Pricing &amp; promotions'!$A$6:$A$8,L139,'Pricing &amp; promotions'!$B$6:$B$8)/100,0),2),J139)</f>
        <v>0.0</v>
      </c>
      <c r="I139" s="6">
        <f>ROUND((E139*G139-H139)/(1+'Settings'!$B$6/100),2)</f>
        <v>65.29</v>
      </c>
      <c r="J139" s="8">
        <v>0.0</v>
      </c>
      <c r="K139" s="3" t="inlineStr">
        <is>
          <t xml:space="preserve">TRUE</t>
        </is>
      </c>
      <c r="L139" s="3"/>
    </row>
    <row r="140">
      <c r="A140" s="3" t="inlineStr">
        <is>
          <t xml:space="preserve">#1094</t>
        </is>
      </c>
      <c r="B140" s="3" t="inlineStr">
        <is>
          <t xml:space="preserve">2025-11-23</t>
        </is>
      </c>
      <c r="C140" s="3" t="inlineStr">
        <is>
          <t xml:space="preserve">SKU-G</t>
        </is>
      </c>
      <c r="D140" s="3" t="inlineStr">
        <is>
          <t xml:space="preserve">Daily Reset Set</t>
        </is>
      </c>
      <c r="E140" s="6">
        <f>IF('Settings'!$B$11="Scenario",IFERROR(INDEX('Catalogue'!$E$3:$E$100,MATCH(C140,'Catalogue'!$B$3:$B$100,0)),F140),F140)</f>
        <v>69</v>
      </c>
      <c r="F140" s="8">
        <v>69</v>
      </c>
      <c r="G140" s="3">
        <v>2</v>
      </c>
      <c r="H140" s="6">
        <f>IF('Settings'!$B$11="Scenario",ROUND(E140*G140*IFERROR(SUMIF('Pricing &amp; promotions'!$A$6:$A$8,L140,'Pricing &amp; promotions'!$B$6:$B$8)/100,0),2),J140)</f>
        <v>0.0</v>
      </c>
      <c r="I140" s="6">
        <f>ROUND((E140*G140-H140)/(1+'Settings'!$B$6/100),2)</f>
        <v>114.05</v>
      </c>
      <c r="J140" s="8">
        <v>0.0</v>
      </c>
      <c r="K140" s="3" t="inlineStr">
        <is>
          <t xml:space="preserve">TRUE</t>
        </is>
      </c>
      <c r="L140" s="3"/>
    </row>
    <row r="141">
      <c r="A141" s="3" t="inlineStr">
        <is>
          <t xml:space="preserve">#1095</t>
        </is>
      </c>
      <c r="B141" s="3" t="inlineStr">
        <is>
          <t xml:space="preserve">2025-11-23</t>
        </is>
      </c>
      <c r="C141" s="3" t="inlineStr">
        <is>
          <t xml:space="preserve">SKU-A</t>
        </is>
      </c>
      <c r="D141" s="3" t="inlineStr">
        <is>
          <t xml:space="preserve">Renewal Serum</t>
        </is>
      </c>
      <c r="E141" s="6">
        <f>IF('Settings'!$B$11="Scenario",IFERROR(INDEX('Catalogue'!$E$3:$E$100,MATCH(C141,'Catalogue'!$B$3:$B$100,0)),F141),F141)</f>
        <v>69.9</v>
      </c>
      <c r="F141" s="8">
        <v>64</v>
      </c>
      <c r="G141" s="3">
        <v>1</v>
      </c>
      <c r="H141" s="6">
        <f>IF('Settings'!$B$11="Scenario",ROUND(E141*G141*IFERROR(SUMIF('Pricing &amp; promotions'!$A$6:$A$8,L141,'Pricing &amp; promotions'!$B$6:$B$8)/100,0),2),J141)</f>
        <v>0.0</v>
      </c>
      <c r="I141" s="6">
        <f>ROUND((E141*G141-H141)/(1+'Settings'!$B$6/100),2)</f>
        <v>57.77</v>
      </c>
      <c r="J141" s="8">
        <v>0.0</v>
      </c>
      <c r="K141" s="3" t="inlineStr">
        <is>
          <t xml:space="preserve">TRUE</t>
        </is>
      </c>
      <c r="L141" s="3"/>
    </row>
    <row r="142">
      <c r="A142" s="3" t="inlineStr">
        <is>
          <t xml:space="preserve">#1095</t>
        </is>
      </c>
      <c r="B142" s="3" t="inlineStr">
        <is>
          <t xml:space="preserve">2025-11-23</t>
        </is>
      </c>
      <c r="C142" s="3" t="inlineStr">
        <is>
          <t xml:space="preserve">SKU-B</t>
        </is>
      </c>
      <c r="D142" s="3" t="inlineStr">
        <is>
          <t xml:space="preserve">Barrier Balm</t>
        </is>
      </c>
      <c r="E142" s="6">
        <f>IF('Settings'!$B$11="Scenario",IFERROR(INDEX('Catalogue'!$E$3:$E$100,MATCH(C142,'Catalogue'!$B$3:$B$100,0)),F142),F142)</f>
        <v>19</v>
      </c>
      <c r="F142" s="8">
        <v>18</v>
      </c>
      <c r="G142" s="3">
        <v>1</v>
      </c>
      <c r="H142" s="6">
        <f>IF('Settings'!$B$11="Scenario",ROUND(E142*G142*IFERROR(SUMIF('Pricing &amp; promotions'!$A$6:$A$8,L142,'Pricing &amp; promotions'!$B$6:$B$8)/100,0),2),J142)</f>
        <v>0.0</v>
      </c>
      <c r="I142" s="6">
        <f>ROUND((E142*G142-H142)/(1+'Settings'!$B$6/100),2)</f>
        <v>15.7</v>
      </c>
      <c r="J142" s="8">
        <v>0.0</v>
      </c>
      <c r="K142" s="3" t="inlineStr">
        <is>
          <t xml:space="preserve">TRUE</t>
        </is>
      </c>
      <c r="L142" s="3"/>
    </row>
    <row r="143">
      <c r="A143" s="3" t="inlineStr">
        <is>
          <t xml:space="preserve">#1096</t>
        </is>
      </c>
      <c r="B143" s="3" t="inlineStr">
        <is>
          <t xml:space="preserve">2025-11-23</t>
        </is>
      </c>
      <c r="C143" s="3" t="inlineStr">
        <is>
          <t xml:space="preserve">SKU-G</t>
        </is>
      </c>
      <c r="D143" s="3" t="inlineStr">
        <is>
          <t xml:space="preserve">Daily Reset Set</t>
        </is>
      </c>
      <c r="E143" s="6">
        <f>IF('Settings'!$B$11="Scenario",IFERROR(INDEX('Catalogue'!$E$3:$E$100,MATCH(C143,'Catalogue'!$B$3:$B$100,0)),F143),F143)</f>
        <v>69</v>
      </c>
      <c r="F143" s="8">
        <v>69</v>
      </c>
      <c r="G143" s="3">
        <v>1</v>
      </c>
      <c r="H143" s="6">
        <f>IF('Settings'!$B$11="Scenario",ROUND(E143*G143*IFERROR(SUMIF('Pricing &amp; promotions'!$A$6:$A$8,L143,'Pricing &amp; promotions'!$B$6:$B$8)/100,0),2),J143)</f>
        <v>0.0</v>
      </c>
      <c r="I143" s="6">
        <f>ROUND((E143*G143-H143)/(1+'Settings'!$B$6/100),2)</f>
        <v>57.02</v>
      </c>
      <c r="J143" s="8">
        <v>0.0</v>
      </c>
      <c r="K143" s="3" t="inlineStr">
        <is>
          <t xml:space="preserve">TRUE</t>
        </is>
      </c>
      <c r="L143" s="3"/>
    </row>
    <row r="144">
      <c r="A144" s="3" t="inlineStr">
        <is>
          <t xml:space="preserve">#1097</t>
        </is>
      </c>
      <c r="B144" s="3" t="inlineStr">
        <is>
          <t xml:space="preserve">2025-11-24</t>
        </is>
      </c>
      <c r="C144" s="3" t="inlineStr">
        <is>
          <t xml:space="preserve">SKU-G</t>
        </is>
      </c>
      <c r="D144" s="3" t="inlineStr">
        <is>
          <t xml:space="preserve">Daily Reset Set</t>
        </is>
      </c>
      <c r="E144" s="6">
        <f>IF('Settings'!$B$11="Scenario",IFERROR(INDEX('Catalogue'!$E$3:$E$100,MATCH(C144,'Catalogue'!$B$3:$B$100,0)),F144),F144)</f>
        <v>69</v>
      </c>
      <c r="F144" s="8">
        <v>69</v>
      </c>
      <c r="G144" s="3">
        <v>2</v>
      </c>
      <c r="H144" s="6">
        <f>IF('Settings'!$B$11="Scenario",ROUND(E144*G144*IFERROR(SUMIF('Pricing &amp; promotions'!$A$6:$A$8,L144,'Pricing &amp; promotions'!$B$6:$B$8)/100,0),2),J144)</f>
        <v>13.8</v>
      </c>
      <c r="I144" s="6">
        <f>ROUND((E144*G144-H144)/(1+'Settings'!$B$6/100),2)</f>
        <v>102.64</v>
      </c>
      <c r="J144" s="8">
        <v>13.8</v>
      </c>
      <c r="K144" s="3" t="inlineStr">
        <is>
          <t xml:space="preserve">TRUE</t>
        </is>
      </c>
      <c r="L144" s="3" t="inlineStr">
        <is>
          <t xml:space="preserve">WELCOME10</t>
        </is>
      </c>
    </row>
    <row r="145">
      <c r="A145" s="3" t="inlineStr">
        <is>
          <t xml:space="preserve">#1098</t>
        </is>
      </c>
      <c r="B145" s="3" t="inlineStr">
        <is>
          <t xml:space="preserve">2025-11-24</t>
        </is>
      </c>
      <c r="C145" s="3" t="inlineStr">
        <is>
          <t xml:space="preserve">SKU-A</t>
        </is>
      </c>
      <c r="D145" s="3" t="inlineStr">
        <is>
          <t xml:space="preserve">Renewal Serum</t>
        </is>
      </c>
      <c r="E145" s="6">
        <f>IF('Settings'!$B$11="Scenario",IFERROR(INDEX('Catalogue'!$E$3:$E$100,MATCH(C145,'Catalogue'!$B$3:$B$100,0)),F145),F145)</f>
        <v>69.9</v>
      </c>
      <c r="F145" s="8">
        <v>64</v>
      </c>
      <c r="G145" s="3">
        <v>1</v>
      </c>
      <c r="H145" s="6">
        <f>IF('Settings'!$B$11="Scenario",ROUND(E145*G145*IFERROR(SUMIF('Pricing &amp; promotions'!$A$6:$A$8,L145,'Pricing &amp; promotions'!$B$6:$B$8)/100,0),2),J145)</f>
        <v>6.99</v>
      </c>
      <c r="I145" s="6">
        <f>ROUND((E145*G145-H145)/(1+'Settings'!$B$6/100),2)</f>
        <v>51.99</v>
      </c>
      <c r="J145" s="8">
        <v>6.4</v>
      </c>
      <c r="K145" s="3" t="inlineStr">
        <is>
          <t xml:space="preserve">TRUE</t>
        </is>
      </c>
      <c r="L145" s="3" t="inlineStr">
        <is>
          <t xml:space="preserve">WELCOME10</t>
        </is>
      </c>
    </row>
    <row r="146">
      <c r="A146" s="3" t="inlineStr">
        <is>
          <t xml:space="preserve">#1098</t>
        </is>
      </c>
      <c r="B146" s="3" t="inlineStr">
        <is>
          <t xml:space="preserve">2025-11-24</t>
        </is>
      </c>
      <c r="C146" s="3" t="inlineStr">
        <is>
          <t xml:space="preserve">SKU-D</t>
        </is>
      </c>
      <c r="D146" s="3" t="inlineStr">
        <is>
          <t xml:space="preserve">Daily Duo</t>
        </is>
      </c>
      <c r="E146" s="6">
        <f>IF('Settings'!$B$11="Scenario",IFERROR(INDEX('Catalogue'!$E$3:$E$100,MATCH(C146,'Catalogue'!$B$3:$B$100,0)),F146),F146)</f>
        <v>79</v>
      </c>
      <c r="F146" s="8">
        <v>79</v>
      </c>
      <c r="G146" s="3">
        <v>1</v>
      </c>
      <c r="H146" s="6">
        <f>IF('Settings'!$B$11="Scenario",ROUND(E146*G146*IFERROR(SUMIF('Pricing &amp; promotions'!$A$6:$A$8,L146,'Pricing &amp; promotions'!$B$6:$B$8)/100,0),2),J146)</f>
        <v>7.9</v>
      </c>
      <c r="I146" s="6">
        <f>ROUND((E146*G146-H146)/(1+'Settings'!$B$6/100),2)</f>
        <v>58.76</v>
      </c>
      <c r="J146" s="8">
        <v>7.9</v>
      </c>
      <c r="K146" s="3" t="inlineStr">
        <is>
          <t xml:space="preserve">TRUE</t>
        </is>
      </c>
      <c r="L146" s="3" t="inlineStr">
        <is>
          <t xml:space="preserve">WELCOME10</t>
        </is>
      </c>
    </row>
    <row r="147">
      <c r="A147" s="3" t="inlineStr">
        <is>
          <t xml:space="preserve">#1098</t>
        </is>
      </c>
      <c r="B147" s="3" t="inlineStr">
        <is>
          <t xml:space="preserve">2025-11-24</t>
        </is>
      </c>
      <c r="C147" s="3" t="inlineStr">
        <is>
          <t xml:space="preserve">SKU-E</t>
        </is>
      </c>
      <c r="D147" s="3" t="inlineStr">
        <is>
          <t xml:space="preserve">Complete Ritual</t>
        </is>
      </c>
      <c r="E147" s="6">
        <f>IF('Settings'!$B$11="Scenario",IFERROR(INDEX('Catalogue'!$E$3:$E$100,MATCH(C147,'Catalogue'!$B$3:$B$100,0)),F147),F147)</f>
        <v>89</v>
      </c>
      <c r="F147" s="8">
        <v>89</v>
      </c>
      <c r="G147" s="3">
        <v>1</v>
      </c>
      <c r="H147" s="6">
        <f>IF('Settings'!$B$11="Scenario",ROUND(E147*G147*IFERROR(SUMIF('Pricing &amp; promotions'!$A$6:$A$8,L147,'Pricing &amp; promotions'!$B$6:$B$8)/100,0),2),J147)</f>
        <v>8.9</v>
      </c>
      <c r="I147" s="6">
        <f>ROUND((E147*G147-H147)/(1+'Settings'!$B$6/100),2)</f>
        <v>66.2</v>
      </c>
      <c r="J147" s="8">
        <v>8.9</v>
      </c>
      <c r="K147" s="3" t="inlineStr">
        <is>
          <t xml:space="preserve">TRUE</t>
        </is>
      </c>
      <c r="L147" s="3" t="inlineStr">
        <is>
          <t xml:space="preserve">WELCOME10</t>
        </is>
      </c>
    </row>
    <row r="148">
      <c r="A148" s="3" t="inlineStr">
        <is>
          <t xml:space="preserve">#1099</t>
        </is>
      </c>
      <c r="B148" s="3" t="inlineStr">
        <is>
          <t xml:space="preserve">2025-11-24</t>
        </is>
      </c>
      <c r="C148" s="3" t="inlineStr">
        <is>
          <t xml:space="preserve">SKU-E</t>
        </is>
      </c>
      <c r="D148" s="3" t="inlineStr">
        <is>
          <t xml:space="preserve">Complete Ritual</t>
        </is>
      </c>
      <c r="E148" s="6">
        <f>IF('Settings'!$B$11="Scenario",IFERROR(INDEX('Catalogue'!$E$3:$E$100,MATCH(C148,'Catalogue'!$B$3:$B$100,0)),F148),F148)</f>
        <v>89</v>
      </c>
      <c r="F148" s="8">
        <v>89</v>
      </c>
      <c r="G148" s="3">
        <v>1</v>
      </c>
      <c r="H148" s="6">
        <f>IF('Settings'!$B$11="Scenario",ROUND(E148*G148*IFERROR(SUMIF('Pricing &amp; promotions'!$A$6:$A$8,L148,'Pricing &amp; promotions'!$B$6:$B$8)/100,0),2),J148)</f>
        <v>8.9</v>
      </c>
      <c r="I148" s="6">
        <f>ROUND((E148*G148-H148)/(1+'Settings'!$B$6/100),2)</f>
        <v>66.2</v>
      </c>
      <c r="J148" s="8">
        <v>8.9</v>
      </c>
      <c r="K148" s="3" t="inlineStr">
        <is>
          <t xml:space="preserve">TRUE</t>
        </is>
      </c>
      <c r="L148" s="3" t="inlineStr">
        <is>
          <t xml:space="preserve">WELCOME10</t>
        </is>
      </c>
    </row>
    <row r="149">
      <c r="A149" s="3" t="inlineStr">
        <is>
          <t xml:space="preserve">#1100</t>
        </is>
      </c>
      <c r="B149" s="3" t="inlineStr">
        <is>
          <t xml:space="preserve">2025-11-24</t>
        </is>
      </c>
      <c r="C149" s="3" t="inlineStr">
        <is>
          <t xml:space="preserve">SKU-G</t>
        </is>
      </c>
      <c r="D149" s="3" t="inlineStr">
        <is>
          <t xml:space="preserve">Daily Reset Set</t>
        </is>
      </c>
      <c r="E149" s="6">
        <f>IF('Settings'!$B$11="Scenario",IFERROR(INDEX('Catalogue'!$E$3:$E$100,MATCH(C149,'Catalogue'!$B$3:$B$100,0)),F149),F149)</f>
        <v>69</v>
      </c>
      <c r="F149" s="8">
        <v>69</v>
      </c>
      <c r="G149" s="3">
        <v>1</v>
      </c>
      <c r="H149" s="6">
        <f>IF('Settings'!$B$11="Scenario",ROUND(E149*G149*IFERROR(SUMIF('Pricing &amp; promotions'!$A$6:$A$8,L149,'Pricing &amp; promotions'!$B$6:$B$8)/100,0),2),J149)</f>
        <v>0.0</v>
      </c>
      <c r="I149" s="6">
        <f>ROUND((E149*G149-H149)/(1+'Settings'!$B$6/100),2)</f>
        <v>57.02</v>
      </c>
      <c r="J149" s="8">
        <v>0.0</v>
      </c>
      <c r="K149" s="3" t="inlineStr">
        <is>
          <t xml:space="preserve">TRUE</t>
        </is>
      </c>
      <c r="L149" s="3"/>
    </row>
    <row r="150">
      <c r="A150" s="3" t="inlineStr">
        <is>
          <t xml:space="preserve">#1101</t>
        </is>
      </c>
      <c r="B150" s="3" t="inlineStr">
        <is>
          <t xml:space="preserve">2025-11-24</t>
        </is>
      </c>
      <c r="C150" s="3" t="inlineStr">
        <is>
          <t xml:space="preserve">SKU-B</t>
        </is>
      </c>
      <c r="D150" s="3" t="inlineStr">
        <is>
          <t xml:space="preserve">Barrier Balm</t>
        </is>
      </c>
      <c r="E150" s="6">
        <f>IF('Settings'!$B$11="Scenario",IFERROR(INDEX('Catalogue'!$E$3:$E$100,MATCH(C150,'Catalogue'!$B$3:$B$100,0)),F150),F150)</f>
        <v>19</v>
      </c>
      <c r="F150" s="8">
        <v>18</v>
      </c>
      <c r="G150" s="3">
        <v>1</v>
      </c>
      <c r="H150" s="6">
        <f>IF('Settings'!$B$11="Scenario",ROUND(E150*G150*IFERROR(SUMIF('Pricing &amp; promotions'!$A$6:$A$8,L150,'Pricing &amp; promotions'!$B$6:$B$8)/100,0),2),J150)</f>
        <v>0.0</v>
      </c>
      <c r="I150" s="6">
        <f>ROUND((E150*G150-H150)/(1+'Settings'!$B$6/100),2)</f>
        <v>15.7</v>
      </c>
      <c r="J150" s="8">
        <v>0.0</v>
      </c>
      <c r="K150" s="3" t="inlineStr">
        <is>
          <t xml:space="preserve">TRUE</t>
        </is>
      </c>
      <c r="L150" s="3"/>
    </row>
    <row r="151">
      <c r="A151" s="3" t="inlineStr">
        <is>
          <t xml:space="preserve">#1102</t>
        </is>
      </c>
      <c r="B151" s="3" t="inlineStr">
        <is>
          <t xml:space="preserve">2025-11-25</t>
        </is>
      </c>
      <c r="C151" s="3" t="inlineStr">
        <is>
          <t xml:space="preserve">SKU-B</t>
        </is>
      </c>
      <c r="D151" s="3" t="inlineStr">
        <is>
          <t xml:space="preserve">Barrier Balm</t>
        </is>
      </c>
      <c r="E151" s="6">
        <f>IF('Settings'!$B$11="Scenario",IFERROR(INDEX('Catalogue'!$E$3:$E$100,MATCH(C151,'Catalogue'!$B$3:$B$100,0)),F151),F151)</f>
        <v>19</v>
      </c>
      <c r="F151" s="8">
        <v>18</v>
      </c>
      <c r="G151" s="3">
        <v>2</v>
      </c>
      <c r="H151" s="6">
        <f>IF('Settings'!$B$11="Scenario",ROUND(E151*G151*IFERROR(SUMIF('Pricing &amp; promotions'!$A$6:$A$8,L151,'Pricing &amp; promotions'!$B$6:$B$8)/100,0),2),J151)</f>
        <v>5.7</v>
      </c>
      <c r="I151" s="6">
        <f>ROUND((E151*G151-H151)/(1+'Settings'!$B$6/100),2)</f>
        <v>26.69</v>
      </c>
      <c r="J151" s="8">
        <v>5.4</v>
      </c>
      <c r="K151" s="3" t="inlineStr">
        <is>
          <t xml:space="preserve">TRUE</t>
        </is>
      </c>
      <c r="L151" s="3" t="inlineStr">
        <is>
          <t xml:space="preserve">SUMMER15</t>
        </is>
      </c>
    </row>
    <row r="152">
      <c r="A152" s="3" t="inlineStr">
        <is>
          <t xml:space="preserve">#1103</t>
        </is>
      </c>
      <c r="B152" s="3" t="inlineStr">
        <is>
          <t xml:space="preserve">2025-11-25</t>
        </is>
      </c>
      <c r="C152" s="3" t="inlineStr">
        <is>
          <t xml:space="preserve">SKU-E</t>
        </is>
      </c>
      <c r="D152" s="3" t="inlineStr">
        <is>
          <t xml:space="preserve">Complete Ritual</t>
        </is>
      </c>
      <c r="E152" s="6">
        <f>IF('Settings'!$B$11="Scenario",IFERROR(INDEX('Catalogue'!$E$3:$E$100,MATCH(C152,'Catalogue'!$B$3:$B$100,0)),F152),F152)</f>
        <v>89</v>
      </c>
      <c r="F152" s="8">
        <v>89</v>
      </c>
      <c r="G152" s="3">
        <v>2</v>
      </c>
      <c r="H152" s="6">
        <f>IF('Settings'!$B$11="Scenario",ROUND(E152*G152*IFERROR(SUMIF('Pricing &amp; promotions'!$A$6:$A$8,L152,'Pricing &amp; promotions'!$B$6:$B$8)/100,0),2),J152)</f>
        <v>0.0</v>
      </c>
      <c r="I152" s="6">
        <f>ROUND((E152*G152-H152)/(1+'Settings'!$B$6/100),2)</f>
        <v>147.11</v>
      </c>
      <c r="J152" s="8">
        <v>0.0</v>
      </c>
      <c r="K152" s="3" t="inlineStr">
        <is>
          <t xml:space="preserve">TRUE</t>
        </is>
      </c>
      <c r="L152" s="3"/>
    </row>
    <row r="153">
      <c r="A153" s="3" t="inlineStr">
        <is>
          <t xml:space="preserve">#1104</t>
        </is>
      </c>
      <c r="B153" s="3" t="inlineStr">
        <is>
          <t xml:space="preserve">2025-11-25</t>
        </is>
      </c>
      <c r="C153" s="3" t="inlineStr">
        <is>
          <t xml:space="preserve">SKU-D</t>
        </is>
      </c>
      <c r="D153" s="3" t="inlineStr">
        <is>
          <t xml:space="preserve">Daily Duo</t>
        </is>
      </c>
      <c r="E153" s="6">
        <f>IF('Settings'!$B$11="Scenario",IFERROR(INDEX('Catalogue'!$E$3:$E$100,MATCH(C153,'Catalogue'!$B$3:$B$100,0)),F153),F153)</f>
        <v>79</v>
      </c>
      <c r="F153" s="8">
        <v>79</v>
      </c>
      <c r="G153" s="3">
        <v>1</v>
      </c>
      <c r="H153" s="6">
        <f>IF('Settings'!$B$11="Scenario",ROUND(E153*G153*IFERROR(SUMIF('Pricing &amp; promotions'!$A$6:$A$8,L153,'Pricing &amp; promotions'!$B$6:$B$8)/100,0),2),J153)</f>
        <v>15.8</v>
      </c>
      <c r="I153" s="6">
        <f>ROUND((E153*G153-H153)/(1+'Settings'!$B$6/100),2)</f>
        <v>52.23</v>
      </c>
      <c r="J153" s="8">
        <v>15.8</v>
      </c>
      <c r="K153" s="3" t="inlineStr">
        <is>
          <t xml:space="preserve">TRUE</t>
        </is>
      </c>
      <c r="L153" s="3" t="inlineStr">
        <is>
          <t xml:space="preserve">VIP20</t>
        </is>
      </c>
    </row>
    <row r="154">
      <c r="A154" s="3" t="inlineStr">
        <is>
          <t xml:space="preserve">#1105</t>
        </is>
      </c>
      <c r="B154" s="3" t="inlineStr">
        <is>
          <t xml:space="preserve">2025-11-25</t>
        </is>
      </c>
      <c r="C154" s="3" t="inlineStr">
        <is>
          <t xml:space="preserve">SKU-E</t>
        </is>
      </c>
      <c r="D154" s="3" t="inlineStr">
        <is>
          <t xml:space="preserve">Complete Ritual</t>
        </is>
      </c>
      <c r="E154" s="6">
        <f>IF('Settings'!$B$11="Scenario",IFERROR(INDEX('Catalogue'!$E$3:$E$100,MATCH(C154,'Catalogue'!$B$3:$B$100,0)),F154),F154)</f>
        <v>89</v>
      </c>
      <c r="F154" s="8">
        <v>89</v>
      </c>
      <c r="G154" s="3">
        <v>1</v>
      </c>
      <c r="H154" s="6">
        <f>IF('Settings'!$B$11="Scenario",ROUND(E154*G154*IFERROR(SUMIF('Pricing &amp; promotions'!$A$6:$A$8,L154,'Pricing &amp; promotions'!$B$6:$B$8)/100,0),2),J154)</f>
        <v>0.0</v>
      </c>
      <c r="I154" s="6">
        <f>ROUND((E154*G154-H154)/(1+'Settings'!$B$6/100),2)</f>
        <v>73.55</v>
      </c>
      <c r="J154" s="8">
        <v>0.0</v>
      </c>
      <c r="K154" s="3" t="inlineStr">
        <is>
          <t xml:space="preserve">TRUE</t>
        </is>
      </c>
      <c r="L154" s="3"/>
    </row>
    <row r="155">
      <c r="A155" s="3" t="inlineStr">
        <is>
          <t xml:space="preserve">#1106</t>
        </is>
      </c>
      <c r="B155" s="3" t="inlineStr">
        <is>
          <t xml:space="preserve">2025-11-26</t>
        </is>
      </c>
      <c r="C155" s="3" t="inlineStr">
        <is>
          <t xml:space="preserve">SKU-G</t>
        </is>
      </c>
      <c r="D155" s="3" t="inlineStr">
        <is>
          <t xml:space="preserve">Daily Reset Set</t>
        </is>
      </c>
      <c r="E155" s="6">
        <f>IF('Settings'!$B$11="Scenario",IFERROR(INDEX('Catalogue'!$E$3:$E$100,MATCH(C155,'Catalogue'!$B$3:$B$100,0)),F155),F155)</f>
        <v>69</v>
      </c>
      <c r="F155" s="8">
        <v>69</v>
      </c>
      <c r="G155" s="3">
        <v>1</v>
      </c>
      <c r="H155" s="6">
        <f>IF('Settings'!$B$11="Scenario",ROUND(E155*G155*IFERROR(SUMIF('Pricing &amp; promotions'!$A$6:$A$8,L155,'Pricing &amp; promotions'!$B$6:$B$8)/100,0),2),J155)</f>
        <v>6.9</v>
      </c>
      <c r="I155" s="6">
        <f>ROUND((E155*G155-H155)/(1+'Settings'!$B$6/100),2)</f>
        <v>51.32</v>
      </c>
      <c r="J155" s="8">
        <v>6.9</v>
      </c>
      <c r="K155" s="3" t="inlineStr">
        <is>
          <t xml:space="preserve">TRUE</t>
        </is>
      </c>
      <c r="L155" s="3" t="inlineStr">
        <is>
          <t xml:space="preserve">WELCOME10</t>
        </is>
      </c>
    </row>
    <row r="156">
      <c r="A156" s="3" t="inlineStr">
        <is>
          <t xml:space="preserve">#1107</t>
        </is>
      </c>
      <c r="B156" s="3" t="inlineStr">
        <is>
          <t xml:space="preserve">2025-11-26</t>
        </is>
      </c>
      <c r="C156" s="3" t="inlineStr">
        <is>
          <t xml:space="preserve">SKU-A</t>
        </is>
      </c>
      <c r="D156" s="3" t="inlineStr">
        <is>
          <t xml:space="preserve">Renewal Serum</t>
        </is>
      </c>
      <c r="E156" s="6">
        <f>IF('Settings'!$B$11="Scenario",IFERROR(INDEX('Catalogue'!$E$3:$E$100,MATCH(C156,'Catalogue'!$B$3:$B$100,0)),F156),F156)</f>
        <v>69.9</v>
      </c>
      <c r="F156" s="8">
        <v>64</v>
      </c>
      <c r="G156" s="3">
        <v>1</v>
      </c>
      <c r="H156" s="6">
        <f>IF('Settings'!$B$11="Scenario",ROUND(E156*G156*IFERROR(SUMIF('Pricing &amp; promotions'!$A$6:$A$8,L156,'Pricing &amp; promotions'!$B$6:$B$8)/100,0),2),J156)</f>
        <v>0.0</v>
      </c>
      <c r="I156" s="6">
        <f>ROUND((E156*G156-H156)/(1+'Settings'!$B$6/100),2)</f>
        <v>57.77</v>
      </c>
      <c r="J156" s="8">
        <v>0.0</v>
      </c>
      <c r="K156" s="3" t="inlineStr">
        <is>
          <t xml:space="preserve">TRUE</t>
        </is>
      </c>
      <c r="L156" s="3"/>
    </row>
    <row r="157">
      <c r="A157" s="3" t="inlineStr">
        <is>
          <t xml:space="preserve">#1108</t>
        </is>
      </c>
      <c r="B157" s="3" t="inlineStr">
        <is>
          <t xml:space="preserve">2025-11-26</t>
        </is>
      </c>
      <c r="C157" s="3" t="inlineStr">
        <is>
          <t xml:space="preserve">SKU-A</t>
        </is>
      </c>
      <c r="D157" s="3" t="inlineStr">
        <is>
          <t xml:space="preserve">Renewal Serum</t>
        </is>
      </c>
      <c r="E157" s="6">
        <f>IF('Settings'!$B$11="Scenario",IFERROR(INDEX('Catalogue'!$E$3:$E$100,MATCH(C157,'Catalogue'!$B$3:$B$100,0)),F157),F157)</f>
        <v>69.9</v>
      </c>
      <c r="F157" s="8">
        <v>64</v>
      </c>
      <c r="G157" s="3">
        <v>1</v>
      </c>
      <c r="H157" s="6">
        <f>IF('Settings'!$B$11="Scenario",ROUND(E157*G157*IFERROR(SUMIF('Pricing &amp; promotions'!$A$6:$A$8,L157,'Pricing &amp; promotions'!$B$6:$B$8)/100,0),2),J157)</f>
        <v>10.49</v>
      </c>
      <c r="I157" s="6">
        <f>ROUND((E157*G157-H157)/(1+'Settings'!$B$6/100),2)</f>
        <v>49.1</v>
      </c>
      <c r="J157" s="8">
        <v>9.6</v>
      </c>
      <c r="K157" s="3" t="inlineStr">
        <is>
          <t xml:space="preserve">TRUE</t>
        </is>
      </c>
      <c r="L157" s="3" t="inlineStr">
        <is>
          <t xml:space="preserve">SUMMER15</t>
        </is>
      </c>
    </row>
    <row r="158">
      <c r="A158" s="3" t="inlineStr">
        <is>
          <t xml:space="preserve">#1109</t>
        </is>
      </c>
      <c r="B158" s="3" t="inlineStr">
        <is>
          <t xml:space="preserve">2025-11-26</t>
        </is>
      </c>
      <c r="C158" s="3" t="inlineStr">
        <is>
          <t xml:space="preserve">SKU-G</t>
        </is>
      </c>
      <c r="D158" s="3" t="inlineStr">
        <is>
          <t xml:space="preserve">Daily Reset Set</t>
        </is>
      </c>
      <c r="E158" s="6">
        <f>IF('Settings'!$B$11="Scenario",IFERROR(INDEX('Catalogue'!$E$3:$E$100,MATCH(C158,'Catalogue'!$B$3:$B$100,0)),F158),F158)</f>
        <v>69</v>
      </c>
      <c r="F158" s="8">
        <v>69</v>
      </c>
      <c r="G158" s="3">
        <v>2</v>
      </c>
      <c r="H158" s="6">
        <f>IF('Settings'!$B$11="Scenario",ROUND(E158*G158*IFERROR(SUMIF('Pricing &amp; promotions'!$A$6:$A$8,L158,'Pricing &amp; promotions'!$B$6:$B$8)/100,0),2),J158)</f>
        <v>0.0</v>
      </c>
      <c r="I158" s="6">
        <f>ROUND((E158*G158-H158)/(1+'Settings'!$B$6/100),2)</f>
        <v>114.05</v>
      </c>
      <c r="J158" s="8">
        <v>0.0</v>
      </c>
      <c r="K158" s="3" t="inlineStr">
        <is>
          <t xml:space="preserve">TRUE</t>
        </is>
      </c>
      <c r="L158" s="3"/>
    </row>
    <row r="159">
      <c r="A159" s="3" t="inlineStr">
        <is>
          <t xml:space="preserve">#1110</t>
        </is>
      </c>
      <c r="B159" s="3" t="inlineStr">
        <is>
          <t xml:space="preserve">2025-11-26</t>
        </is>
      </c>
      <c r="C159" s="3" t="inlineStr">
        <is>
          <t xml:space="preserve">SKU-D</t>
        </is>
      </c>
      <c r="D159" s="3" t="inlineStr">
        <is>
          <t xml:space="preserve">Daily Duo</t>
        </is>
      </c>
      <c r="E159" s="6">
        <f>IF('Settings'!$B$11="Scenario",IFERROR(INDEX('Catalogue'!$E$3:$E$100,MATCH(C159,'Catalogue'!$B$3:$B$100,0)),F159),F159)</f>
        <v>79</v>
      </c>
      <c r="F159" s="8">
        <v>79</v>
      </c>
      <c r="G159" s="3">
        <v>2</v>
      </c>
      <c r="H159" s="6">
        <f>IF('Settings'!$B$11="Scenario",ROUND(E159*G159*IFERROR(SUMIF('Pricing &amp; promotions'!$A$6:$A$8,L159,'Pricing &amp; promotions'!$B$6:$B$8)/100,0),2),J159)</f>
        <v>15.8</v>
      </c>
      <c r="I159" s="6">
        <f>ROUND((E159*G159-H159)/(1+'Settings'!$B$6/100),2)</f>
        <v>117.52</v>
      </c>
      <c r="J159" s="8">
        <v>15.8</v>
      </c>
      <c r="K159" s="3" t="inlineStr">
        <is>
          <t xml:space="preserve">TRUE</t>
        </is>
      </c>
      <c r="L159" s="3" t="inlineStr">
        <is>
          <t xml:space="preserve">WELCOME10</t>
        </is>
      </c>
    </row>
    <row r="160">
      <c r="A160" s="3" t="inlineStr">
        <is>
          <t xml:space="preserve">#1110</t>
        </is>
      </c>
      <c r="B160" s="3" t="inlineStr">
        <is>
          <t xml:space="preserve">2025-11-26</t>
        </is>
      </c>
      <c r="C160" s="3" t="inlineStr">
        <is>
          <t xml:space="preserve">SKU-B</t>
        </is>
      </c>
      <c r="D160" s="3" t="inlineStr">
        <is>
          <t xml:space="preserve">Barrier Balm</t>
        </is>
      </c>
      <c r="E160" s="6">
        <f>IF('Settings'!$B$11="Scenario",IFERROR(INDEX('Catalogue'!$E$3:$E$100,MATCH(C160,'Catalogue'!$B$3:$B$100,0)),F160),F160)</f>
        <v>19</v>
      </c>
      <c r="F160" s="8">
        <v>18</v>
      </c>
      <c r="G160" s="3">
        <v>2</v>
      </c>
      <c r="H160" s="6">
        <f>IF('Settings'!$B$11="Scenario",ROUND(E160*G160*IFERROR(SUMIF('Pricing &amp; promotions'!$A$6:$A$8,L160,'Pricing &amp; promotions'!$B$6:$B$8)/100,0),2),J160)</f>
        <v>3.8</v>
      </c>
      <c r="I160" s="6">
        <f>ROUND((E160*G160-H160)/(1+'Settings'!$B$6/100),2)</f>
        <v>28.26</v>
      </c>
      <c r="J160" s="8">
        <v>3.6</v>
      </c>
      <c r="K160" s="3" t="inlineStr">
        <is>
          <t xml:space="preserve">TRUE</t>
        </is>
      </c>
      <c r="L160" s="3" t="inlineStr">
        <is>
          <t xml:space="preserve">WELCOME10</t>
        </is>
      </c>
    </row>
    <row r="161">
      <c r="A161" s="3" t="inlineStr">
        <is>
          <t xml:space="preserve">#1110</t>
        </is>
      </c>
      <c r="B161" s="3" t="inlineStr">
        <is>
          <t xml:space="preserve">2025-11-26</t>
        </is>
      </c>
      <c r="C161" s="3" t="inlineStr">
        <is>
          <t xml:space="preserve">SKU-A</t>
        </is>
      </c>
      <c r="D161" s="3" t="inlineStr">
        <is>
          <t xml:space="preserve">Renewal Serum</t>
        </is>
      </c>
      <c r="E161" s="6">
        <f>IF('Settings'!$B$11="Scenario",IFERROR(INDEX('Catalogue'!$E$3:$E$100,MATCH(C161,'Catalogue'!$B$3:$B$100,0)),F161),F161)</f>
        <v>69.9</v>
      </c>
      <c r="F161" s="8">
        <v>64</v>
      </c>
      <c r="G161" s="3">
        <v>1</v>
      </c>
      <c r="H161" s="6">
        <f>IF('Settings'!$B$11="Scenario",ROUND(E161*G161*IFERROR(SUMIF('Pricing &amp; promotions'!$A$6:$A$8,L161,'Pricing &amp; promotions'!$B$6:$B$8)/100,0),2),J161)</f>
        <v>6.99</v>
      </c>
      <c r="I161" s="6">
        <f>ROUND((E161*G161-H161)/(1+'Settings'!$B$6/100),2)</f>
        <v>51.99</v>
      </c>
      <c r="J161" s="8">
        <v>6.4</v>
      </c>
      <c r="K161" s="3" t="inlineStr">
        <is>
          <t xml:space="preserve">TRUE</t>
        </is>
      </c>
      <c r="L161" s="3" t="inlineStr">
        <is>
          <t xml:space="preserve">WELCOME10</t>
        </is>
      </c>
    </row>
    <row r="162">
      <c r="A162" s="3" t="inlineStr">
        <is>
          <t xml:space="preserve">#1111</t>
        </is>
      </c>
      <c r="B162" s="3" t="inlineStr">
        <is>
          <t xml:space="preserve">2025-11-26</t>
        </is>
      </c>
      <c r="C162" s="3" t="inlineStr">
        <is>
          <t xml:space="preserve">SKU-D</t>
        </is>
      </c>
      <c r="D162" s="3" t="inlineStr">
        <is>
          <t xml:space="preserve">Daily Duo</t>
        </is>
      </c>
      <c r="E162" s="6">
        <f>IF('Settings'!$B$11="Scenario",IFERROR(INDEX('Catalogue'!$E$3:$E$100,MATCH(C162,'Catalogue'!$B$3:$B$100,0)),F162),F162)</f>
        <v>79</v>
      </c>
      <c r="F162" s="8">
        <v>79</v>
      </c>
      <c r="G162" s="3">
        <v>1</v>
      </c>
      <c r="H162" s="6">
        <f>IF('Settings'!$B$11="Scenario",ROUND(E162*G162*IFERROR(SUMIF('Pricing &amp; promotions'!$A$6:$A$8,L162,'Pricing &amp; promotions'!$B$6:$B$8)/100,0),2),J162)</f>
        <v>7.9</v>
      </c>
      <c r="I162" s="6">
        <f>ROUND((E162*G162-H162)/(1+'Settings'!$B$6/100),2)</f>
        <v>58.76</v>
      </c>
      <c r="J162" s="8">
        <v>7.9</v>
      </c>
      <c r="K162" s="3" t="inlineStr">
        <is>
          <t xml:space="preserve">TRUE</t>
        </is>
      </c>
      <c r="L162" s="3" t="inlineStr">
        <is>
          <t xml:space="preserve">WELCOME10</t>
        </is>
      </c>
    </row>
    <row r="163">
      <c r="A163" s="3" t="inlineStr">
        <is>
          <t xml:space="preserve">#1112</t>
        </is>
      </c>
      <c r="B163" s="3" t="inlineStr">
        <is>
          <t xml:space="preserve">2025-11-27</t>
        </is>
      </c>
      <c r="C163" s="3" t="inlineStr">
        <is>
          <t xml:space="preserve">SKU-B</t>
        </is>
      </c>
      <c r="D163" s="3" t="inlineStr">
        <is>
          <t xml:space="preserve">Barrier Balm</t>
        </is>
      </c>
      <c r="E163" s="6">
        <f>IF('Settings'!$B$11="Scenario",IFERROR(INDEX('Catalogue'!$E$3:$E$100,MATCH(C163,'Catalogue'!$B$3:$B$100,0)),F163),F163)</f>
        <v>19</v>
      </c>
      <c r="F163" s="8">
        <v>18</v>
      </c>
      <c r="G163" s="3">
        <v>2</v>
      </c>
      <c r="H163" s="6">
        <f>IF('Settings'!$B$11="Scenario",ROUND(E163*G163*IFERROR(SUMIF('Pricing &amp; promotions'!$A$6:$A$8,L163,'Pricing &amp; promotions'!$B$6:$B$8)/100,0),2),J163)</f>
        <v>5.7</v>
      </c>
      <c r="I163" s="6">
        <f>ROUND((E163*G163-H163)/(1+'Settings'!$B$6/100),2)</f>
        <v>26.69</v>
      </c>
      <c r="J163" s="8">
        <v>5.4</v>
      </c>
      <c r="K163" s="3" t="inlineStr">
        <is>
          <t xml:space="preserve">TRUE</t>
        </is>
      </c>
      <c r="L163" s="3" t="inlineStr">
        <is>
          <t xml:space="preserve">SUMMER15</t>
        </is>
      </c>
    </row>
    <row r="164">
      <c r="A164" s="3" t="inlineStr">
        <is>
          <t xml:space="preserve">#1112</t>
        </is>
      </c>
      <c r="B164" s="3" t="inlineStr">
        <is>
          <t xml:space="preserve">2025-11-27</t>
        </is>
      </c>
      <c r="C164" s="3" t="inlineStr">
        <is>
          <t xml:space="preserve">SKU-E</t>
        </is>
      </c>
      <c r="D164" s="3" t="inlineStr">
        <is>
          <t xml:space="preserve">Complete Ritual</t>
        </is>
      </c>
      <c r="E164" s="6">
        <f>IF('Settings'!$B$11="Scenario",IFERROR(INDEX('Catalogue'!$E$3:$E$100,MATCH(C164,'Catalogue'!$B$3:$B$100,0)),F164),F164)</f>
        <v>89</v>
      </c>
      <c r="F164" s="8">
        <v>89</v>
      </c>
      <c r="G164" s="3">
        <v>1</v>
      </c>
      <c r="H164" s="6">
        <f>IF('Settings'!$B$11="Scenario",ROUND(E164*G164*IFERROR(SUMIF('Pricing &amp; promotions'!$A$6:$A$8,L164,'Pricing &amp; promotions'!$B$6:$B$8)/100,0),2),J164)</f>
        <v>13.35</v>
      </c>
      <c r="I164" s="6">
        <f>ROUND((E164*G164-H164)/(1+'Settings'!$B$6/100),2)</f>
        <v>62.52</v>
      </c>
      <c r="J164" s="8">
        <v>13.35</v>
      </c>
      <c r="K164" s="3" t="inlineStr">
        <is>
          <t xml:space="preserve">TRUE</t>
        </is>
      </c>
      <c r="L164" s="3" t="inlineStr">
        <is>
          <t xml:space="preserve">SUMMER15</t>
        </is>
      </c>
    </row>
    <row r="165">
      <c r="A165" s="3" t="inlineStr">
        <is>
          <t xml:space="preserve">#1113</t>
        </is>
      </c>
      <c r="B165" s="3" t="inlineStr">
        <is>
          <t xml:space="preserve">2025-11-27</t>
        </is>
      </c>
      <c r="C165" s="3" t="inlineStr">
        <is>
          <t xml:space="preserve">SKU-D</t>
        </is>
      </c>
      <c r="D165" s="3" t="inlineStr">
        <is>
          <t xml:space="preserve">Daily Duo</t>
        </is>
      </c>
      <c r="E165" s="6">
        <f>IF('Settings'!$B$11="Scenario",IFERROR(INDEX('Catalogue'!$E$3:$E$100,MATCH(C165,'Catalogue'!$B$3:$B$100,0)),F165),F165)</f>
        <v>79</v>
      </c>
      <c r="F165" s="8">
        <v>79</v>
      </c>
      <c r="G165" s="3">
        <v>1</v>
      </c>
      <c r="H165" s="6">
        <f>IF('Settings'!$B$11="Scenario",ROUND(E165*G165*IFERROR(SUMIF('Pricing &amp; promotions'!$A$6:$A$8,L165,'Pricing &amp; promotions'!$B$6:$B$8)/100,0),2),J165)</f>
        <v>0.0</v>
      </c>
      <c r="I165" s="6">
        <f>ROUND((E165*G165-H165)/(1+'Settings'!$B$6/100),2)</f>
        <v>65.29</v>
      </c>
      <c r="J165" s="8">
        <v>0.0</v>
      </c>
      <c r="K165" s="3" t="inlineStr">
        <is>
          <t xml:space="preserve">TRUE</t>
        </is>
      </c>
      <c r="L165" s="3"/>
    </row>
    <row r="166">
      <c r="A166" s="3" t="inlineStr">
        <is>
          <t xml:space="preserve">#1114</t>
        </is>
      </c>
      <c r="B166" s="3" t="inlineStr">
        <is>
          <t xml:space="preserve">2025-11-27</t>
        </is>
      </c>
      <c r="C166" s="3" t="inlineStr">
        <is>
          <t xml:space="preserve">SKU-B</t>
        </is>
      </c>
      <c r="D166" s="3" t="inlineStr">
        <is>
          <t xml:space="preserve">Barrier Balm</t>
        </is>
      </c>
      <c r="E166" s="6">
        <f>IF('Settings'!$B$11="Scenario",IFERROR(INDEX('Catalogue'!$E$3:$E$100,MATCH(C166,'Catalogue'!$B$3:$B$100,0)),F166),F166)</f>
        <v>19</v>
      </c>
      <c r="F166" s="8">
        <v>18</v>
      </c>
      <c r="G166" s="3">
        <v>1</v>
      </c>
      <c r="H166" s="6">
        <f>IF('Settings'!$B$11="Scenario",ROUND(E166*G166*IFERROR(SUMIF('Pricing &amp; promotions'!$A$6:$A$8,L166,'Pricing &amp; promotions'!$B$6:$B$8)/100,0),2),J166)</f>
        <v>0.0</v>
      </c>
      <c r="I166" s="6">
        <f>ROUND((E166*G166-H166)/(1+'Settings'!$B$6/100),2)</f>
        <v>15.7</v>
      </c>
      <c r="J166" s="8">
        <v>0.0</v>
      </c>
      <c r="K166" s="3" t="inlineStr">
        <is>
          <t xml:space="preserve">TRUE</t>
        </is>
      </c>
      <c r="L166" s="3"/>
    </row>
    <row r="167">
      <c r="A167" s="3" t="inlineStr">
        <is>
          <t xml:space="preserve">#1114</t>
        </is>
      </c>
      <c r="B167" s="3" t="inlineStr">
        <is>
          <t xml:space="preserve">2025-11-27</t>
        </is>
      </c>
      <c r="C167" s="3" t="inlineStr">
        <is>
          <t xml:space="preserve">SKU-A</t>
        </is>
      </c>
      <c r="D167" s="3" t="inlineStr">
        <is>
          <t xml:space="preserve">Renewal Serum</t>
        </is>
      </c>
      <c r="E167" s="6">
        <f>IF('Settings'!$B$11="Scenario",IFERROR(INDEX('Catalogue'!$E$3:$E$100,MATCH(C167,'Catalogue'!$B$3:$B$100,0)),F167),F167)</f>
        <v>69.9</v>
      </c>
      <c r="F167" s="8">
        <v>64</v>
      </c>
      <c r="G167" s="3">
        <v>1</v>
      </c>
      <c r="H167" s="6">
        <f>IF('Settings'!$B$11="Scenario",ROUND(E167*G167*IFERROR(SUMIF('Pricing &amp; promotions'!$A$6:$A$8,L167,'Pricing &amp; promotions'!$B$6:$B$8)/100,0),2),J167)</f>
        <v>0.0</v>
      </c>
      <c r="I167" s="6">
        <f>ROUND((E167*G167-H167)/(1+'Settings'!$B$6/100),2)</f>
        <v>57.77</v>
      </c>
      <c r="J167" s="8">
        <v>0.0</v>
      </c>
      <c r="K167" s="3" t="inlineStr">
        <is>
          <t xml:space="preserve">TRUE</t>
        </is>
      </c>
      <c r="L167" s="3"/>
    </row>
    <row r="168">
      <c r="A168" s="3" t="inlineStr">
        <is>
          <t xml:space="preserve">#1115</t>
        </is>
      </c>
      <c r="B168" s="3" t="inlineStr">
        <is>
          <t xml:space="preserve">2025-11-27</t>
        </is>
      </c>
      <c r="C168" s="3" t="inlineStr">
        <is>
          <t xml:space="preserve">SKU-G</t>
        </is>
      </c>
      <c r="D168" s="3" t="inlineStr">
        <is>
          <t xml:space="preserve">Daily Reset Set</t>
        </is>
      </c>
      <c r="E168" s="6">
        <f>IF('Settings'!$B$11="Scenario",IFERROR(INDEX('Catalogue'!$E$3:$E$100,MATCH(C168,'Catalogue'!$B$3:$B$100,0)),F168),F168)</f>
        <v>69</v>
      </c>
      <c r="F168" s="8">
        <v>69</v>
      </c>
      <c r="G168" s="3">
        <v>1</v>
      </c>
      <c r="H168" s="6">
        <f>IF('Settings'!$B$11="Scenario",ROUND(E168*G168*IFERROR(SUMIF('Pricing &amp; promotions'!$A$6:$A$8,L168,'Pricing &amp; promotions'!$B$6:$B$8)/100,0),2),J168)</f>
        <v>0.0</v>
      </c>
      <c r="I168" s="6">
        <f>ROUND((E168*G168-H168)/(1+'Settings'!$B$6/100),2)</f>
        <v>57.02</v>
      </c>
      <c r="J168" s="8">
        <v>0.0</v>
      </c>
      <c r="K168" s="3" t="inlineStr">
        <is>
          <t xml:space="preserve">TRUE</t>
        </is>
      </c>
      <c r="L168" s="3"/>
    </row>
    <row r="169">
      <c r="A169" s="3" t="inlineStr">
        <is>
          <t xml:space="preserve">#1116</t>
        </is>
      </c>
      <c r="B169" s="3" t="inlineStr">
        <is>
          <t xml:space="preserve">2025-11-28</t>
        </is>
      </c>
      <c r="C169" s="3" t="inlineStr">
        <is>
          <t xml:space="preserve">SKU-A</t>
        </is>
      </c>
      <c r="D169" s="3" t="inlineStr">
        <is>
          <t xml:space="preserve">Renewal Serum</t>
        </is>
      </c>
      <c r="E169" s="6">
        <f>IF('Settings'!$B$11="Scenario",IFERROR(INDEX('Catalogue'!$E$3:$E$100,MATCH(C169,'Catalogue'!$B$3:$B$100,0)),F169),F169)</f>
        <v>69.9</v>
      </c>
      <c r="F169" s="8">
        <v>64</v>
      </c>
      <c r="G169" s="3">
        <v>1</v>
      </c>
      <c r="H169" s="6">
        <f>IF('Settings'!$B$11="Scenario",ROUND(E169*G169*IFERROR(SUMIF('Pricing &amp; promotions'!$A$6:$A$8,L169,'Pricing &amp; promotions'!$B$6:$B$8)/100,0),2),J169)</f>
        <v>0.0</v>
      </c>
      <c r="I169" s="6">
        <f>ROUND((E169*G169-H169)/(1+'Settings'!$B$6/100),2)</f>
        <v>57.77</v>
      </c>
      <c r="J169" s="8">
        <v>0.0</v>
      </c>
      <c r="K169" s="3" t="inlineStr">
        <is>
          <t xml:space="preserve">TRUE</t>
        </is>
      </c>
      <c r="L169" s="3"/>
    </row>
    <row r="170">
      <c r="A170" s="3" t="inlineStr">
        <is>
          <t xml:space="preserve">#1117</t>
        </is>
      </c>
      <c r="B170" s="3" t="inlineStr">
        <is>
          <t xml:space="preserve">2025-11-28</t>
        </is>
      </c>
      <c r="C170" s="3" t="inlineStr">
        <is>
          <t xml:space="preserve">SKU-A</t>
        </is>
      </c>
      <c r="D170" s="3" t="inlineStr">
        <is>
          <t xml:space="preserve">Renewal Serum</t>
        </is>
      </c>
      <c r="E170" s="6">
        <f>IF('Settings'!$B$11="Scenario",IFERROR(INDEX('Catalogue'!$E$3:$E$100,MATCH(C170,'Catalogue'!$B$3:$B$100,0)),F170),F170)</f>
        <v>69.9</v>
      </c>
      <c r="F170" s="8">
        <v>64</v>
      </c>
      <c r="G170" s="3">
        <v>1</v>
      </c>
      <c r="H170" s="6">
        <f>IF('Settings'!$B$11="Scenario",ROUND(E170*G170*IFERROR(SUMIF('Pricing &amp; promotions'!$A$6:$A$8,L170,'Pricing &amp; promotions'!$B$6:$B$8)/100,0),2),J170)</f>
        <v>0.0</v>
      </c>
      <c r="I170" s="6">
        <f>ROUND((E170*G170-H170)/(1+'Settings'!$B$6/100),2)</f>
        <v>57.77</v>
      </c>
      <c r="J170" s="8">
        <v>0.0</v>
      </c>
      <c r="K170" s="3" t="inlineStr">
        <is>
          <t xml:space="preserve">TRUE</t>
        </is>
      </c>
      <c r="L170" s="3"/>
    </row>
    <row r="171">
      <c r="A171" s="3" t="inlineStr">
        <is>
          <t xml:space="preserve">#1118</t>
        </is>
      </c>
      <c r="B171" s="3" t="inlineStr">
        <is>
          <t xml:space="preserve">2025-11-28</t>
        </is>
      </c>
      <c r="C171" s="3" t="inlineStr">
        <is>
          <t xml:space="preserve">SKU-D</t>
        </is>
      </c>
      <c r="D171" s="3" t="inlineStr">
        <is>
          <t xml:space="preserve">Daily Duo</t>
        </is>
      </c>
      <c r="E171" s="6">
        <f>IF('Settings'!$B$11="Scenario",IFERROR(INDEX('Catalogue'!$E$3:$E$100,MATCH(C171,'Catalogue'!$B$3:$B$100,0)),F171),F171)</f>
        <v>79</v>
      </c>
      <c r="F171" s="8">
        <v>79</v>
      </c>
      <c r="G171" s="3">
        <v>1</v>
      </c>
      <c r="H171" s="6">
        <f>IF('Settings'!$B$11="Scenario",ROUND(E171*G171*IFERROR(SUMIF('Pricing &amp; promotions'!$A$6:$A$8,L171,'Pricing &amp; promotions'!$B$6:$B$8)/100,0),2),J171)</f>
        <v>0.0</v>
      </c>
      <c r="I171" s="6">
        <f>ROUND((E171*G171-H171)/(1+'Settings'!$B$6/100),2)</f>
        <v>65.29</v>
      </c>
      <c r="J171" s="8">
        <v>0.0</v>
      </c>
      <c r="K171" s="3" t="inlineStr">
        <is>
          <t xml:space="preserve">TRUE</t>
        </is>
      </c>
      <c r="L171" s="3"/>
    </row>
    <row r="172">
      <c r="A172" s="3" t="inlineStr">
        <is>
          <t xml:space="preserve">#1118</t>
        </is>
      </c>
      <c r="B172" s="3" t="inlineStr">
        <is>
          <t xml:space="preserve">2025-11-28</t>
        </is>
      </c>
      <c r="C172" s="3" t="inlineStr">
        <is>
          <t xml:space="preserve">SKU-F</t>
        </is>
      </c>
      <c r="D172" s="3" t="inlineStr">
        <is>
          <t xml:space="preserve">Cloud Cleanser</t>
        </is>
      </c>
      <c r="E172" s="6">
        <f>IF('Settings'!$B$11="Scenario",IFERROR(INDEX('Catalogue'!$E$3:$E$100,MATCH(C172,'Catalogue'!$B$3:$B$100,0)),F172),F172)</f>
        <v>34</v>
      </c>
      <c r="F172" s="8">
        <v>34</v>
      </c>
      <c r="G172" s="3">
        <v>1</v>
      </c>
      <c r="H172" s="6">
        <f>IF('Settings'!$B$11="Scenario",ROUND(E172*G172*IFERROR(SUMIF('Pricing &amp; promotions'!$A$6:$A$8,L172,'Pricing &amp; promotions'!$B$6:$B$8)/100,0),2),J172)</f>
        <v>0.0</v>
      </c>
      <c r="I172" s="6">
        <f>ROUND((E172*G172-H172)/(1+'Settings'!$B$6/100),2)</f>
        <v>28.1</v>
      </c>
      <c r="J172" s="8">
        <v>0.0</v>
      </c>
      <c r="K172" s="3" t="inlineStr">
        <is>
          <t xml:space="preserve">TRUE</t>
        </is>
      </c>
      <c r="L172" s="3"/>
    </row>
    <row r="173">
      <c r="A173" s="3" t="inlineStr">
        <is>
          <t xml:space="preserve">#1119</t>
        </is>
      </c>
      <c r="B173" s="3" t="inlineStr">
        <is>
          <t xml:space="preserve">2025-11-28</t>
        </is>
      </c>
      <c r="C173" s="3" t="inlineStr">
        <is>
          <t xml:space="preserve">SKU-C</t>
        </is>
      </c>
      <c r="D173" s="3" t="inlineStr">
        <is>
          <t xml:space="preserve">Contour Stone</t>
        </is>
      </c>
      <c r="E173" s="6">
        <f>IF('Settings'!$B$11="Scenario",IFERROR(INDEX('Catalogue'!$E$3:$E$100,MATCH(C173,'Catalogue'!$B$3:$B$100,0)),F173),F173)</f>
        <v>29</v>
      </c>
      <c r="F173" s="8">
        <v>29</v>
      </c>
      <c r="G173" s="3">
        <v>1</v>
      </c>
      <c r="H173" s="6">
        <f>IF('Settings'!$B$11="Scenario",ROUND(E173*G173*IFERROR(SUMIF('Pricing &amp; promotions'!$A$6:$A$8,L173,'Pricing &amp; promotions'!$B$6:$B$8)/100,0),2),J173)</f>
        <v>0.0</v>
      </c>
      <c r="I173" s="6">
        <f>ROUND((E173*G173-H173)/(1+'Settings'!$B$6/100),2)</f>
        <v>23.97</v>
      </c>
      <c r="J173" s="8">
        <v>0.0</v>
      </c>
      <c r="K173" s="3" t="inlineStr">
        <is>
          <t xml:space="preserve">TRUE</t>
        </is>
      </c>
      <c r="L173" s="3"/>
    </row>
    <row r="174">
      <c r="A174" s="3" t="inlineStr">
        <is>
          <t xml:space="preserve">#1119</t>
        </is>
      </c>
      <c r="B174" s="3" t="inlineStr">
        <is>
          <t xml:space="preserve">2025-11-28</t>
        </is>
      </c>
      <c r="C174" s="3" t="inlineStr">
        <is>
          <t xml:space="preserve">SKU-D</t>
        </is>
      </c>
      <c r="D174" s="3" t="inlineStr">
        <is>
          <t xml:space="preserve">Daily Duo</t>
        </is>
      </c>
      <c r="E174" s="6">
        <f>IF('Settings'!$B$11="Scenario",IFERROR(INDEX('Catalogue'!$E$3:$E$100,MATCH(C174,'Catalogue'!$B$3:$B$100,0)),F174),F174)</f>
        <v>79</v>
      </c>
      <c r="F174" s="8">
        <v>79</v>
      </c>
      <c r="G174" s="3">
        <v>1</v>
      </c>
      <c r="H174" s="6">
        <f>IF('Settings'!$B$11="Scenario",ROUND(E174*G174*IFERROR(SUMIF('Pricing &amp; promotions'!$A$6:$A$8,L174,'Pricing &amp; promotions'!$B$6:$B$8)/100,0),2),J174)</f>
        <v>0.0</v>
      </c>
      <c r="I174" s="6">
        <f>ROUND((E174*G174-H174)/(1+'Settings'!$B$6/100),2)</f>
        <v>65.29</v>
      </c>
      <c r="J174" s="8">
        <v>0.0</v>
      </c>
      <c r="K174" s="3" t="inlineStr">
        <is>
          <t xml:space="preserve">TRUE</t>
        </is>
      </c>
      <c r="L174" s="3"/>
    </row>
    <row r="175">
      <c r="A175" s="3" t="inlineStr">
        <is>
          <t xml:space="preserve">#1120</t>
        </is>
      </c>
      <c r="B175" s="3" t="inlineStr">
        <is>
          <t xml:space="preserve">2025-11-28</t>
        </is>
      </c>
      <c r="C175" s="3" t="inlineStr">
        <is>
          <t xml:space="preserve">SKU-B</t>
        </is>
      </c>
      <c r="D175" s="3" t="inlineStr">
        <is>
          <t xml:space="preserve">Barrier Balm</t>
        </is>
      </c>
      <c r="E175" s="6">
        <f>IF('Settings'!$B$11="Scenario",IFERROR(INDEX('Catalogue'!$E$3:$E$100,MATCH(C175,'Catalogue'!$B$3:$B$100,0)),F175),F175)</f>
        <v>19</v>
      </c>
      <c r="F175" s="8">
        <v>18</v>
      </c>
      <c r="G175" s="3">
        <v>1</v>
      </c>
      <c r="H175" s="6">
        <f>IF('Settings'!$B$11="Scenario",ROUND(E175*G175*IFERROR(SUMIF('Pricing &amp; promotions'!$A$6:$A$8,L175,'Pricing &amp; promotions'!$B$6:$B$8)/100,0),2),J175)</f>
        <v>0.0</v>
      </c>
      <c r="I175" s="6">
        <f>ROUND((E175*G175-H175)/(1+'Settings'!$B$6/100),2)</f>
        <v>15.7</v>
      </c>
      <c r="J175" s="8">
        <v>0.0</v>
      </c>
      <c r="K175" s="3" t="inlineStr">
        <is>
          <t xml:space="preserve">TRUE</t>
        </is>
      </c>
      <c r="L175" s="3"/>
    </row>
    <row r="176">
      <c r="A176" s="3" t="inlineStr">
        <is>
          <t xml:space="preserve">#1120</t>
        </is>
      </c>
      <c r="B176" s="3" t="inlineStr">
        <is>
          <t xml:space="preserve">2025-11-28</t>
        </is>
      </c>
      <c r="C176" s="3" t="inlineStr">
        <is>
          <t xml:space="preserve">SKU-F</t>
        </is>
      </c>
      <c r="D176" s="3" t="inlineStr">
        <is>
          <t xml:space="preserve">Cloud Cleanser</t>
        </is>
      </c>
      <c r="E176" s="6">
        <f>IF('Settings'!$B$11="Scenario",IFERROR(INDEX('Catalogue'!$E$3:$E$100,MATCH(C176,'Catalogue'!$B$3:$B$100,0)),F176),F176)</f>
        <v>34</v>
      </c>
      <c r="F176" s="8">
        <v>34</v>
      </c>
      <c r="G176" s="3">
        <v>1</v>
      </c>
      <c r="H176" s="6">
        <f>IF('Settings'!$B$11="Scenario",ROUND(E176*G176*IFERROR(SUMIF('Pricing &amp; promotions'!$A$6:$A$8,L176,'Pricing &amp; promotions'!$B$6:$B$8)/100,0),2),J176)</f>
        <v>0.0</v>
      </c>
      <c r="I176" s="6">
        <f>ROUND((E176*G176-H176)/(1+'Settings'!$B$6/100),2)</f>
        <v>28.1</v>
      </c>
      <c r="J176" s="8">
        <v>0.0</v>
      </c>
      <c r="K176" s="3" t="inlineStr">
        <is>
          <t xml:space="preserve">TRUE</t>
        </is>
      </c>
      <c r="L176" s="3"/>
    </row>
    <row r="177">
      <c r="A177" s="3" t="inlineStr">
        <is>
          <t xml:space="preserve">#1120</t>
        </is>
      </c>
      <c r="B177" s="3" t="inlineStr">
        <is>
          <t xml:space="preserve">2025-11-28</t>
        </is>
      </c>
      <c r="C177" s="3" t="inlineStr">
        <is>
          <t xml:space="preserve">SKU-E</t>
        </is>
      </c>
      <c r="D177" s="3" t="inlineStr">
        <is>
          <t xml:space="preserve">Complete Ritual</t>
        </is>
      </c>
      <c r="E177" s="6">
        <f>IF('Settings'!$B$11="Scenario",IFERROR(INDEX('Catalogue'!$E$3:$E$100,MATCH(C177,'Catalogue'!$B$3:$B$100,0)),F177),F177)</f>
        <v>89</v>
      </c>
      <c r="F177" s="8">
        <v>89</v>
      </c>
      <c r="G177" s="3">
        <v>1</v>
      </c>
      <c r="H177" s="6">
        <f>IF('Settings'!$B$11="Scenario",ROUND(E177*G177*IFERROR(SUMIF('Pricing &amp; promotions'!$A$6:$A$8,L177,'Pricing &amp; promotions'!$B$6:$B$8)/100,0),2),J177)</f>
        <v>0.0</v>
      </c>
      <c r="I177" s="6">
        <f>ROUND((E177*G177-H177)/(1+'Settings'!$B$6/100),2)</f>
        <v>73.55</v>
      </c>
      <c r="J177" s="8">
        <v>0.0</v>
      </c>
      <c r="K177" s="3" t="inlineStr">
        <is>
          <t xml:space="preserve">TRUE</t>
        </is>
      </c>
      <c r="L177" s="3"/>
    </row>
    <row r="178">
      <c r="A178" s="3" t="inlineStr">
        <is>
          <t xml:space="preserve">#1121</t>
        </is>
      </c>
      <c r="B178" s="3" t="inlineStr">
        <is>
          <t xml:space="preserve">2025-11-29</t>
        </is>
      </c>
      <c r="C178" s="3" t="inlineStr">
        <is>
          <t xml:space="preserve">SKU-D</t>
        </is>
      </c>
      <c r="D178" s="3" t="inlineStr">
        <is>
          <t xml:space="preserve">Daily Duo</t>
        </is>
      </c>
      <c r="E178" s="6">
        <f>IF('Settings'!$B$11="Scenario",IFERROR(INDEX('Catalogue'!$E$3:$E$100,MATCH(C178,'Catalogue'!$B$3:$B$100,0)),F178),F178)</f>
        <v>79</v>
      </c>
      <c r="F178" s="8">
        <v>79</v>
      </c>
      <c r="G178" s="3">
        <v>1</v>
      </c>
      <c r="H178" s="6">
        <f>IF('Settings'!$B$11="Scenario",ROUND(E178*G178*IFERROR(SUMIF('Pricing &amp; promotions'!$A$6:$A$8,L178,'Pricing &amp; promotions'!$B$6:$B$8)/100,0),2),J178)</f>
        <v>7.9</v>
      </c>
      <c r="I178" s="6">
        <f>ROUND((E178*G178-H178)/(1+'Settings'!$B$6/100),2)</f>
        <v>58.76</v>
      </c>
      <c r="J178" s="8">
        <v>7.9</v>
      </c>
      <c r="K178" s="3" t="inlineStr">
        <is>
          <t xml:space="preserve">TRUE</t>
        </is>
      </c>
      <c r="L178" s="3" t="inlineStr">
        <is>
          <t xml:space="preserve">WELCOME10</t>
        </is>
      </c>
    </row>
    <row r="179">
      <c r="A179" s="3" t="inlineStr">
        <is>
          <t xml:space="preserve">#1121</t>
        </is>
      </c>
      <c r="B179" s="3" t="inlineStr">
        <is>
          <t xml:space="preserve">2025-11-29</t>
        </is>
      </c>
      <c r="C179" s="3" t="inlineStr">
        <is>
          <t xml:space="preserve">SKU-A</t>
        </is>
      </c>
      <c r="D179" s="3" t="inlineStr">
        <is>
          <t xml:space="preserve">Renewal Serum</t>
        </is>
      </c>
      <c r="E179" s="6">
        <f>IF('Settings'!$B$11="Scenario",IFERROR(INDEX('Catalogue'!$E$3:$E$100,MATCH(C179,'Catalogue'!$B$3:$B$100,0)),F179),F179)</f>
        <v>69.9</v>
      </c>
      <c r="F179" s="8">
        <v>64</v>
      </c>
      <c r="G179" s="3">
        <v>1</v>
      </c>
      <c r="H179" s="6">
        <f>IF('Settings'!$B$11="Scenario",ROUND(E179*G179*IFERROR(SUMIF('Pricing &amp; promotions'!$A$6:$A$8,L179,'Pricing &amp; promotions'!$B$6:$B$8)/100,0),2),J179)</f>
        <v>6.99</v>
      </c>
      <c r="I179" s="6">
        <f>ROUND((E179*G179-H179)/(1+'Settings'!$B$6/100),2)</f>
        <v>51.99</v>
      </c>
      <c r="J179" s="8">
        <v>6.4</v>
      </c>
      <c r="K179" s="3" t="inlineStr">
        <is>
          <t xml:space="preserve">TRUE</t>
        </is>
      </c>
      <c r="L179" s="3" t="inlineStr">
        <is>
          <t xml:space="preserve">WELCOME10</t>
        </is>
      </c>
    </row>
    <row r="180">
      <c r="A180" s="3" t="inlineStr">
        <is>
          <t xml:space="preserve">#1121</t>
        </is>
      </c>
      <c r="B180" s="3" t="inlineStr">
        <is>
          <t xml:space="preserve">2025-11-29</t>
        </is>
      </c>
      <c r="C180" s="3" t="inlineStr">
        <is>
          <t xml:space="preserve">SKU-F</t>
        </is>
      </c>
      <c r="D180" s="3" t="inlineStr">
        <is>
          <t xml:space="preserve">Cloud Cleanser</t>
        </is>
      </c>
      <c r="E180" s="6">
        <f>IF('Settings'!$B$11="Scenario",IFERROR(INDEX('Catalogue'!$E$3:$E$100,MATCH(C180,'Catalogue'!$B$3:$B$100,0)),F180),F180)</f>
        <v>34</v>
      </c>
      <c r="F180" s="8">
        <v>34</v>
      </c>
      <c r="G180" s="3">
        <v>1</v>
      </c>
      <c r="H180" s="6">
        <f>IF('Settings'!$B$11="Scenario",ROUND(E180*G180*IFERROR(SUMIF('Pricing &amp; promotions'!$A$6:$A$8,L180,'Pricing &amp; promotions'!$B$6:$B$8)/100,0),2),J180)</f>
        <v>3.4</v>
      </c>
      <c r="I180" s="6">
        <f>ROUND((E180*G180-H180)/(1+'Settings'!$B$6/100),2)</f>
        <v>25.29</v>
      </c>
      <c r="J180" s="8">
        <v>3.4</v>
      </c>
      <c r="K180" s="3" t="inlineStr">
        <is>
          <t xml:space="preserve">TRUE</t>
        </is>
      </c>
      <c r="L180" s="3" t="inlineStr">
        <is>
          <t xml:space="preserve">WELCOME10</t>
        </is>
      </c>
    </row>
    <row r="181">
      <c r="A181" s="3" t="inlineStr">
        <is>
          <t xml:space="preserve">#1122</t>
        </is>
      </c>
      <c r="B181" s="3" t="inlineStr">
        <is>
          <t xml:space="preserve">2025-11-29</t>
        </is>
      </c>
      <c r="C181" s="3" t="inlineStr">
        <is>
          <t xml:space="preserve">SKU-A</t>
        </is>
      </c>
      <c r="D181" s="3" t="inlineStr">
        <is>
          <t xml:space="preserve">Renewal Serum</t>
        </is>
      </c>
      <c r="E181" s="6">
        <f>IF('Settings'!$B$11="Scenario",IFERROR(INDEX('Catalogue'!$E$3:$E$100,MATCH(C181,'Catalogue'!$B$3:$B$100,0)),F181),F181)</f>
        <v>69.9</v>
      </c>
      <c r="F181" s="8">
        <v>64</v>
      </c>
      <c r="G181" s="3">
        <v>1</v>
      </c>
      <c r="H181" s="6">
        <f>IF('Settings'!$B$11="Scenario",ROUND(E181*G181*IFERROR(SUMIF('Pricing &amp; promotions'!$A$6:$A$8,L181,'Pricing &amp; promotions'!$B$6:$B$8)/100,0),2),J181)</f>
        <v>0.0</v>
      </c>
      <c r="I181" s="6">
        <f>ROUND((E181*G181-H181)/(1+'Settings'!$B$6/100),2)</f>
        <v>57.77</v>
      </c>
      <c r="J181" s="8">
        <v>0.0</v>
      </c>
      <c r="K181" s="3" t="inlineStr">
        <is>
          <t xml:space="preserve">TRUE</t>
        </is>
      </c>
      <c r="L181" s="3"/>
    </row>
    <row r="182">
      <c r="A182" s="3" t="inlineStr">
        <is>
          <t xml:space="preserve">#1123</t>
        </is>
      </c>
      <c r="B182" s="3" t="inlineStr">
        <is>
          <t xml:space="preserve">2025-11-30</t>
        </is>
      </c>
      <c r="C182" s="3" t="inlineStr">
        <is>
          <t xml:space="preserve">SKU-A</t>
        </is>
      </c>
      <c r="D182" s="3" t="inlineStr">
        <is>
          <t xml:space="preserve">Renewal Serum</t>
        </is>
      </c>
      <c r="E182" s="6">
        <f>IF('Settings'!$B$11="Scenario",IFERROR(INDEX('Catalogue'!$E$3:$E$100,MATCH(C182,'Catalogue'!$B$3:$B$100,0)),F182),F182)</f>
        <v>69.9</v>
      </c>
      <c r="F182" s="8">
        <v>64</v>
      </c>
      <c r="G182" s="3">
        <v>1</v>
      </c>
      <c r="H182" s="6">
        <f>IF('Settings'!$B$11="Scenario",ROUND(E182*G182*IFERROR(SUMIF('Pricing &amp; promotions'!$A$6:$A$8,L182,'Pricing &amp; promotions'!$B$6:$B$8)/100,0),2),J182)</f>
        <v>0.0</v>
      </c>
      <c r="I182" s="6">
        <f>ROUND((E182*G182-H182)/(1+'Settings'!$B$6/100),2)</f>
        <v>57.77</v>
      </c>
      <c r="J182" s="8">
        <v>0.0</v>
      </c>
      <c r="K182" s="3" t="inlineStr">
        <is>
          <t xml:space="preserve">TRUE</t>
        </is>
      </c>
      <c r="L182" s="3"/>
    </row>
    <row r="183">
      <c r="A183" s="3" t="inlineStr">
        <is>
          <t xml:space="preserve">#1123</t>
        </is>
      </c>
      <c r="B183" s="3" t="inlineStr">
        <is>
          <t xml:space="preserve">2025-11-30</t>
        </is>
      </c>
      <c r="C183" s="3" t="inlineStr">
        <is>
          <t xml:space="preserve">SKU-G</t>
        </is>
      </c>
      <c r="D183" s="3" t="inlineStr">
        <is>
          <t xml:space="preserve">Daily Reset Set</t>
        </is>
      </c>
      <c r="E183" s="6">
        <f>IF('Settings'!$B$11="Scenario",IFERROR(INDEX('Catalogue'!$E$3:$E$100,MATCH(C183,'Catalogue'!$B$3:$B$100,0)),F183),F183)</f>
        <v>69</v>
      </c>
      <c r="F183" s="8">
        <v>69</v>
      </c>
      <c r="G183" s="3">
        <v>1</v>
      </c>
      <c r="H183" s="6">
        <f>IF('Settings'!$B$11="Scenario",ROUND(E183*G183*IFERROR(SUMIF('Pricing &amp; promotions'!$A$6:$A$8,L183,'Pricing &amp; promotions'!$B$6:$B$8)/100,0),2),J183)</f>
        <v>0.0</v>
      </c>
      <c r="I183" s="6">
        <f>ROUND((E183*G183-H183)/(1+'Settings'!$B$6/100),2)</f>
        <v>57.02</v>
      </c>
      <c r="J183" s="8">
        <v>0.0</v>
      </c>
      <c r="K183" s="3" t="inlineStr">
        <is>
          <t xml:space="preserve">TRUE</t>
        </is>
      </c>
      <c r="L183" s="3"/>
    </row>
    <row r="184">
      <c r="A184" s="3" t="inlineStr">
        <is>
          <t xml:space="preserve">#1124</t>
        </is>
      </c>
      <c r="B184" s="3" t="inlineStr">
        <is>
          <t xml:space="preserve">2025-11-30</t>
        </is>
      </c>
      <c r="C184" s="3" t="inlineStr">
        <is>
          <t xml:space="preserve">SKU-A</t>
        </is>
      </c>
      <c r="D184" s="3" t="inlineStr">
        <is>
          <t xml:space="preserve">Renewal Serum</t>
        </is>
      </c>
      <c r="E184" s="6">
        <f>IF('Settings'!$B$11="Scenario",IFERROR(INDEX('Catalogue'!$E$3:$E$100,MATCH(C184,'Catalogue'!$B$3:$B$100,0)),F184),F184)</f>
        <v>69.9</v>
      </c>
      <c r="F184" s="8">
        <v>64</v>
      </c>
      <c r="G184" s="3">
        <v>1</v>
      </c>
      <c r="H184" s="6">
        <f>IF('Settings'!$B$11="Scenario",ROUND(E184*G184*IFERROR(SUMIF('Pricing &amp; promotions'!$A$6:$A$8,L184,'Pricing &amp; promotions'!$B$6:$B$8)/100,0),2),J184)</f>
        <v>0.0</v>
      </c>
      <c r="I184" s="6">
        <f>ROUND((E184*G184-H184)/(1+'Settings'!$B$6/100),2)</f>
        <v>57.77</v>
      </c>
      <c r="J184" s="8">
        <v>0.0</v>
      </c>
      <c r="K184" s="3" t="inlineStr">
        <is>
          <t xml:space="preserve">TRUE</t>
        </is>
      </c>
      <c r="L184" s="3"/>
    </row>
    <row r="185">
      <c r="A185" s="3" t="inlineStr">
        <is>
          <t xml:space="preserve">#1125</t>
        </is>
      </c>
      <c r="B185" s="3" t="inlineStr">
        <is>
          <t xml:space="preserve">2025-11-30</t>
        </is>
      </c>
      <c r="C185" s="3" t="inlineStr">
        <is>
          <t xml:space="preserve">SKU-B</t>
        </is>
      </c>
      <c r="D185" s="3" t="inlineStr">
        <is>
          <t xml:space="preserve">Barrier Balm</t>
        </is>
      </c>
      <c r="E185" s="6">
        <f>IF('Settings'!$B$11="Scenario",IFERROR(INDEX('Catalogue'!$E$3:$E$100,MATCH(C185,'Catalogue'!$B$3:$B$100,0)),F185),F185)</f>
        <v>19</v>
      </c>
      <c r="F185" s="8">
        <v>18</v>
      </c>
      <c r="G185" s="3">
        <v>1</v>
      </c>
      <c r="H185" s="6">
        <f>IF('Settings'!$B$11="Scenario",ROUND(E185*G185*IFERROR(SUMIF('Pricing &amp; promotions'!$A$6:$A$8,L185,'Pricing &amp; promotions'!$B$6:$B$8)/100,0),2),J185)</f>
        <v>0.0</v>
      </c>
      <c r="I185" s="6">
        <f>ROUND((E185*G185-H185)/(1+'Settings'!$B$6/100),2)</f>
        <v>15.7</v>
      </c>
      <c r="J185" s="8">
        <v>0.0</v>
      </c>
      <c r="K185" s="3" t="inlineStr">
        <is>
          <t xml:space="preserve">TRUE</t>
        </is>
      </c>
      <c r="L185" s="3"/>
    </row>
    <row r="186">
      <c r="A186" s="3" t="inlineStr">
        <is>
          <t xml:space="preserve">#1126</t>
        </is>
      </c>
      <c r="B186" s="3" t="inlineStr">
        <is>
          <t xml:space="preserve">2025-12-01</t>
        </is>
      </c>
      <c r="C186" s="3" t="inlineStr">
        <is>
          <t xml:space="preserve">SKU-E</t>
        </is>
      </c>
      <c r="D186" s="3" t="inlineStr">
        <is>
          <t xml:space="preserve">Complete Ritual</t>
        </is>
      </c>
      <c r="E186" s="6">
        <f>IF('Settings'!$B$11="Scenario",IFERROR(INDEX('Catalogue'!$E$3:$E$100,MATCH(C186,'Catalogue'!$B$3:$B$100,0)),F186),F186)</f>
        <v>89</v>
      </c>
      <c r="F186" s="8">
        <v>89</v>
      </c>
      <c r="G186" s="3">
        <v>1</v>
      </c>
      <c r="H186" s="6">
        <f>IF('Settings'!$B$11="Scenario",ROUND(E186*G186*IFERROR(SUMIF('Pricing &amp; promotions'!$A$6:$A$8,L186,'Pricing &amp; promotions'!$B$6:$B$8)/100,0),2),J186)</f>
        <v>0.0</v>
      </c>
      <c r="I186" s="6">
        <f>ROUND((E186*G186-H186)/(1+'Settings'!$B$6/100),2)</f>
        <v>73.55</v>
      </c>
      <c r="J186" s="8">
        <v>0.0</v>
      </c>
      <c r="K186" s="3" t="inlineStr">
        <is>
          <t xml:space="preserve">TRUE</t>
        </is>
      </c>
      <c r="L186" s="3"/>
    </row>
    <row r="187">
      <c r="A187" s="3" t="inlineStr">
        <is>
          <t xml:space="preserve">#1127</t>
        </is>
      </c>
      <c r="B187" s="3" t="inlineStr">
        <is>
          <t xml:space="preserve">2025-12-01</t>
        </is>
      </c>
      <c r="C187" s="3" t="inlineStr">
        <is>
          <t xml:space="preserve">SKU-A</t>
        </is>
      </c>
      <c r="D187" s="3" t="inlineStr">
        <is>
          <t xml:space="preserve">Renewal Serum</t>
        </is>
      </c>
      <c r="E187" s="6">
        <f>IF('Settings'!$B$11="Scenario",IFERROR(INDEX('Catalogue'!$E$3:$E$100,MATCH(C187,'Catalogue'!$B$3:$B$100,0)),F187),F187)</f>
        <v>69.9</v>
      </c>
      <c r="F187" s="8">
        <v>64</v>
      </c>
      <c r="G187" s="3">
        <v>1</v>
      </c>
      <c r="H187" s="6">
        <f>IF('Settings'!$B$11="Scenario",ROUND(E187*G187*IFERROR(SUMIF('Pricing &amp; promotions'!$A$6:$A$8,L187,'Pricing &amp; promotions'!$B$6:$B$8)/100,0),2),J187)</f>
        <v>0.0</v>
      </c>
      <c r="I187" s="6">
        <f>ROUND((E187*G187-H187)/(1+'Settings'!$B$6/100),2)</f>
        <v>57.77</v>
      </c>
      <c r="J187" s="8">
        <v>0.0</v>
      </c>
      <c r="K187" s="3" t="inlineStr">
        <is>
          <t xml:space="preserve">TRUE</t>
        </is>
      </c>
      <c r="L187" s="3"/>
    </row>
    <row r="188">
      <c r="A188" s="3" t="inlineStr">
        <is>
          <t xml:space="preserve">#1128</t>
        </is>
      </c>
      <c r="B188" s="3" t="inlineStr">
        <is>
          <t xml:space="preserve">2025-12-01</t>
        </is>
      </c>
      <c r="C188" s="3" t="inlineStr">
        <is>
          <t xml:space="preserve">SKU-E</t>
        </is>
      </c>
      <c r="D188" s="3" t="inlineStr">
        <is>
          <t xml:space="preserve">Complete Ritual</t>
        </is>
      </c>
      <c r="E188" s="6">
        <f>IF('Settings'!$B$11="Scenario",IFERROR(INDEX('Catalogue'!$E$3:$E$100,MATCH(C188,'Catalogue'!$B$3:$B$100,0)),F188),F188)</f>
        <v>89</v>
      </c>
      <c r="F188" s="8">
        <v>89</v>
      </c>
      <c r="G188" s="3">
        <v>1</v>
      </c>
      <c r="H188" s="6">
        <f>IF('Settings'!$B$11="Scenario",ROUND(E188*G188*IFERROR(SUMIF('Pricing &amp; promotions'!$A$6:$A$8,L188,'Pricing &amp; promotions'!$B$6:$B$8)/100,0),2),J188)</f>
        <v>0.0</v>
      </c>
      <c r="I188" s="6">
        <f>ROUND((E188*G188-H188)/(1+'Settings'!$B$6/100),2)</f>
        <v>73.55</v>
      </c>
      <c r="J188" s="8">
        <v>0.0</v>
      </c>
      <c r="K188" s="3" t="inlineStr">
        <is>
          <t xml:space="preserve">TRUE</t>
        </is>
      </c>
      <c r="L188" s="3"/>
    </row>
    <row r="189">
      <c r="A189" s="3" t="inlineStr">
        <is>
          <t xml:space="preserve">#1129</t>
        </is>
      </c>
      <c r="B189" s="3" t="inlineStr">
        <is>
          <t xml:space="preserve">2025-12-01</t>
        </is>
      </c>
      <c r="C189" s="3" t="inlineStr">
        <is>
          <t xml:space="preserve">SKU-A</t>
        </is>
      </c>
      <c r="D189" s="3" t="inlineStr">
        <is>
          <t xml:space="preserve">Renewal Serum</t>
        </is>
      </c>
      <c r="E189" s="6">
        <f>IF('Settings'!$B$11="Scenario",IFERROR(INDEX('Catalogue'!$E$3:$E$100,MATCH(C189,'Catalogue'!$B$3:$B$100,0)),F189),F189)</f>
        <v>69.9</v>
      </c>
      <c r="F189" s="8">
        <v>64</v>
      </c>
      <c r="G189" s="3">
        <v>1</v>
      </c>
      <c r="H189" s="6">
        <f>IF('Settings'!$B$11="Scenario",ROUND(E189*G189*IFERROR(SUMIF('Pricing &amp; promotions'!$A$6:$A$8,L189,'Pricing &amp; promotions'!$B$6:$B$8)/100,0),2),J189)</f>
        <v>10.49</v>
      </c>
      <c r="I189" s="6">
        <f>ROUND((E189*G189-H189)/(1+'Settings'!$B$6/100),2)</f>
        <v>49.1</v>
      </c>
      <c r="J189" s="8">
        <v>9.6</v>
      </c>
      <c r="K189" s="3" t="inlineStr">
        <is>
          <t xml:space="preserve">TRUE</t>
        </is>
      </c>
      <c r="L189" s="3" t="inlineStr">
        <is>
          <t xml:space="preserve">SUMMER15</t>
        </is>
      </c>
    </row>
    <row r="190">
      <c r="A190" s="3" t="inlineStr">
        <is>
          <t xml:space="preserve">#1129</t>
        </is>
      </c>
      <c r="B190" s="3" t="inlineStr">
        <is>
          <t xml:space="preserve">2025-12-01</t>
        </is>
      </c>
      <c r="C190" s="3" t="inlineStr">
        <is>
          <t xml:space="preserve">SKU-D</t>
        </is>
      </c>
      <c r="D190" s="3" t="inlineStr">
        <is>
          <t xml:space="preserve">Daily Duo</t>
        </is>
      </c>
      <c r="E190" s="6">
        <f>IF('Settings'!$B$11="Scenario",IFERROR(INDEX('Catalogue'!$E$3:$E$100,MATCH(C190,'Catalogue'!$B$3:$B$100,0)),F190),F190)</f>
        <v>79</v>
      </c>
      <c r="F190" s="8">
        <v>79</v>
      </c>
      <c r="G190" s="3">
        <v>1</v>
      </c>
      <c r="H190" s="6">
        <f>IF('Settings'!$B$11="Scenario",ROUND(E190*G190*IFERROR(SUMIF('Pricing &amp; promotions'!$A$6:$A$8,L190,'Pricing &amp; promotions'!$B$6:$B$8)/100,0),2),J190)</f>
        <v>11.85</v>
      </c>
      <c r="I190" s="6">
        <f>ROUND((E190*G190-H190)/(1+'Settings'!$B$6/100),2)</f>
        <v>55.5</v>
      </c>
      <c r="J190" s="8">
        <v>11.85</v>
      </c>
      <c r="K190" s="3" t="inlineStr">
        <is>
          <t xml:space="preserve">TRUE</t>
        </is>
      </c>
      <c r="L190" s="3" t="inlineStr">
        <is>
          <t xml:space="preserve">SUMMER15</t>
        </is>
      </c>
    </row>
    <row r="191">
      <c r="A191" s="3" t="inlineStr">
        <is>
          <t xml:space="preserve">#1130</t>
        </is>
      </c>
      <c r="B191" s="3" t="inlineStr">
        <is>
          <t xml:space="preserve">2025-12-01</t>
        </is>
      </c>
      <c r="C191" s="3" t="inlineStr">
        <is>
          <t xml:space="preserve">SKU-A</t>
        </is>
      </c>
      <c r="D191" s="3" t="inlineStr">
        <is>
          <t xml:space="preserve">Renewal Serum</t>
        </is>
      </c>
      <c r="E191" s="6">
        <f>IF('Settings'!$B$11="Scenario",IFERROR(INDEX('Catalogue'!$E$3:$E$100,MATCH(C191,'Catalogue'!$B$3:$B$100,0)),F191),F191)</f>
        <v>69.9</v>
      </c>
      <c r="F191" s="8">
        <v>64</v>
      </c>
      <c r="G191" s="3">
        <v>2</v>
      </c>
      <c r="H191" s="6">
        <f>IF('Settings'!$B$11="Scenario",ROUND(E191*G191*IFERROR(SUMIF('Pricing &amp; promotions'!$A$6:$A$8,L191,'Pricing &amp; promotions'!$B$6:$B$8)/100,0),2),J191)</f>
        <v>13.98</v>
      </c>
      <c r="I191" s="6">
        <f>ROUND((E191*G191-H191)/(1+'Settings'!$B$6/100),2)</f>
        <v>103.98</v>
      </c>
      <c r="J191" s="8">
        <v>12.8</v>
      </c>
      <c r="K191" s="3" t="inlineStr">
        <is>
          <t xml:space="preserve">TRUE</t>
        </is>
      </c>
      <c r="L191" s="3" t="inlineStr">
        <is>
          <t xml:space="preserve">WELCOME10</t>
        </is>
      </c>
    </row>
    <row r="192">
      <c r="A192" s="3" t="inlineStr">
        <is>
          <t xml:space="preserve">#1131</t>
        </is>
      </c>
      <c r="B192" s="3" t="inlineStr">
        <is>
          <t xml:space="preserve">2025-12-02</t>
        </is>
      </c>
      <c r="C192" s="3" t="inlineStr">
        <is>
          <t xml:space="preserve">SKU-E</t>
        </is>
      </c>
      <c r="D192" s="3" t="inlineStr">
        <is>
          <t xml:space="preserve">Complete Ritual</t>
        </is>
      </c>
      <c r="E192" s="6">
        <f>IF('Settings'!$B$11="Scenario",IFERROR(INDEX('Catalogue'!$E$3:$E$100,MATCH(C192,'Catalogue'!$B$3:$B$100,0)),F192),F192)</f>
        <v>89</v>
      </c>
      <c r="F192" s="8">
        <v>89</v>
      </c>
      <c r="G192" s="3">
        <v>1</v>
      </c>
      <c r="H192" s="6">
        <f>IF('Settings'!$B$11="Scenario",ROUND(E192*G192*IFERROR(SUMIF('Pricing &amp; promotions'!$A$6:$A$8,L192,'Pricing &amp; promotions'!$B$6:$B$8)/100,0),2),J192)</f>
        <v>0.0</v>
      </c>
      <c r="I192" s="6">
        <f>ROUND((E192*G192-H192)/(1+'Settings'!$B$6/100),2)</f>
        <v>73.55</v>
      </c>
      <c r="J192" s="8">
        <v>0.0</v>
      </c>
      <c r="K192" s="3" t="inlineStr">
        <is>
          <t xml:space="preserve">TRUE</t>
        </is>
      </c>
      <c r="L192" s="3"/>
    </row>
    <row r="193">
      <c r="A193" s="3" t="inlineStr">
        <is>
          <t xml:space="preserve">#1132</t>
        </is>
      </c>
      <c r="B193" s="3" t="inlineStr">
        <is>
          <t xml:space="preserve">2025-12-03</t>
        </is>
      </c>
      <c r="C193" s="3" t="inlineStr">
        <is>
          <t xml:space="preserve">SKU-B</t>
        </is>
      </c>
      <c r="D193" s="3" t="inlineStr">
        <is>
          <t xml:space="preserve">Barrier Balm</t>
        </is>
      </c>
      <c r="E193" s="6">
        <f>IF('Settings'!$B$11="Scenario",IFERROR(INDEX('Catalogue'!$E$3:$E$100,MATCH(C193,'Catalogue'!$B$3:$B$100,0)),F193),F193)</f>
        <v>19</v>
      </c>
      <c r="F193" s="8">
        <v>18</v>
      </c>
      <c r="G193" s="3">
        <v>1</v>
      </c>
      <c r="H193" s="6">
        <f>IF('Settings'!$B$11="Scenario",ROUND(E193*G193*IFERROR(SUMIF('Pricing &amp; promotions'!$A$6:$A$8,L193,'Pricing &amp; promotions'!$B$6:$B$8)/100,0),2),J193)</f>
        <v>2.85</v>
      </c>
      <c r="I193" s="6">
        <f>ROUND((E193*G193-H193)/(1+'Settings'!$B$6/100),2)</f>
        <v>13.35</v>
      </c>
      <c r="J193" s="8">
        <v>2.7</v>
      </c>
      <c r="K193" s="3" t="inlineStr">
        <is>
          <t xml:space="preserve">TRUE</t>
        </is>
      </c>
      <c r="L193" s="3" t="inlineStr">
        <is>
          <t xml:space="preserve">SUMMER15</t>
        </is>
      </c>
    </row>
    <row r="194">
      <c r="A194" s="3" t="inlineStr">
        <is>
          <t xml:space="preserve">#1132</t>
        </is>
      </c>
      <c r="B194" s="3" t="inlineStr">
        <is>
          <t xml:space="preserve">2025-12-03</t>
        </is>
      </c>
      <c r="C194" s="3" t="inlineStr">
        <is>
          <t xml:space="preserve">SKU-A</t>
        </is>
      </c>
      <c r="D194" s="3" t="inlineStr">
        <is>
          <t xml:space="preserve">Renewal Serum</t>
        </is>
      </c>
      <c r="E194" s="6">
        <f>IF('Settings'!$B$11="Scenario",IFERROR(INDEX('Catalogue'!$E$3:$E$100,MATCH(C194,'Catalogue'!$B$3:$B$100,0)),F194),F194)</f>
        <v>69.9</v>
      </c>
      <c r="F194" s="8">
        <v>64</v>
      </c>
      <c r="G194" s="3">
        <v>1</v>
      </c>
      <c r="H194" s="6">
        <f>IF('Settings'!$B$11="Scenario",ROUND(E194*G194*IFERROR(SUMIF('Pricing &amp; promotions'!$A$6:$A$8,L194,'Pricing &amp; promotions'!$B$6:$B$8)/100,0),2),J194)</f>
        <v>10.49</v>
      </c>
      <c r="I194" s="6">
        <f>ROUND((E194*G194-H194)/(1+'Settings'!$B$6/100),2)</f>
        <v>49.1</v>
      </c>
      <c r="J194" s="8">
        <v>9.6</v>
      </c>
      <c r="K194" s="3" t="inlineStr">
        <is>
          <t xml:space="preserve">TRUE</t>
        </is>
      </c>
      <c r="L194" s="3" t="inlineStr">
        <is>
          <t xml:space="preserve">SUMMER15</t>
        </is>
      </c>
    </row>
    <row r="195">
      <c r="A195" s="3" t="inlineStr">
        <is>
          <t xml:space="preserve">#1133</t>
        </is>
      </c>
      <c r="B195" s="3" t="inlineStr">
        <is>
          <t xml:space="preserve">2025-12-03</t>
        </is>
      </c>
      <c r="C195" s="3" t="inlineStr">
        <is>
          <t xml:space="preserve">SKU-F</t>
        </is>
      </c>
      <c r="D195" s="3" t="inlineStr">
        <is>
          <t xml:space="preserve">Cloud Cleanser</t>
        </is>
      </c>
      <c r="E195" s="6">
        <f>IF('Settings'!$B$11="Scenario",IFERROR(INDEX('Catalogue'!$E$3:$E$100,MATCH(C195,'Catalogue'!$B$3:$B$100,0)),F195),F195)</f>
        <v>34</v>
      </c>
      <c r="F195" s="8">
        <v>34</v>
      </c>
      <c r="G195" s="3">
        <v>1</v>
      </c>
      <c r="H195" s="6">
        <f>IF('Settings'!$B$11="Scenario",ROUND(E195*G195*IFERROR(SUMIF('Pricing &amp; promotions'!$A$6:$A$8,L195,'Pricing &amp; promotions'!$B$6:$B$8)/100,0),2),J195)</f>
        <v>0.0</v>
      </c>
      <c r="I195" s="6">
        <f>ROUND((E195*G195-H195)/(1+'Settings'!$B$6/100),2)</f>
        <v>28.1</v>
      </c>
      <c r="J195" s="8">
        <v>0.0</v>
      </c>
      <c r="K195" s="3" t="inlineStr">
        <is>
          <t xml:space="preserve">TRUE</t>
        </is>
      </c>
      <c r="L195" s="3"/>
    </row>
    <row r="196">
      <c r="A196" s="3" t="inlineStr">
        <is>
          <t xml:space="preserve">#1134</t>
        </is>
      </c>
      <c r="B196" s="3" t="inlineStr">
        <is>
          <t xml:space="preserve">2025-12-04</t>
        </is>
      </c>
      <c r="C196" s="3" t="inlineStr">
        <is>
          <t xml:space="preserve">SKU-G</t>
        </is>
      </c>
      <c r="D196" s="3" t="inlineStr">
        <is>
          <t xml:space="preserve">Daily Reset Set</t>
        </is>
      </c>
      <c r="E196" s="6">
        <f>IF('Settings'!$B$11="Scenario",IFERROR(INDEX('Catalogue'!$E$3:$E$100,MATCH(C196,'Catalogue'!$B$3:$B$100,0)),F196),F196)</f>
        <v>69</v>
      </c>
      <c r="F196" s="8">
        <v>69</v>
      </c>
      <c r="G196" s="3">
        <v>1</v>
      </c>
      <c r="H196" s="6">
        <f>IF('Settings'!$B$11="Scenario",ROUND(E196*G196*IFERROR(SUMIF('Pricing &amp; promotions'!$A$6:$A$8,L196,'Pricing &amp; promotions'!$B$6:$B$8)/100,0),2),J196)</f>
        <v>13.8</v>
      </c>
      <c r="I196" s="6">
        <f>ROUND((E196*G196-H196)/(1+'Settings'!$B$6/100),2)</f>
        <v>45.62</v>
      </c>
      <c r="J196" s="8">
        <v>13.8</v>
      </c>
      <c r="K196" s="3" t="inlineStr">
        <is>
          <t xml:space="preserve">TRUE</t>
        </is>
      </c>
      <c r="L196" s="3" t="inlineStr">
        <is>
          <t xml:space="preserve">VIP20</t>
        </is>
      </c>
    </row>
    <row r="197">
      <c r="A197" s="3" t="inlineStr">
        <is>
          <t xml:space="preserve">#1135</t>
        </is>
      </c>
      <c r="B197" s="3" t="inlineStr">
        <is>
          <t xml:space="preserve">2025-12-04</t>
        </is>
      </c>
      <c r="C197" s="3" t="inlineStr">
        <is>
          <t xml:space="preserve">SKU-E</t>
        </is>
      </c>
      <c r="D197" s="3" t="inlineStr">
        <is>
          <t xml:space="preserve">Complete Ritual</t>
        </is>
      </c>
      <c r="E197" s="6">
        <f>IF('Settings'!$B$11="Scenario",IFERROR(INDEX('Catalogue'!$E$3:$E$100,MATCH(C197,'Catalogue'!$B$3:$B$100,0)),F197),F197)</f>
        <v>89</v>
      </c>
      <c r="F197" s="8">
        <v>89</v>
      </c>
      <c r="G197" s="3">
        <v>1</v>
      </c>
      <c r="H197" s="6">
        <f>IF('Settings'!$B$11="Scenario",ROUND(E197*G197*IFERROR(SUMIF('Pricing &amp; promotions'!$A$6:$A$8,L197,'Pricing &amp; promotions'!$B$6:$B$8)/100,0),2),J197)</f>
        <v>0.0</v>
      </c>
      <c r="I197" s="6">
        <f>ROUND((E197*G197-H197)/(1+'Settings'!$B$6/100),2)</f>
        <v>73.55</v>
      </c>
      <c r="J197" s="8">
        <v>0.0</v>
      </c>
      <c r="K197" s="3" t="inlineStr">
        <is>
          <t xml:space="preserve">TRUE</t>
        </is>
      </c>
      <c r="L197" s="3"/>
    </row>
    <row r="198">
      <c r="A198" s="3" t="inlineStr">
        <is>
          <t xml:space="preserve">#1135</t>
        </is>
      </c>
      <c r="B198" s="3" t="inlineStr">
        <is>
          <t xml:space="preserve">2025-12-04</t>
        </is>
      </c>
      <c r="C198" s="3" t="inlineStr">
        <is>
          <t xml:space="preserve">SKU-A</t>
        </is>
      </c>
      <c r="D198" s="3" t="inlineStr">
        <is>
          <t xml:space="preserve">Renewal Serum</t>
        </is>
      </c>
      <c r="E198" s="6">
        <f>IF('Settings'!$B$11="Scenario",IFERROR(INDEX('Catalogue'!$E$3:$E$100,MATCH(C198,'Catalogue'!$B$3:$B$100,0)),F198),F198)</f>
        <v>69.9</v>
      </c>
      <c r="F198" s="8">
        <v>64</v>
      </c>
      <c r="G198" s="3">
        <v>1</v>
      </c>
      <c r="H198" s="6">
        <f>IF('Settings'!$B$11="Scenario",ROUND(E198*G198*IFERROR(SUMIF('Pricing &amp; promotions'!$A$6:$A$8,L198,'Pricing &amp; promotions'!$B$6:$B$8)/100,0),2),J198)</f>
        <v>0.0</v>
      </c>
      <c r="I198" s="6">
        <f>ROUND((E198*G198-H198)/(1+'Settings'!$B$6/100),2)</f>
        <v>57.77</v>
      </c>
      <c r="J198" s="8">
        <v>0.0</v>
      </c>
      <c r="K198" s="3" t="inlineStr">
        <is>
          <t xml:space="preserve">TRUE</t>
        </is>
      </c>
      <c r="L198" s="3"/>
    </row>
    <row r="199">
      <c r="A199" s="3" t="inlineStr">
        <is>
          <t xml:space="preserve">#1136</t>
        </is>
      </c>
      <c r="B199" s="3" t="inlineStr">
        <is>
          <t xml:space="preserve">2025-12-04</t>
        </is>
      </c>
      <c r="C199" s="3" t="inlineStr">
        <is>
          <t xml:space="preserve">SKU-A</t>
        </is>
      </c>
      <c r="D199" s="3" t="inlineStr">
        <is>
          <t xml:space="preserve">Renewal Serum</t>
        </is>
      </c>
      <c r="E199" s="6">
        <f>IF('Settings'!$B$11="Scenario",IFERROR(INDEX('Catalogue'!$E$3:$E$100,MATCH(C199,'Catalogue'!$B$3:$B$100,0)),F199),F199)</f>
        <v>69.9</v>
      </c>
      <c r="F199" s="8">
        <v>64</v>
      </c>
      <c r="G199" s="3">
        <v>1</v>
      </c>
      <c r="H199" s="6">
        <f>IF('Settings'!$B$11="Scenario",ROUND(E199*G199*IFERROR(SUMIF('Pricing &amp; promotions'!$A$6:$A$8,L199,'Pricing &amp; promotions'!$B$6:$B$8)/100,0),2),J199)</f>
        <v>0.0</v>
      </c>
      <c r="I199" s="6">
        <f>ROUND((E199*G199-H199)/(1+'Settings'!$B$6/100),2)</f>
        <v>57.77</v>
      </c>
      <c r="J199" s="8">
        <v>0.0</v>
      </c>
      <c r="K199" s="3" t="inlineStr">
        <is>
          <t xml:space="preserve">TRUE</t>
        </is>
      </c>
      <c r="L199" s="3"/>
    </row>
    <row r="200">
      <c r="A200" s="3" t="inlineStr">
        <is>
          <t xml:space="preserve">#1137</t>
        </is>
      </c>
      <c r="B200" s="3" t="inlineStr">
        <is>
          <t xml:space="preserve">2025-12-05</t>
        </is>
      </c>
      <c r="C200" s="3" t="inlineStr">
        <is>
          <t xml:space="preserve">SKU-D</t>
        </is>
      </c>
      <c r="D200" s="3" t="inlineStr">
        <is>
          <t xml:space="preserve">Daily Duo</t>
        </is>
      </c>
      <c r="E200" s="6">
        <f>IF('Settings'!$B$11="Scenario",IFERROR(INDEX('Catalogue'!$E$3:$E$100,MATCH(C200,'Catalogue'!$B$3:$B$100,0)),F200),F200)</f>
        <v>79</v>
      </c>
      <c r="F200" s="8">
        <v>79</v>
      </c>
      <c r="G200" s="3">
        <v>2</v>
      </c>
      <c r="H200" s="6">
        <f>IF('Settings'!$B$11="Scenario",ROUND(E200*G200*IFERROR(SUMIF('Pricing &amp; promotions'!$A$6:$A$8,L200,'Pricing &amp; promotions'!$B$6:$B$8)/100,0),2),J200)</f>
        <v>0.0</v>
      </c>
      <c r="I200" s="6">
        <f>ROUND((E200*G200-H200)/(1+'Settings'!$B$6/100),2)</f>
        <v>130.58</v>
      </c>
      <c r="J200" s="8">
        <v>0.0</v>
      </c>
      <c r="K200" s="3" t="inlineStr">
        <is>
          <t xml:space="preserve">TRUE</t>
        </is>
      </c>
      <c r="L200" s="3"/>
    </row>
    <row r="201">
      <c r="A201" s="3" t="inlineStr">
        <is>
          <t xml:space="preserve">#1138</t>
        </is>
      </c>
      <c r="B201" s="3" t="inlineStr">
        <is>
          <t xml:space="preserve">2025-12-06</t>
        </is>
      </c>
      <c r="C201" s="3" t="inlineStr">
        <is>
          <t xml:space="preserve">SKU-A</t>
        </is>
      </c>
      <c r="D201" s="3" t="inlineStr">
        <is>
          <t xml:space="preserve">Renewal Serum</t>
        </is>
      </c>
      <c r="E201" s="6">
        <f>IF('Settings'!$B$11="Scenario",IFERROR(INDEX('Catalogue'!$E$3:$E$100,MATCH(C201,'Catalogue'!$B$3:$B$100,0)),F201),F201)</f>
        <v>69.9</v>
      </c>
      <c r="F201" s="8">
        <v>64</v>
      </c>
      <c r="G201" s="3">
        <v>1</v>
      </c>
      <c r="H201" s="6">
        <f>IF('Settings'!$B$11="Scenario",ROUND(E201*G201*IFERROR(SUMIF('Pricing &amp; promotions'!$A$6:$A$8,L201,'Pricing &amp; promotions'!$B$6:$B$8)/100,0),2),J201)</f>
        <v>0.0</v>
      </c>
      <c r="I201" s="6">
        <f>ROUND((E201*G201-H201)/(1+'Settings'!$B$6/100),2)</f>
        <v>57.77</v>
      </c>
      <c r="J201" s="8">
        <v>0.0</v>
      </c>
      <c r="K201" s="3" t="inlineStr">
        <is>
          <t xml:space="preserve">TRUE</t>
        </is>
      </c>
      <c r="L201" s="3"/>
    </row>
    <row r="202">
      <c r="A202" s="3" t="inlineStr">
        <is>
          <t xml:space="preserve">#1138</t>
        </is>
      </c>
      <c r="B202" s="3" t="inlineStr">
        <is>
          <t xml:space="preserve">2025-12-06</t>
        </is>
      </c>
      <c r="C202" s="3" t="inlineStr">
        <is>
          <t xml:space="preserve">SKU-D</t>
        </is>
      </c>
      <c r="D202" s="3" t="inlineStr">
        <is>
          <t xml:space="preserve">Daily Duo</t>
        </is>
      </c>
      <c r="E202" s="6">
        <f>IF('Settings'!$B$11="Scenario",IFERROR(INDEX('Catalogue'!$E$3:$E$100,MATCH(C202,'Catalogue'!$B$3:$B$100,0)),F202),F202)</f>
        <v>79</v>
      </c>
      <c r="F202" s="8">
        <v>79</v>
      </c>
      <c r="G202" s="3">
        <v>1</v>
      </c>
      <c r="H202" s="6">
        <f>IF('Settings'!$B$11="Scenario",ROUND(E202*G202*IFERROR(SUMIF('Pricing &amp; promotions'!$A$6:$A$8,L202,'Pricing &amp; promotions'!$B$6:$B$8)/100,0),2),J202)</f>
        <v>0.0</v>
      </c>
      <c r="I202" s="6">
        <f>ROUND((E202*G202-H202)/(1+'Settings'!$B$6/100),2)</f>
        <v>65.29</v>
      </c>
      <c r="J202" s="8">
        <v>0.0</v>
      </c>
      <c r="K202" s="3" t="inlineStr">
        <is>
          <t xml:space="preserve">TRUE</t>
        </is>
      </c>
      <c r="L202" s="3"/>
    </row>
    <row r="203">
      <c r="A203" s="3" t="inlineStr">
        <is>
          <t xml:space="preserve">#1139</t>
        </is>
      </c>
      <c r="B203" s="3" t="inlineStr">
        <is>
          <t xml:space="preserve">2025-12-06</t>
        </is>
      </c>
      <c r="C203" s="3" t="inlineStr">
        <is>
          <t xml:space="preserve">SKU-A</t>
        </is>
      </c>
      <c r="D203" s="3" t="inlineStr">
        <is>
          <t xml:space="preserve">Renewal Serum</t>
        </is>
      </c>
      <c r="E203" s="6">
        <f>IF('Settings'!$B$11="Scenario",IFERROR(INDEX('Catalogue'!$E$3:$E$100,MATCH(C203,'Catalogue'!$B$3:$B$100,0)),F203),F203)</f>
        <v>69.9</v>
      </c>
      <c r="F203" s="8">
        <v>64</v>
      </c>
      <c r="G203" s="3">
        <v>1</v>
      </c>
      <c r="H203" s="6">
        <f>IF('Settings'!$B$11="Scenario",ROUND(E203*G203*IFERROR(SUMIF('Pricing &amp; promotions'!$A$6:$A$8,L203,'Pricing &amp; promotions'!$B$6:$B$8)/100,0),2),J203)</f>
        <v>0.0</v>
      </c>
      <c r="I203" s="6">
        <f>ROUND((E203*G203-H203)/(1+'Settings'!$B$6/100),2)</f>
        <v>57.77</v>
      </c>
      <c r="J203" s="8">
        <v>0.0</v>
      </c>
      <c r="K203" s="3" t="inlineStr">
        <is>
          <t xml:space="preserve">TRUE</t>
        </is>
      </c>
      <c r="L203" s="3"/>
    </row>
    <row r="204">
      <c r="A204" s="3" t="inlineStr">
        <is>
          <t xml:space="preserve">#1140</t>
        </is>
      </c>
      <c r="B204" s="3" t="inlineStr">
        <is>
          <t xml:space="preserve">2025-12-06</t>
        </is>
      </c>
      <c r="C204" s="3" t="inlineStr">
        <is>
          <t xml:space="preserve">SKU-E</t>
        </is>
      </c>
      <c r="D204" s="3" t="inlineStr">
        <is>
          <t xml:space="preserve">Complete Ritual</t>
        </is>
      </c>
      <c r="E204" s="6">
        <f>IF('Settings'!$B$11="Scenario",IFERROR(INDEX('Catalogue'!$E$3:$E$100,MATCH(C204,'Catalogue'!$B$3:$B$100,0)),F204),F204)</f>
        <v>89</v>
      </c>
      <c r="F204" s="8">
        <v>89</v>
      </c>
      <c r="G204" s="3">
        <v>1</v>
      </c>
      <c r="H204" s="6">
        <f>IF('Settings'!$B$11="Scenario",ROUND(E204*G204*IFERROR(SUMIF('Pricing &amp; promotions'!$A$6:$A$8,L204,'Pricing &amp; promotions'!$B$6:$B$8)/100,0),2),J204)</f>
        <v>8.9</v>
      </c>
      <c r="I204" s="6">
        <f>ROUND((E204*G204-H204)/(1+'Settings'!$B$6/100),2)</f>
        <v>66.2</v>
      </c>
      <c r="J204" s="8">
        <v>8.9</v>
      </c>
      <c r="K204" s="3" t="inlineStr">
        <is>
          <t xml:space="preserve">TRUE</t>
        </is>
      </c>
      <c r="L204" s="3" t="inlineStr">
        <is>
          <t xml:space="preserve">WELCOME10</t>
        </is>
      </c>
    </row>
    <row r="205">
      <c r="A205" s="3" t="inlineStr">
        <is>
          <t xml:space="preserve">#1141</t>
        </is>
      </c>
      <c r="B205" s="3" t="inlineStr">
        <is>
          <t xml:space="preserve">2025-12-06</t>
        </is>
      </c>
      <c r="C205" s="3" t="inlineStr">
        <is>
          <t xml:space="preserve">SKU-D</t>
        </is>
      </c>
      <c r="D205" s="3" t="inlineStr">
        <is>
          <t xml:space="preserve">Daily Duo</t>
        </is>
      </c>
      <c r="E205" s="6">
        <f>IF('Settings'!$B$11="Scenario",IFERROR(INDEX('Catalogue'!$E$3:$E$100,MATCH(C205,'Catalogue'!$B$3:$B$100,0)),F205),F205)</f>
        <v>79</v>
      </c>
      <c r="F205" s="8">
        <v>79</v>
      </c>
      <c r="G205" s="3">
        <v>1</v>
      </c>
      <c r="H205" s="6">
        <f>IF('Settings'!$B$11="Scenario",ROUND(E205*G205*IFERROR(SUMIF('Pricing &amp; promotions'!$A$6:$A$8,L205,'Pricing &amp; promotions'!$B$6:$B$8)/100,0),2),J205)</f>
        <v>11.85</v>
      </c>
      <c r="I205" s="6">
        <f>ROUND((E205*G205-H205)/(1+'Settings'!$B$6/100),2)</f>
        <v>55.5</v>
      </c>
      <c r="J205" s="8">
        <v>11.85</v>
      </c>
      <c r="K205" s="3" t="inlineStr">
        <is>
          <t xml:space="preserve">TRUE</t>
        </is>
      </c>
      <c r="L205" s="3" t="inlineStr">
        <is>
          <t xml:space="preserve">SUMMER15</t>
        </is>
      </c>
    </row>
    <row r="206">
      <c r="A206" s="3" t="inlineStr">
        <is>
          <t xml:space="preserve">#1142</t>
        </is>
      </c>
      <c r="B206" s="3" t="inlineStr">
        <is>
          <t xml:space="preserve">2025-12-07</t>
        </is>
      </c>
      <c r="C206" s="3" t="inlineStr">
        <is>
          <t xml:space="preserve">SKU-C</t>
        </is>
      </c>
      <c r="D206" s="3" t="inlineStr">
        <is>
          <t xml:space="preserve">Contour Stone</t>
        </is>
      </c>
      <c r="E206" s="6">
        <f>IF('Settings'!$B$11="Scenario",IFERROR(INDEX('Catalogue'!$E$3:$E$100,MATCH(C206,'Catalogue'!$B$3:$B$100,0)),F206),F206)</f>
        <v>29</v>
      </c>
      <c r="F206" s="8">
        <v>29</v>
      </c>
      <c r="G206" s="3">
        <v>1</v>
      </c>
      <c r="H206" s="6">
        <f>IF('Settings'!$B$11="Scenario",ROUND(E206*G206*IFERROR(SUMIF('Pricing &amp; promotions'!$A$6:$A$8,L206,'Pricing &amp; promotions'!$B$6:$B$8)/100,0),2),J206)</f>
        <v>0.0</v>
      </c>
      <c r="I206" s="6">
        <f>ROUND((E206*G206-H206)/(1+'Settings'!$B$6/100),2)</f>
        <v>23.97</v>
      </c>
      <c r="J206" s="8">
        <v>0.0</v>
      </c>
      <c r="K206" s="3" t="inlineStr">
        <is>
          <t xml:space="preserve">TRUE</t>
        </is>
      </c>
      <c r="L206" s="3"/>
    </row>
    <row r="207">
      <c r="A207" s="3" t="inlineStr">
        <is>
          <t xml:space="preserve">#1143</t>
        </is>
      </c>
      <c r="B207" s="3" t="inlineStr">
        <is>
          <t xml:space="preserve">2025-12-07</t>
        </is>
      </c>
      <c r="C207" s="3" t="inlineStr">
        <is>
          <t xml:space="preserve">SKU-B</t>
        </is>
      </c>
      <c r="D207" s="3" t="inlineStr">
        <is>
          <t xml:space="preserve">Barrier Balm</t>
        </is>
      </c>
      <c r="E207" s="6">
        <f>IF('Settings'!$B$11="Scenario",IFERROR(INDEX('Catalogue'!$E$3:$E$100,MATCH(C207,'Catalogue'!$B$3:$B$100,0)),F207),F207)</f>
        <v>19</v>
      </c>
      <c r="F207" s="8">
        <v>18</v>
      </c>
      <c r="G207" s="3">
        <v>1</v>
      </c>
      <c r="H207" s="6">
        <f>IF('Settings'!$B$11="Scenario",ROUND(E207*G207*IFERROR(SUMIF('Pricing &amp; promotions'!$A$6:$A$8,L207,'Pricing &amp; promotions'!$B$6:$B$8)/100,0),2),J207)</f>
        <v>1.9</v>
      </c>
      <c r="I207" s="6">
        <f>ROUND((E207*G207-H207)/(1+'Settings'!$B$6/100),2)</f>
        <v>14.13</v>
      </c>
      <c r="J207" s="8">
        <v>1.8</v>
      </c>
      <c r="K207" s="3" t="inlineStr">
        <is>
          <t xml:space="preserve">TRUE</t>
        </is>
      </c>
      <c r="L207" s="3" t="inlineStr">
        <is>
          <t xml:space="preserve">WELCOME10</t>
        </is>
      </c>
    </row>
    <row r="208">
      <c r="A208" s="3" t="inlineStr">
        <is>
          <t xml:space="preserve">#1144</t>
        </is>
      </c>
      <c r="B208" s="3" t="inlineStr">
        <is>
          <t xml:space="preserve">2025-12-07</t>
        </is>
      </c>
      <c r="C208" s="3" t="inlineStr">
        <is>
          <t xml:space="preserve">SKU-G</t>
        </is>
      </c>
      <c r="D208" s="3" t="inlineStr">
        <is>
          <t xml:space="preserve">Daily Reset Set</t>
        </is>
      </c>
      <c r="E208" s="6">
        <f>IF('Settings'!$B$11="Scenario",IFERROR(INDEX('Catalogue'!$E$3:$E$100,MATCH(C208,'Catalogue'!$B$3:$B$100,0)),F208),F208)</f>
        <v>69</v>
      </c>
      <c r="F208" s="8">
        <v>69</v>
      </c>
      <c r="G208" s="3">
        <v>1</v>
      </c>
      <c r="H208" s="6">
        <f>IF('Settings'!$B$11="Scenario",ROUND(E208*G208*IFERROR(SUMIF('Pricing &amp; promotions'!$A$6:$A$8,L208,'Pricing &amp; promotions'!$B$6:$B$8)/100,0),2),J208)</f>
        <v>6.9</v>
      </c>
      <c r="I208" s="6">
        <f>ROUND((E208*G208-H208)/(1+'Settings'!$B$6/100),2)</f>
        <v>51.32</v>
      </c>
      <c r="J208" s="8">
        <v>6.9</v>
      </c>
      <c r="K208" s="3" t="inlineStr">
        <is>
          <t xml:space="preserve">TRUE</t>
        </is>
      </c>
      <c r="L208" s="3" t="inlineStr">
        <is>
          <t xml:space="preserve">WELCOME10</t>
        </is>
      </c>
    </row>
    <row r="209">
      <c r="A209" s="3" t="inlineStr">
        <is>
          <t xml:space="preserve">#1145</t>
        </is>
      </c>
      <c r="B209" s="3" t="inlineStr">
        <is>
          <t xml:space="preserve">2025-12-08</t>
        </is>
      </c>
      <c r="C209" s="3" t="inlineStr">
        <is>
          <t xml:space="preserve">SKU-A</t>
        </is>
      </c>
      <c r="D209" s="3" t="inlineStr">
        <is>
          <t xml:space="preserve">Renewal Serum</t>
        </is>
      </c>
      <c r="E209" s="6">
        <f>IF('Settings'!$B$11="Scenario",IFERROR(INDEX('Catalogue'!$E$3:$E$100,MATCH(C209,'Catalogue'!$B$3:$B$100,0)),F209),F209)</f>
        <v>69.9</v>
      </c>
      <c r="F209" s="8">
        <v>64</v>
      </c>
      <c r="G209" s="3">
        <v>1</v>
      </c>
      <c r="H209" s="6">
        <f>IF('Settings'!$B$11="Scenario",ROUND(E209*G209*IFERROR(SUMIF('Pricing &amp; promotions'!$A$6:$A$8,L209,'Pricing &amp; promotions'!$B$6:$B$8)/100,0),2),J209)</f>
        <v>6.99</v>
      </c>
      <c r="I209" s="6">
        <f>ROUND((E209*G209-H209)/(1+'Settings'!$B$6/100),2)</f>
        <v>51.99</v>
      </c>
      <c r="J209" s="8">
        <v>6.4</v>
      </c>
      <c r="K209" s="3" t="inlineStr">
        <is>
          <t xml:space="preserve">TRUE</t>
        </is>
      </c>
      <c r="L209" s="3" t="inlineStr">
        <is>
          <t xml:space="preserve">WELCOME10</t>
        </is>
      </c>
    </row>
    <row r="210">
      <c r="A210" s="3" t="inlineStr">
        <is>
          <t xml:space="preserve">#1146</t>
        </is>
      </c>
      <c r="B210" s="3" t="inlineStr">
        <is>
          <t xml:space="preserve">2025-12-08</t>
        </is>
      </c>
      <c r="C210" s="3" t="inlineStr">
        <is>
          <t xml:space="preserve">SKU-A</t>
        </is>
      </c>
      <c r="D210" s="3" t="inlineStr">
        <is>
          <t xml:space="preserve">Renewal Serum</t>
        </is>
      </c>
      <c r="E210" s="6">
        <f>IF('Settings'!$B$11="Scenario",IFERROR(INDEX('Catalogue'!$E$3:$E$100,MATCH(C210,'Catalogue'!$B$3:$B$100,0)),F210),F210)</f>
        <v>69.9</v>
      </c>
      <c r="F210" s="8">
        <v>64</v>
      </c>
      <c r="G210" s="3">
        <v>1</v>
      </c>
      <c r="H210" s="6">
        <f>IF('Settings'!$B$11="Scenario",ROUND(E210*G210*IFERROR(SUMIF('Pricing &amp; promotions'!$A$6:$A$8,L210,'Pricing &amp; promotions'!$B$6:$B$8)/100,0),2),J210)</f>
        <v>0.0</v>
      </c>
      <c r="I210" s="6">
        <f>ROUND((E210*G210-H210)/(1+'Settings'!$B$6/100),2)</f>
        <v>57.77</v>
      </c>
      <c r="J210" s="8">
        <v>0.0</v>
      </c>
      <c r="K210" s="3" t="inlineStr">
        <is>
          <t xml:space="preserve">TRUE</t>
        </is>
      </c>
      <c r="L210" s="3"/>
    </row>
    <row r="211">
      <c r="A211" s="3" t="inlineStr">
        <is>
          <t xml:space="preserve">#1147</t>
        </is>
      </c>
      <c r="B211" s="3" t="inlineStr">
        <is>
          <t xml:space="preserve">2025-12-08</t>
        </is>
      </c>
      <c r="C211" s="3" t="inlineStr">
        <is>
          <t xml:space="preserve">SKU-E</t>
        </is>
      </c>
      <c r="D211" s="3" t="inlineStr">
        <is>
          <t xml:space="preserve">Complete Ritual</t>
        </is>
      </c>
      <c r="E211" s="6">
        <f>IF('Settings'!$B$11="Scenario",IFERROR(INDEX('Catalogue'!$E$3:$E$100,MATCH(C211,'Catalogue'!$B$3:$B$100,0)),F211),F211)</f>
        <v>89</v>
      </c>
      <c r="F211" s="8">
        <v>89</v>
      </c>
      <c r="G211" s="3">
        <v>1</v>
      </c>
      <c r="H211" s="6">
        <f>IF('Settings'!$B$11="Scenario",ROUND(E211*G211*IFERROR(SUMIF('Pricing &amp; promotions'!$A$6:$A$8,L211,'Pricing &amp; promotions'!$B$6:$B$8)/100,0),2),J211)</f>
        <v>0.0</v>
      </c>
      <c r="I211" s="6">
        <f>ROUND((E211*G211-H211)/(1+'Settings'!$B$6/100),2)</f>
        <v>73.55</v>
      </c>
      <c r="J211" s="8">
        <v>0.0</v>
      </c>
      <c r="K211" s="3" t="inlineStr">
        <is>
          <t xml:space="preserve">TRUE</t>
        </is>
      </c>
      <c r="L211" s="3"/>
    </row>
    <row r="212">
      <c r="A212" s="3" t="inlineStr">
        <is>
          <t xml:space="preserve">#1148</t>
        </is>
      </c>
      <c r="B212" s="3" t="inlineStr">
        <is>
          <t xml:space="preserve">2025-12-08</t>
        </is>
      </c>
      <c r="C212" s="3" t="inlineStr">
        <is>
          <t xml:space="preserve">SKU-D</t>
        </is>
      </c>
      <c r="D212" s="3" t="inlineStr">
        <is>
          <t xml:space="preserve">Daily Duo</t>
        </is>
      </c>
      <c r="E212" s="6">
        <f>IF('Settings'!$B$11="Scenario",IFERROR(INDEX('Catalogue'!$E$3:$E$100,MATCH(C212,'Catalogue'!$B$3:$B$100,0)),F212),F212)</f>
        <v>79</v>
      </c>
      <c r="F212" s="8">
        <v>79</v>
      </c>
      <c r="G212" s="3">
        <v>1</v>
      </c>
      <c r="H212" s="6">
        <f>IF('Settings'!$B$11="Scenario",ROUND(E212*G212*IFERROR(SUMIF('Pricing &amp; promotions'!$A$6:$A$8,L212,'Pricing &amp; promotions'!$B$6:$B$8)/100,0),2),J212)</f>
        <v>7.9</v>
      </c>
      <c r="I212" s="6">
        <f>ROUND((E212*G212-H212)/(1+'Settings'!$B$6/100),2)</f>
        <v>58.76</v>
      </c>
      <c r="J212" s="8">
        <v>7.9</v>
      </c>
      <c r="K212" s="3" t="inlineStr">
        <is>
          <t xml:space="preserve">TRUE</t>
        </is>
      </c>
      <c r="L212" s="3" t="inlineStr">
        <is>
          <t xml:space="preserve">WELCOME10</t>
        </is>
      </c>
    </row>
    <row r="213">
      <c r="A213" s="3" t="inlineStr">
        <is>
          <t xml:space="preserve">#1149</t>
        </is>
      </c>
      <c r="B213" s="3" t="inlineStr">
        <is>
          <t xml:space="preserve">2025-12-08</t>
        </is>
      </c>
      <c r="C213" s="3" t="inlineStr">
        <is>
          <t xml:space="preserve">SKU-G</t>
        </is>
      </c>
      <c r="D213" s="3" t="inlineStr">
        <is>
          <t xml:space="preserve">Daily Reset Set</t>
        </is>
      </c>
      <c r="E213" s="6">
        <f>IF('Settings'!$B$11="Scenario",IFERROR(INDEX('Catalogue'!$E$3:$E$100,MATCH(C213,'Catalogue'!$B$3:$B$100,0)),F213),F213)</f>
        <v>69</v>
      </c>
      <c r="F213" s="8">
        <v>69</v>
      </c>
      <c r="G213" s="3">
        <v>1</v>
      </c>
      <c r="H213" s="6">
        <f>IF('Settings'!$B$11="Scenario",ROUND(E213*G213*IFERROR(SUMIF('Pricing &amp; promotions'!$A$6:$A$8,L213,'Pricing &amp; promotions'!$B$6:$B$8)/100,0),2),J213)</f>
        <v>6.9</v>
      </c>
      <c r="I213" s="6">
        <f>ROUND((E213*G213-H213)/(1+'Settings'!$B$6/100),2)</f>
        <v>51.32</v>
      </c>
      <c r="J213" s="8">
        <v>6.9</v>
      </c>
      <c r="K213" s="3" t="inlineStr">
        <is>
          <t xml:space="preserve">TRUE</t>
        </is>
      </c>
      <c r="L213" s="3" t="inlineStr">
        <is>
          <t xml:space="preserve">WELCOME10</t>
        </is>
      </c>
    </row>
    <row r="214">
      <c r="A214" s="3" t="inlineStr">
        <is>
          <t xml:space="preserve">#1149</t>
        </is>
      </c>
      <c r="B214" s="3" t="inlineStr">
        <is>
          <t xml:space="preserve">2025-12-08</t>
        </is>
      </c>
      <c r="C214" s="3" t="inlineStr">
        <is>
          <t xml:space="preserve">SKU-E</t>
        </is>
      </c>
      <c r="D214" s="3" t="inlineStr">
        <is>
          <t xml:space="preserve">Complete Ritual</t>
        </is>
      </c>
      <c r="E214" s="6">
        <f>IF('Settings'!$B$11="Scenario",IFERROR(INDEX('Catalogue'!$E$3:$E$100,MATCH(C214,'Catalogue'!$B$3:$B$100,0)),F214),F214)</f>
        <v>89</v>
      </c>
      <c r="F214" s="8">
        <v>89</v>
      </c>
      <c r="G214" s="3">
        <v>1</v>
      </c>
      <c r="H214" s="6">
        <f>IF('Settings'!$B$11="Scenario",ROUND(E214*G214*IFERROR(SUMIF('Pricing &amp; promotions'!$A$6:$A$8,L214,'Pricing &amp; promotions'!$B$6:$B$8)/100,0),2),J214)</f>
        <v>8.9</v>
      </c>
      <c r="I214" s="6">
        <f>ROUND((E214*G214-H214)/(1+'Settings'!$B$6/100),2)</f>
        <v>66.2</v>
      </c>
      <c r="J214" s="8">
        <v>8.9</v>
      </c>
      <c r="K214" s="3" t="inlineStr">
        <is>
          <t xml:space="preserve">TRUE</t>
        </is>
      </c>
      <c r="L214" s="3" t="inlineStr">
        <is>
          <t xml:space="preserve">WELCOME10</t>
        </is>
      </c>
    </row>
    <row r="215">
      <c r="A215" s="3" t="inlineStr">
        <is>
          <t xml:space="preserve">#1149</t>
        </is>
      </c>
      <c r="B215" s="3" t="inlineStr">
        <is>
          <t xml:space="preserve">2025-12-08</t>
        </is>
      </c>
      <c r="C215" s="3" t="inlineStr">
        <is>
          <t xml:space="preserve">SKU-A</t>
        </is>
      </c>
      <c r="D215" s="3" t="inlineStr">
        <is>
          <t xml:space="preserve">Renewal Serum</t>
        </is>
      </c>
      <c r="E215" s="6">
        <f>IF('Settings'!$B$11="Scenario",IFERROR(INDEX('Catalogue'!$E$3:$E$100,MATCH(C215,'Catalogue'!$B$3:$B$100,0)),F215),F215)</f>
        <v>69.9</v>
      </c>
      <c r="F215" s="8">
        <v>64</v>
      </c>
      <c r="G215" s="3">
        <v>1</v>
      </c>
      <c r="H215" s="6">
        <f>IF('Settings'!$B$11="Scenario",ROUND(E215*G215*IFERROR(SUMIF('Pricing &amp; promotions'!$A$6:$A$8,L215,'Pricing &amp; promotions'!$B$6:$B$8)/100,0),2),J215)</f>
        <v>6.99</v>
      </c>
      <c r="I215" s="6">
        <f>ROUND((E215*G215-H215)/(1+'Settings'!$B$6/100),2)</f>
        <v>51.99</v>
      </c>
      <c r="J215" s="8">
        <v>6.4</v>
      </c>
      <c r="K215" s="3" t="inlineStr">
        <is>
          <t xml:space="preserve">TRUE</t>
        </is>
      </c>
      <c r="L215" s="3" t="inlineStr">
        <is>
          <t xml:space="preserve">WELCOME10</t>
        </is>
      </c>
    </row>
    <row r="216">
      <c r="A216" s="3" t="inlineStr">
        <is>
          <t xml:space="preserve">#1150</t>
        </is>
      </c>
      <c r="B216" s="3" t="inlineStr">
        <is>
          <t xml:space="preserve">2025-12-10</t>
        </is>
      </c>
      <c r="C216" s="3" t="inlineStr">
        <is>
          <t xml:space="preserve">SKU-A</t>
        </is>
      </c>
      <c r="D216" s="3" t="inlineStr">
        <is>
          <t xml:space="preserve">Renewal Serum</t>
        </is>
      </c>
      <c r="E216" s="6">
        <f>IF('Settings'!$B$11="Scenario",IFERROR(INDEX('Catalogue'!$E$3:$E$100,MATCH(C216,'Catalogue'!$B$3:$B$100,0)),F216),F216)</f>
        <v>69.9</v>
      </c>
      <c r="F216" s="8">
        <v>64</v>
      </c>
      <c r="G216" s="3">
        <v>1</v>
      </c>
      <c r="H216" s="6">
        <f>IF('Settings'!$B$11="Scenario",ROUND(E216*G216*IFERROR(SUMIF('Pricing &amp; promotions'!$A$6:$A$8,L216,'Pricing &amp; promotions'!$B$6:$B$8)/100,0),2),J216)</f>
        <v>0.0</v>
      </c>
      <c r="I216" s="6">
        <f>ROUND((E216*G216-H216)/(1+'Settings'!$B$6/100),2)</f>
        <v>57.77</v>
      </c>
      <c r="J216" s="8">
        <v>0.0</v>
      </c>
      <c r="K216" s="3" t="inlineStr">
        <is>
          <t xml:space="preserve">TRUE</t>
        </is>
      </c>
      <c r="L216" s="3"/>
    </row>
    <row r="217">
      <c r="A217" s="3" t="inlineStr">
        <is>
          <t xml:space="preserve">#1150</t>
        </is>
      </c>
      <c r="B217" s="3" t="inlineStr">
        <is>
          <t xml:space="preserve">2025-12-10</t>
        </is>
      </c>
      <c r="C217" s="3" t="inlineStr">
        <is>
          <t xml:space="preserve">SKU-G</t>
        </is>
      </c>
      <c r="D217" s="3" t="inlineStr">
        <is>
          <t xml:space="preserve">Daily Reset Set</t>
        </is>
      </c>
      <c r="E217" s="6">
        <f>IF('Settings'!$B$11="Scenario",IFERROR(INDEX('Catalogue'!$E$3:$E$100,MATCH(C217,'Catalogue'!$B$3:$B$100,0)),F217),F217)</f>
        <v>69</v>
      </c>
      <c r="F217" s="8">
        <v>69</v>
      </c>
      <c r="G217" s="3">
        <v>1</v>
      </c>
      <c r="H217" s="6">
        <f>IF('Settings'!$B$11="Scenario",ROUND(E217*G217*IFERROR(SUMIF('Pricing &amp; promotions'!$A$6:$A$8,L217,'Pricing &amp; promotions'!$B$6:$B$8)/100,0),2),J217)</f>
        <v>0.0</v>
      </c>
      <c r="I217" s="6">
        <f>ROUND((E217*G217-H217)/(1+'Settings'!$B$6/100),2)</f>
        <v>57.02</v>
      </c>
      <c r="J217" s="8">
        <v>0.0</v>
      </c>
      <c r="K217" s="3" t="inlineStr">
        <is>
          <t xml:space="preserve">TRUE</t>
        </is>
      </c>
      <c r="L217" s="3"/>
    </row>
    <row r="218">
      <c r="A218" s="3" t="inlineStr">
        <is>
          <t xml:space="preserve">#1151</t>
        </is>
      </c>
      <c r="B218" s="3" t="inlineStr">
        <is>
          <t xml:space="preserve">2025-12-10</t>
        </is>
      </c>
      <c r="C218" s="3" t="inlineStr">
        <is>
          <t xml:space="preserve">SKU-A</t>
        </is>
      </c>
      <c r="D218" s="3" t="inlineStr">
        <is>
          <t xml:space="preserve">Renewal Serum</t>
        </is>
      </c>
      <c r="E218" s="6">
        <f>IF('Settings'!$B$11="Scenario",IFERROR(INDEX('Catalogue'!$E$3:$E$100,MATCH(C218,'Catalogue'!$B$3:$B$100,0)),F218),F218)</f>
        <v>69.9</v>
      </c>
      <c r="F218" s="8">
        <v>64</v>
      </c>
      <c r="G218" s="3">
        <v>2</v>
      </c>
      <c r="H218" s="6">
        <f>IF('Settings'!$B$11="Scenario",ROUND(E218*G218*IFERROR(SUMIF('Pricing &amp; promotions'!$A$6:$A$8,L218,'Pricing &amp; promotions'!$B$6:$B$8)/100,0),2),J218)</f>
        <v>0.0</v>
      </c>
      <c r="I218" s="6">
        <f>ROUND((E218*G218-H218)/(1+'Settings'!$B$6/100),2)</f>
        <v>115.54</v>
      </c>
      <c r="J218" s="8">
        <v>0.0</v>
      </c>
      <c r="K218" s="3" t="inlineStr">
        <is>
          <t xml:space="preserve">TRUE</t>
        </is>
      </c>
      <c r="L218" s="3"/>
    </row>
    <row r="219">
      <c r="A219" s="3" t="inlineStr">
        <is>
          <t xml:space="preserve">#1152</t>
        </is>
      </c>
      <c r="B219" s="3" t="inlineStr">
        <is>
          <t xml:space="preserve">2025-12-10</t>
        </is>
      </c>
      <c r="C219" s="3" t="inlineStr">
        <is>
          <t xml:space="preserve">SKU-G</t>
        </is>
      </c>
      <c r="D219" s="3" t="inlineStr">
        <is>
          <t xml:space="preserve">Daily Reset Set</t>
        </is>
      </c>
      <c r="E219" s="6">
        <f>IF('Settings'!$B$11="Scenario",IFERROR(INDEX('Catalogue'!$E$3:$E$100,MATCH(C219,'Catalogue'!$B$3:$B$100,0)),F219),F219)</f>
        <v>69</v>
      </c>
      <c r="F219" s="8">
        <v>69</v>
      </c>
      <c r="G219" s="3">
        <v>1</v>
      </c>
      <c r="H219" s="6">
        <f>IF('Settings'!$B$11="Scenario",ROUND(E219*G219*IFERROR(SUMIF('Pricing &amp; promotions'!$A$6:$A$8,L219,'Pricing &amp; promotions'!$B$6:$B$8)/100,0),2),J219)</f>
        <v>0.0</v>
      </c>
      <c r="I219" s="6">
        <f>ROUND((E219*G219-H219)/(1+'Settings'!$B$6/100),2)</f>
        <v>57.02</v>
      </c>
      <c r="J219" s="8">
        <v>0.0</v>
      </c>
      <c r="K219" s="3" t="inlineStr">
        <is>
          <t xml:space="preserve">TRUE</t>
        </is>
      </c>
      <c r="L219" s="3"/>
    </row>
    <row r="220">
      <c r="A220" s="3" t="inlineStr">
        <is>
          <t xml:space="preserve">#1153</t>
        </is>
      </c>
      <c r="B220" s="3" t="inlineStr">
        <is>
          <t xml:space="preserve">2025-12-11</t>
        </is>
      </c>
      <c r="C220" s="3" t="inlineStr">
        <is>
          <t xml:space="preserve">SKU-A</t>
        </is>
      </c>
      <c r="D220" s="3" t="inlineStr">
        <is>
          <t xml:space="preserve">Renewal Serum</t>
        </is>
      </c>
      <c r="E220" s="6">
        <f>IF('Settings'!$B$11="Scenario",IFERROR(INDEX('Catalogue'!$E$3:$E$100,MATCH(C220,'Catalogue'!$B$3:$B$100,0)),F220),F220)</f>
        <v>69.9</v>
      </c>
      <c r="F220" s="8">
        <v>64</v>
      </c>
      <c r="G220" s="3">
        <v>1</v>
      </c>
      <c r="H220" s="6">
        <f>IF('Settings'!$B$11="Scenario",ROUND(E220*G220*IFERROR(SUMIF('Pricing &amp; promotions'!$A$6:$A$8,L220,'Pricing &amp; promotions'!$B$6:$B$8)/100,0),2),J220)</f>
        <v>10.49</v>
      </c>
      <c r="I220" s="6">
        <f>ROUND((E220*G220-H220)/(1+'Settings'!$B$6/100),2)</f>
        <v>49.1</v>
      </c>
      <c r="J220" s="8">
        <v>9.6</v>
      </c>
      <c r="K220" s="3" t="inlineStr">
        <is>
          <t xml:space="preserve">TRUE</t>
        </is>
      </c>
      <c r="L220" s="3" t="inlineStr">
        <is>
          <t xml:space="preserve">SUMMER15</t>
        </is>
      </c>
    </row>
    <row r="221">
      <c r="A221" s="3" t="inlineStr">
        <is>
          <t xml:space="preserve">#1154</t>
        </is>
      </c>
      <c r="B221" s="3" t="inlineStr">
        <is>
          <t xml:space="preserve">2025-12-11</t>
        </is>
      </c>
      <c r="C221" s="3" t="inlineStr">
        <is>
          <t xml:space="preserve">SKU-C</t>
        </is>
      </c>
      <c r="D221" s="3" t="inlineStr">
        <is>
          <t xml:space="preserve">Contour Stone</t>
        </is>
      </c>
      <c r="E221" s="6">
        <f>IF('Settings'!$B$11="Scenario",IFERROR(INDEX('Catalogue'!$E$3:$E$100,MATCH(C221,'Catalogue'!$B$3:$B$100,0)),F221),F221)</f>
        <v>29</v>
      </c>
      <c r="F221" s="8">
        <v>29</v>
      </c>
      <c r="G221" s="3">
        <v>1</v>
      </c>
      <c r="H221" s="6">
        <f>IF('Settings'!$B$11="Scenario",ROUND(E221*G221*IFERROR(SUMIF('Pricing &amp; promotions'!$A$6:$A$8,L221,'Pricing &amp; promotions'!$B$6:$B$8)/100,0),2),J221)</f>
        <v>2.9</v>
      </c>
      <c r="I221" s="6">
        <f>ROUND((E221*G221-H221)/(1+'Settings'!$B$6/100),2)</f>
        <v>21.57</v>
      </c>
      <c r="J221" s="8">
        <v>2.9</v>
      </c>
      <c r="K221" s="3" t="inlineStr">
        <is>
          <t xml:space="preserve">TRUE</t>
        </is>
      </c>
      <c r="L221" s="3" t="inlineStr">
        <is>
          <t xml:space="preserve">WELCOME10</t>
        </is>
      </c>
    </row>
    <row r="222">
      <c r="A222" s="3" t="inlineStr">
        <is>
          <t xml:space="preserve">#1155</t>
        </is>
      </c>
      <c r="B222" s="3" t="inlineStr">
        <is>
          <t xml:space="preserve">2025-12-11</t>
        </is>
      </c>
      <c r="C222" s="3" t="inlineStr">
        <is>
          <t xml:space="preserve">SKU-C</t>
        </is>
      </c>
      <c r="D222" s="3" t="inlineStr">
        <is>
          <t xml:space="preserve">Contour Stone</t>
        </is>
      </c>
      <c r="E222" s="6">
        <f>IF('Settings'!$B$11="Scenario",IFERROR(INDEX('Catalogue'!$E$3:$E$100,MATCH(C222,'Catalogue'!$B$3:$B$100,0)),F222),F222)</f>
        <v>29</v>
      </c>
      <c r="F222" s="8">
        <v>29</v>
      </c>
      <c r="G222" s="3">
        <v>1</v>
      </c>
      <c r="H222" s="6">
        <f>IF('Settings'!$B$11="Scenario",ROUND(E222*G222*IFERROR(SUMIF('Pricing &amp; promotions'!$A$6:$A$8,L222,'Pricing &amp; promotions'!$B$6:$B$8)/100,0),2),J222)</f>
        <v>0.0</v>
      </c>
      <c r="I222" s="6">
        <f>ROUND((E222*G222-H222)/(1+'Settings'!$B$6/100),2)</f>
        <v>23.97</v>
      </c>
      <c r="J222" s="8">
        <v>0.0</v>
      </c>
      <c r="K222" s="3" t="inlineStr">
        <is>
          <t xml:space="preserve">TRUE</t>
        </is>
      </c>
      <c r="L222" s="3"/>
    </row>
    <row r="223">
      <c r="A223" s="3" t="inlineStr">
        <is>
          <t xml:space="preserve">#1155</t>
        </is>
      </c>
      <c r="B223" s="3" t="inlineStr">
        <is>
          <t xml:space="preserve">2025-12-11</t>
        </is>
      </c>
      <c r="C223" s="3" t="inlineStr">
        <is>
          <t xml:space="preserve">SKU-E</t>
        </is>
      </c>
      <c r="D223" s="3" t="inlineStr">
        <is>
          <t xml:space="preserve">Complete Ritual</t>
        </is>
      </c>
      <c r="E223" s="6">
        <f>IF('Settings'!$B$11="Scenario",IFERROR(INDEX('Catalogue'!$E$3:$E$100,MATCH(C223,'Catalogue'!$B$3:$B$100,0)),F223),F223)</f>
        <v>89</v>
      </c>
      <c r="F223" s="8">
        <v>89</v>
      </c>
      <c r="G223" s="3">
        <v>1</v>
      </c>
      <c r="H223" s="6">
        <f>IF('Settings'!$B$11="Scenario",ROUND(E223*G223*IFERROR(SUMIF('Pricing &amp; promotions'!$A$6:$A$8,L223,'Pricing &amp; promotions'!$B$6:$B$8)/100,0),2),J223)</f>
        <v>0.0</v>
      </c>
      <c r="I223" s="6">
        <f>ROUND((E223*G223-H223)/(1+'Settings'!$B$6/100),2)</f>
        <v>73.55</v>
      </c>
      <c r="J223" s="8">
        <v>0.0</v>
      </c>
      <c r="K223" s="3" t="inlineStr">
        <is>
          <t xml:space="preserve">TRUE</t>
        </is>
      </c>
      <c r="L223" s="3"/>
    </row>
    <row r="224">
      <c r="A224" s="3" t="inlineStr">
        <is>
          <t xml:space="preserve">#1156</t>
        </is>
      </c>
      <c r="B224" s="3" t="inlineStr">
        <is>
          <t xml:space="preserve">2025-12-11</t>
        </is>
      </c>
      <c r="C224" s="3" t="inlineStr">
        <is>
          <t xml:space="preserve">SKU-B</t>
        </is>
      </c>
      <c r="D224" s="3" t="inlineStr">
        <is>
          <t xml:space="preserve">Barrier Balm</t>
        </is>
      </c>
      <c r="E224" s="6">
        <f>IF('Settings'!$B$11="Scenario",IFERROR(INDEX('Catalogue'!$E$3:$E$100,MATCH(C224,'Catalogue'!$B$3:$B$100,0)),F224),F224)</f>
        <v>19</v>
      </c>
      <c r="F224" s="8">
        <v>18</v>
      </c>
      <c r="G224" s="3">
        <v>1</v>
      </c>
      <c r="H224" s="6">
        <f>IF('Settings'!$B$11="Scenario",ROUND(E224*G224*IFERROR(SUMIF('Pricing &amp; promotions'!$A$6:$A$8,L224,'Pricing &amp; promotions'!$B$6:$B$8)/100,0),2),J224)</f>
        <v>0.0</v>
      </c>
      <c r="I224" s="6">
        <f>ROUND((E224*G224-H224)/(1+'Settings'!$B$6/100),2)</f>
        <v>15.7</v>
      </c>
      <c r="J224" s="8">
        <v>0.0</v>
      </c>
      <c r="K224" s="3" t="inlineStr">
        <is>
          <t xml:space="preserve">TRUE</t>
        </is>
      </c>
      <c r="L224" s="3"/>
    </row>
    <row r="225">
      <c r="A225" s="3" t="inlineStr">
        <is>
          <t xml:space="preserve">#1156</t>
        </is>
      </c>
      <c r="B225" s="3" t="inlineStr">
        <is>
          <t xml:space="preserve">2025-12-11</t>
        </is>
      </c>
      <c r="C225" s="3" t="inlineStr">
        <is>
          <t xml:space="preserve">SKU-E</t>
        </is>
      </c>
      <c r="D225" s="3" t="inlineStr">
        <is>
          <t xml:space="preserve">Complete Ritual</t>
        </is>
      </c>
      <c r="E225" s="6">
        <f>IF('Settings'!$B$11="Scenario",IFERROR(INDEX('Catalogue'!$E$3:$E$100,MATCH(C225,'Catalogue'!$B$3:$B$100,0)),F225),F225)</f>
        <v>89</v>
      </c>
      <c r="F225" s="8">
        <v>89</v>
      </c>
      <c r="G225" s="3">
        <v>2</v>
      </c>
      <c r="H225" s="6">
        <f>IF('Settings'!$B$11="Scenario",ROUND(E225*G225*IFERROR(SUMIF('Pricing &amp; promotions'!$A$6:$A$8,L225,'Pricing &amp; promotions'!$B$6:$B$8)/100,0),2),J225)</f>
        <v>0.0</v>
      </c>
      <c r="I225" s="6">
        <f>ROUND((E225*G225-H225)/(1+'Settings'!$B$6/100),2)</f>
        <v>147.11</v>
      </c>
      <c r="J225" s="8">
        <v>0.0</v>
      </c>
      <c r="K225" s="3" t="inlineStr">
        <is>
          <t xml:space="preserve">TRUE</t>
        </is>
      </c>
      <c r="L225" s="3"/>
    </row>
    <row r="226">
      <c r="A226" s="3" t="inlineStr">
        <is>
          <t xml:space="preserve">#1156</t>
        </is>
      </c>
      <c r="B226" s="3" t="inlineStr">
        <is>
          <t xml:space="preserve">2025-12-11</t>
        </is>
      </c>
      <c r="C226" s="3" t="inlineStr">
        <is>
          <t xml:space="preserve">SKU-A</t>
        </is>
      </c>
      <c r="D226" s="3" t="inlineStr">
        <is>
          <t xml:space="preserve">Renewal Serum</t>
        </is>
      </c>
      <c r="E226" s="6">
        <f>IF('Settings'!$B$11="Scenario",IFERROR(INDEX('Catalogue'!$E$3:$E$100,MATCH(C226,'Catalogue'!$B$3:$B$100,0)),F226),F226)</f>
        <v>69.9</v>
      </c>
      <c r="F226" s="8">
        <v>64</v>
      </c>
      <c r="G226" s="3">
        <v>1</v>
      </c>
      <c r="H226" s="6">
        <f>IF('Settings'!$B$11="Scenario",ROUND(E226*G226*IFERROR(SUMIF('Pricing &amp; promotions'!$A$6:$A$8,L226,'Pricing &amp; promotions'!$B$6:$B$8)/100,0),2),J226)</f>
        <v>0.0</v>
      </c>
      <c r="I226" s="6">
        <f>ROUND((E226*G226-H226)/(1+'Settings'!$B$6/100),2)</f>
        <v>57.77</v>
      </c>
      <c r="J226" s="8">
        <v>0.0</v>
      </c>
      <c r="K226" s="3" t="inlineStr">
        <is>
          <t xml:space="preserve">TRUE</t>
        </is>
      </c>
      <c r="L226" s="3"/>
    </row>
    <row r="227">
      <c r="A227" s="3" t="inlineStr">
        <is>
          <t xml:space="preserve">#1157</t>
        </is>
      </c>
      <c r="B227" s="3" t="inlineStr">
        <is>
          <t xml:space="preserve">2025-12-11</t>
        </is>
      </c>
      <c r="C227" s="3" t="inlineStr">
        <is>
          <t xml:space="preserve">SKU-B</t>
        </is>
      </c>
      <c r="D227" s="3" t="inlineStr">
        <is>
          <t xml:space="preserve">Barrier Balm</t>
        </is>
      </c>
      <c r="E227" s="6">
        <f>IF('Settings'!$B$11="Scenario",IFERROR(INDEX('Catalogue'!$E$3:$E$100,MATCH(C227,'Catalogue'!$B$3:$B$100,0)),F227),F227)</f>
        <v>19</v>
      </c>
      <c r="F227" s="8">
        <v>18</v>
      </c>
      <c r="G227" s="3">
        <v>1</v>
      </c>
      <c r="H227" s="6">
        <f>IF('Settings'!$B$11="Scenario",ROUND(E227*G227*IFERROR(SUMIF('Pricing &amp; promotions'!$A$6:$A$8,L227,'Pricing &amp; promotions'!$B$6:$B$8)/100,0),2),J227)</f>
        <v>1.9</v>
      </c>
      <c r="I227" s="6">
        <f>ROUND((E227*G227-H227)/(1+'Settings'!$B$6/100),2)</f>
        <v>14.13</v>
      </c>
      <c r="J227" s="8">
        <v>1.8</v>
      </c>
      <c r="K227" s="3" t="inlineStr">
        <is>
          <t xml:space="preserve">TRUE</t>
        </is>
      </c>
      <c r="L227" s="3" t="inlineStr">
        <is>
          <t xml:space="preserve">WELCOME10</t>
        </is>
      </c>
    </row>
    <row r="228">
      <c r="A228" s="3" t="inlineStr">
        <is>
          <t xml:space="preserve">#1158</t>
        </is>
      </c>
      <c r="B228" s="3" t="inlineStr">
        <is>
          <t xml:space="preserve">2025-12-12</t>
        </is>
      </c>
      <c r="C228" s="3" t="inlineStr">
        <is>
          <t xml:space="preserve">SKU-A</t>
        </is>
      </c>
      <c r="D228" s="3" t="inlineStr">
        <is>
          <t xml:space="preserve">Renewal Serum</t>
        </is>
      </c>
      <c r="E228" s="6">
        <f>IF('Settings'!$B$11="Scenario",IFERROR(INDEX('Catalogue'!$E$3:$E$100,MATCH(C228,'Catalogue'!$B$3:$B$100,0)),F228),F228)</f>
        <v>69.9</v>
      </c>
      <c r="F228" s="8">
        <v>64</v>
      </c>
      <c r="G228" s="3">
        <v>2</v>
      </c>
      <c r="H228" s="6">
        <f>IF('Settings'!$B$11="Scenario",ROUND(E228*G228*IFERROR(SUMIF('Pricing &amp; promotions'!$A$6:$A$8,L228,'Pricing &amp; promotions'!$B$6:$B$8)/100,0),2),J228)</f>
        <v>0.0</v>
      </c>
      <c r="I228" s="6">
        <f>ROUND((E228*G228-H228)/(1+'Settings'!$B$6/100),2)</f>
        <v>115.54</v>
      </c>
      <c r="J228" s="8">
        <v>0.0</v>
      </c>
      <c r="K228" s="3" t="inlineStr">
        <is>
          <t xml:space="preserve">TRUE</t>
        </is>
      </c>
      <c r="L228" s="3"/>
    </row>
    <row r="229">
      <c r="A229" s="3" t="inlineStr">
        <is>
          <t xml:space="preserve">#1159</t>
        </is>
      </c>
      <c r="B229" s="3" t="inlineStr">
        <is>
          <t xml:space="preserve">2025-12-12</t>
        </is>
      </c>
      <c r="C229" s="3" t="inlineStr">
        <is>
          <t xml:space="preserve">SKU-A</t>
        </is>
      </c>
      <c r="D229" s="3" t="inlineStr">
        <is>
          <t xml:space="preserve">Renewal Serum</t>
        </is>
      </c>
      <c r="E229" s="6">
        <f>IF('Settings'!$B$11="Scenario",IFERROR(INDEX('Catalogue'!$E$3:$E$100,MATCH(C229,'Catalogue'!$B$3:$B$100,0)),F229),F229)</f>
        <v>69.9</v>
      </c>
      <c r="F229" s="8">
        <v>64</v>
      </c>
      <c r="G229" s="3">
        <v>1</v>
      </c>
      <c r="H229" s="6">
        <f>IF('Settings'!$B$11="Scenario",ROUND(E229*G229*IFERROR(SUMIF('Pricing &amp; promotions'!$A$6:$A$8,L229,'Pricing &amp; promotions'!$B$6:$B$8)/100,0),2),J229)</f>
        <v>0.0</v>
      </c>
      <c r="I229" s="6">
        <f>ROUND((E229*G229-H229)/(1+'Settings'!$B$6/100),2)</f>
        <v>57.77</v>
      </c>
      <c r="J229" s="8">
        <v>0.0</v>
      </c>
      <c r="K229" s="3" t="inlineStr">
        <is>
          <t xml:space="preserve">TRUE</t>
        </is>
      </c>
      <c r="L229" s="3"/>
    </row>
    <row r="230">
      <c r="A230" s="3" t="inlineStr">
        <is>
          <t xml:space="preserve">#1160</t>
        </is>
      </c>
      <c r="B230" s="3" t="inlineStr">
        <is>
          <t xml:space="preserve">2025-12-13</t>
        </is>
      </c>
      <c r="C230" s="3" t="inlineStr">
        <is>
          <t xml:space="preserve">SKU-A</t>
        </is>
      </c>
      <c r="D230" s="3" t="inlineStr">
        <is>
          <t xml:space="preserve">Renewal Serum</t>
        </is>
      </c>
      <c r="E230" s="6">
        <f>IF('Settings'!$B$11="Scenario",IFERROR(INDEX('Catalogue'!$E$3:$E$100,MATCH(C230,'Catalogue'!$B$3:$B$100,0)),F230),F230)</f>
        <v>69.9</v>
      </c>
      <c r="F230" s="8">
        <v>64</v>
      </c>
      <c r="G230" s="3">
        <v>1</v>
      </c>
      <c r="H230" s="6">
        <f>IF('Settings'!$B$11="Scenario",ROUND(E230*G230*IFERROR(SUMIF('Pricing &amp; promotions'!$A$6:$A$8,L230,'Pricing &amp; promotions'!$B$6:$B$8)/100,0),2),J230)</f>
        <v>6.99</v>
      </c>
      <c r="I230" s="6">
        <f>ROUND((E230*G230-H230)/(1+'Settings'!$B$6/100),2)</f>
        <v>51.99</v>
      </c>
      <c r="J230" s="8">
        <v>6.4</v>
      </c>
      <c r="K230" s="3" t="inlineStr">
        <is>
          <t xml:space="preserve">TRUE</t>
        </is>
      </c>
      <c r="L230" s="3" t="inlineStr">
        <is>
          <t xml:space="preserve">WELCOME10</t>
        </is>
      </c>
    </row>
    <row r="231">
      <c r="A231" s="3" t="inlineStr">
        <is>
          <t xml:space="preserve">#1160</t>
        </is>
      </c>
      <c r="B231" s="3" t="inlineStr">
        <is>
          <t xml:space="preserve">2025-12-13</t>
        </is>
      </c>
      <c r="C231" s="3" t="inlineStr">
        <is>
          <t xml:space="preserve">SKU-D</t>
        </is>
      </c>
      <c r="D231" s="3" t="inlineStr">
        <is>
          <t xml:space="preserve">Daily Duo</t>
        </is>
      </c>
      <c r="E231" s="6">
        <f>IF('Settings'!$B$11="Scenario",IFERROR(INDEX('Catalogue'!$E$3:$E$100,MATCH(C231,'Catalogue'!$B$3:$B$100,0)),F231),F231)</f>
        <v>79</v>
      </c>
      <c r="F231" s="8">
        <v>79</v>
      </c>
      <c r="G231" s="3">
        <v>1</v>
      </c>
      <c r="H231" s="6">
        <f>IF('Settings'!$B$11="Scenario",ROUND(E231*G231*IFERROR(SUMIF('Pricing &amp; promotions'!$A$6:$A$8,L231,'Pricing &amp; promotions'!$B$6:$B$8)/100,0),2),J231)</f>
        <v>7.9</v>
      </c>
      <c r="I231" s="6">
        <f>ROUND((E231*G231-H231)/(1+'Settings'!$B$6/100),2)</f>
        <v>58.76</v>
      </c>
      <c r="J231" s="8">
        <v>7.9</v>
      </c>
      <c r="K231" s="3" t="inlineStr">
        <is>
          <t xml:space="preserve">TRUE</t>
        </is>
      </c>
      <c r="L231" s="3" t="inlineStr">
        <is>
          <t xml:space="preserve">WELCOME10</t>
        </is>
      </c>
    </row>
    <row r="232">
      <c r="A232" s="3" t="inlineStr">
        <is>
          <t xml:space="preserve">#1161</t>
        </is>
      </c>
      <c r="B232" s="3" t="inlineStr">
        <is>
          <t xml:space="preserve">2025-12-14</t>
        </is>
      </c>
      <c r="C232" s="3" t="inlineStr">
        <is>
          <t xml:space="preserve">SKU-A</t>
        </is>
      </c>
      <c r="D232" s="3" t="inlineStr">
        <is>
          <t xml:space="preserve">Renewal Serum</t>
        </is>
      </c>
      <c r="E232" s="6">
        <f>IF('Settings'!$B$11="Scenario",IFERROR(INDEX('Catalogue'!$E$3:$E$100,MATCH(C232,'Catalogue'!$B$3:$B$100,0)),F232),F232)</f>
        <v>69.9</v>
      </c>
      <c r="F232" s="8">
        <v>64</v>
      </c>
      <c r="G232" s="3">
        <v>1</v>
      </c>
      <c r="H232" s="6">
        <f>IF('Settings'!$B$11="Scenario",ROUND(E232*G232*IFERROR(SUMIF('Pricing &amp; promotions'!$A$6:$A$8,L232,'Pricing &amp; promotions'!$B$6:$B$8)/100,0),2),J232)</f>
        <v>0.0</v>
      </c>
      <c r="I232" s="6">
        <f>ROUND((E232*G232-H232)/(1+'Settings'!$B$6/100),2)</f>
        <v>57.77</v>
      </c>
      <c r="J232" s="8">
        <v>0.0</v>
      </c>
      <c r="K232" s="3" t="inlineStr">
        <is>
          <t xml:space="preserve">TRUE</t>
        </is>
      </c>
      <c r="L232" s="3"/>
    </row>
    <row r="233">
      <c r="A233" s="3" t="inlineStr">
        <is>
          <t xml:space="preserve">#1162</t>
        </is>
      </c>
      <c r="B233" s="3" t="inlineStr">
        <is>
          <t xml:space="preserve">2025-12-14</t>
        </is>
      </c>
      <c r="C233" s="3" t="inlineStr">
        <is>
          <t xml:space="preserve">SKU-A</t>
        </is>
      </c>
      <c r="D233" s="3" t="inlineStr">
        <is>
          <t xml:space="preserve">Renewal Serum</t>
        </is>
      </c>
      <c r="E233" s="6">
        <f>IF('Settings'!$B$11="Scenario",IFERROR(INDEX('Catalogue'!$E$3:$E$100,MATCH(C233,'Catalogue'!$B$3:$B$100,0)),F233),F233)</f>
        <v>69.9</v>
      </c>
      <c r="F233" s="8">
        <v>64</v>
      </c>
      <c r="G233" s="3">
        <v>1</v>
      </c>
      <c r="H233" s="6">
        <f>IF('Settings'!$B$11="Scenario",ROUND(E233*G233*IFERROR(SUMIF('Pricing &amp; promotions'!$A$6:$A$8,L233,'Pricing &amp; promotions'!$B$6:$B$8)/100,0),2),J233)</f>
        <v>0.0</v>
      </c>
      <c r="I233" s="6">
        <f>ROUND((E233*G233-H233)/(1+'Settings'!$B$6/100),2)</f>
        <v>57.77</v>
      </c>
      <c r="J233" s="8">
        <v>0.0</v>
      </c>
      <c r="K233" s="3" t="inlineStr">
        <is>
          <t xml:space="preserve">TRUE</t>
        </is>
      </c>
      <c r="L233" s="3"/>
    </row>
    <row r="234">
      <c r="A234" s="3" t="inlineStr">
        <is>
          <t xml:space="preserve">#1163</t>
        </is>
      </c>
      <c r="B234" s="3" t="inlineStr">
        <is>
          <t xml:space="preserve">2025-12-14</t>
        </is>
      </c>
      <c r="C234" s="3" t="inlineStr">
        <is>
          <t xml:space="preserve">SKU-D</t>
        </is>
      </c>
      <c r="D234" s="3" t="inlineStr">
        <is>
          <t xml:space="preserve">Daily Duo</t>
        </is>
      </c>
      <c r="E234" s="6">
        <f>IF('Settings'!$B$11="Scenario",IFERROR(INDEX('Catalogue'!$E$3:$E$100,MATCH(C234,'Catalogue'!$B$3:$B$100,0)),F234),F234)</f>
        <v>79</v>
      </c>
      <c r="F234" s="8">
        <v>79</v>
      </c>
      <c r="G234" s="3">
        <v>1</v>
      </c>
      <c r="H234" s="6">
        <f>IF('Settings'!$B$11="Scenario",ROUND(E234*G234*IFERROR(SUMIF('Pricing &amp; promotions'!$A$6:$A$8,L234,'Pricing &amp; promotions'!$B$6:$B$8)/100,0),2),J234)</f>
        <v>0.0</v>
      </c>
      <c r="I234" s="6">
        <f>ROUND((E234*G234-H234)/(1+'Settings'!$B$6/100),2)</f>
        <v>65.29</v>
      </c>
      <c r="J234" s="8">
        <v>0.0</v>
      </c>
      <c r="K234" s="3" t="inlineStr">
        <is>
          <t xml:space="preserve">TRUE</t>
        </is>
      </c>
      <c r="L234" s="3"/>
    </row>
    <row r="235">
      <c r="A235" s="3" t="inlineStr">
        <is>
          <t xml:space="preserve">#1163</t>
        </is>
      </c>
      <c r="B235" s="3" t="inlineStr">
        <is>
          <t xml:space="preserve">2025-12-14</t>
        </is>
      </c>
      <c r="C235" s="3" t="inlineStr">
        <is>
          <t xml:space="preserve">SKU-E</t>
        </is>
      </c>
      <c r="D235" s="3" t="inlineStr">
        <is>
          <t xml:space="preserve">Complete Ritual</t>
        </is>
      </c>
      <c r="E235" s="6">
        <f>IF('Settings'!$B$11="Scenario",IFERROR(INDEX('Catalogue'!$E$3:$E$100,MATCH(C235,'Catalogue'!$B$3:$B$100,0)),F235),F235)</f>
        <v>89</v>
      </c>
      <c r="F235" s="8">
        <v>89</v>
      </c>
      <c r="G235" s="3">
        <v>1</v>
      </c>
      <c r="H235" s="6">
        <f>IF('Settings'!$B$11="Scenario",ROUND(E235*G235*IFERROR(SUMIF('Pricing &amp; promotions'!$A$6:$A$8,L235,'Pricing &amp; promotions'!$B$6:$B$8)/100,0),2),J235)</f>
        <v>0.0</v>
      </c>
      <c r="I235" s="6">
        <f>ROUND((E235*G235-H235)/(1+'Settings'!$B$6/100),2)</f>
        <v>73.55</v>
      </c>
      <c r="J235" s="8">
        <v>0.0</v>
      </c>
      <c r="K235" s="3" t="inlineStr">
        <is>
          <t xml:space="preserve">TRUE</t>
        </is>
      </c>
      <c r="L235" s="3"/>
    </row>
    <row r="236">
      <c r="A236" s="3" t="inlineStr">
        <is>
          <t xml:space="preserve">#1164</t>
        </is>
      </c>
      <c r="B236" s="3" t="inlineStr">
        <is>
          <t xml:space="preserve">2025-12-14</t>
        </is>
      </c>
      <c r="C236" s="3" t="inlineStr">
        <is>
          <t xml:space="preserve">SKU-F</t>
        </is>
      </c>
      <c r="D236" s="3" t="inlineStr">
        <is>
          <t xml:space="preserve">Cloud Cleanser</t>
        </is>
      </c>
      <c r="E236" s="6">
        <f>IF('Settings'!$B$11="Scenario",IFERROR(INDEX('Catalogue'!$E$3:$E$100,MATCH(C236,'Catalogue'!$B$3:$B$100,0)),F236),F236)</f>
        <v>34</v>
      </c>
      <c r="F236" s="8">
        <v>34</v>
      </c>
      <c r="G236" s="3">
        <v>1</v>
      </c>
      <c r="H236" s="6">
        <f>IF('Settings'!$B$11="Scenario",ROUND(E236*G236*IFERROR(SUMIF('Pricing &amp; promotions'!$A$6:$A$8,L236,'Pricing &amp; promotions'!$B$6:$B$8)/100,0),2),J236)</f>
        <v>0.0</v>
      </c>
      <c r="I236" s="6">
        <f>ROUND((E236*G236-H236)/(1+'Settings'!$B$6/100),2)</f>
        <v>28.1</v>
      </c>
      <c r="J236" s="8">
        <v>0.0</v>
      </c>
      <c r="K236" s="3" t="inlineStr">
        <is>
          <t xml:space="preserve">TRUE</t>
        </is>
      </c>
      <c r="L236" s="3"/>
    </row>
    <row r="237">
      <c r="A237" s="3" t="inlineStr">
        <is>
          <t xml:space="preserve">#1165</t>
        </is>
      </c>
      <c r="B237" s="3" t="inlineStr">
        <is>
          <t xml:space="preserve">2025-12-15</t>
        </is>
      </c>
      <c r="C237" s="3" t="inlineStr">
        <is>
          <t xml:space="preserve">SKU-C</t>
        </is>
      </c>
      <c r="D237" s="3" t="inlineStr">
        <is>
          <t xml:space="preserve">Contour Stone</t>
        </is>
      </c>
      <c r="E237" s="6">
        <f>IF('Settings'!$B$11="Scenario",IFERROR(INDEX('Catalogue'!$E$3:$E$100,MATCH(C237,'Catalogue'!$B$3:$B$100,0)),F237),F237)</f>
        <v>29</v>
      </c>
      <c r="F237" s="8">
        <v>29</v>
      </c>
      <c r="G237" s="3">
        <v>1</v>
      </c>
      <c r="H237" s="6">
        <f>IF('Settings'!$B$11="Scenario",ROUND(E237*G237*IFERROR(SUMIF('Pricing &amp; promotions'!$A$6:$A$8,L237,'Pricing &amp; promotions'!$B$6:$B$8)/100,0),2),J237)</f>
        <v>0.0</v>
      </c>
      <c r="I237" s="6">
        <f>ROUND((E237*G237-H237)/(1+'Settings'!$B$6/100),2)</f>
        <v>23.97</v>
      </c>
      <c r="J237" s="8">
        <v>0.0</v>
      </c>
      <c r="K237" s="3" t="inlineStr">
        <is>
          <t xml:space="preserve">TRUE</t>
        </is>
      </c>
      <c r="L237" s="3"/>
    </row>
    <row r="238">
      <c r="A238" s="3" t="inlineStr">
        <is>
          <t xml:space="preserve">#1166</t>
        </is>
      </c>
      <c r="B238" s="3" t="inlineStr">
        <is>
          <t xml:space="preserve">2025-12-16</t>
        </is>
      </c>
      <c r="C238" s="3" t="inlineStr">
        <is>
          <t xml:space="preserve">SKU-C</t>
        </is>
      </c>
      <c r="D238" s="3" t="inlineStr">
        <is>
          <t xml:space="preserve">Contour Stone</t>
        </is>
      </c>
      <c r="E238" s="6">
        <f>IF('Settings'!$B$11="Scenario",IFERROR(INDEX('Catalogue'!$E$3:$E$100,MATCH(C238,'Catalogue'!$B$3:$B$100,0)),F238),F238)</f>
        <v>29</v>
      </c>
      <c r="F238" s="8">
        <v>29</v>
      </c>
      <c r="G238" s="3">
        <v>1</v>
      </c>
      <c r="H238" s="6">
        <f>IF('Settings'!$B$11="Scenario",ROUND(E238*G238*IFERROR(SUMIF('Pricing &amp; promotions'!$A$6:$A$8,L238,'Pricing &amp; promotions'!$B$6:$B$8)/100,0),2),J238)</f>
        <v>2.9</v>
      </c>
      <c r="I238" s="6">
        <f>ROUND((E238*G238-H238)/(1+'Settings'!$B$6/100),2)</f>
        <v>21.57</v>
      </c>
      <c r="J238" s="8">
        <v>2.9</v>
      </c>
      <c r="K238" s="3" t="inlineStr">
        <is>
          <t xml:space="preserve">TRUE</t>
        </is>
      </c>
      <c r="L238" s="3" t="inlineStr">
        <is>
          <t xml:space="preserve">WELCOME10</t>
        </is>
      </c>
    </row>
    <row r="239">
      <c r="A239" s="3" t="inlineStr">
        <is>
          <t xml:space="preserve">#1167</t>
        </is>
      </c>
      <c r="B239" s="3" t="inlineStr">
        <is>
          <t xml:space="preserve">2025-12-16</t>
        </is>
      </c>
      <c r="C239" s="3" t="inlineStr">
        <is>
          <t xml:space="preserve">SKU-E</t>
        </is>
      </c>
      <c r="D239" s="3" t="inlineStr">
        <is>
          <t xml:space="preserve">Complete Ritual</t>
        </is>
      </c>
      <c r="E239" s="6">
        <f>IF('Settings'!$B$11="Scenario",IFERROR(INDEX('Catalogue'!$E$3:$E$100,MATCH(C239,'Catalogue'!$B$3:$B$100,0)),F239),F239)</f>
        <v>89</v>
      </c>
      <c r="F239" s="8">
        <v>89</v>
      </c>
      <c r="G239" s="3">
        <v>1</v>
      </c>
      <c r="H239" s="6">
        <f>IF('Settings'!$B$11="Scenario",ROUND(E239*G239*IFERROR(SUMIF('Pricing &amp; promotions'!$A$6:$A$8,L239,'Pricing &amp; promotions'!$B$6:$B$8)/100,0),2),J239)</f>
        <v>13.35</v>
      </c>
      <c r="I239" s="6">
        <f>ROUND((E239*G239-H239)/(1+'Settings'!$B$6/100),2)</f>
        <v>62.52</v>
      </c>
      <c r="J239" s="8">
        <v>13.35</v>
      </c>
      <c r="K239" s="3" t="inlineStr">
        <is>
          <t xml:space="preserve">TRUE</t>
        </is>
      </c>
      <c r="L239" s="3" t="inlineStr">
        <is>
          <t xml:space="preserve">SUMMER15</t>
        </is>
      </c>
    </row>
    <row r="240">
      <c r="A240" s="3" t="inlineStr">
        <is>
          <t xml:space="preserve">#1167</t>
        </is>
      </c>
      <c r="B240" s="3" t="inlineStr">
        <is>
          <t xml:space="preserve">2025-12-16</t>
        </is>
      </c>
      <c r="C240" s="3" t="inlineStr">
        <is>
          <t xml:space="preserve">SKU-G</t>
        </is>
      </c>
      <c r="D240" s="3" t="inlineStr">
        <is>
          <t xml:space="preserve">Daily Reset Set</t>
        </is>
      </c>
      <c r="E240" s="6">
        <f>IF('Settings'!$B$11="Scenario",IFERROR(INDEX('Catalogue'!$E$3:$E$100,MATCH(C240,'Catalogue'!$B$3:$B$100,0)),F240),F240)</f>
        <v>69</v>
      </c>
      <c r="F240" s="8">
        <v>69</v>
      </c>
      <c r="G240" s="3">
        <v>1</v>
      </c>
      <c r="H240" s="6">
        <f>IF('Settings'!$B$11="Scenario",ROUND(E240*G240*IFERROR(SUMIF('Pricing &amp; promotions'!$A$6:$A$8,L240,'Pricing &amp; promotions'!$B$6:$B$8)/100,0),2),J240)</f>
        <v>10.35</v>
      </c>
      <c r="I240" s="6">
        <f>ROUND((E240*G240-H240)/(1+'Settings'!$B$6/100),2)</f>
        <v>48.47</v>
      </c>
      <c r="J240" s="8">
        <v>10.35</v>
      </c>
      <c r="K240" s="3" t="inlineStr">
        <is>
          <t xml:space="preserve">TRUE</t>
        </is>
      </c>
      <c r="L240" s="3" t="inlineStr">
        <is>
          <t xml:space="preserve">SUMMER15</t>
        </is>
      </c>
    </row>
    <row r="241">
      <c r="A241" s="3" t="inlineStr">
        <is>
          <t xml:space="preserve">#1168</t>
        </is>
      </c>
      <c r="B241" s="3" t="inlineStr">
        <is>
          <t xml:space="preserve">2025-12-16</t>
        </is>
      </c>
      <c r="C241" s="3" t="inlineStr">
        <is>
          <t xml:space="preserve">SKU-D</t>
        </is>
      </c>
      <c r="D241" s="3" t="inlineStr">
        <is>
          <t xml:space="preserve">Daily Duo</t>
        </is>
      </c>
      <c r="E241" s="6">
        <f>IF('Settings'!$B$11="Scenario",IFERROR(INDEX('Catalogue'!$E$3:$E$100,MATCH(C241,'Catalogue'!$B$3:$B$100,0)),F241),F241)</f>
        <v>79</v>
      </c>
      <c r="F241" s="8">
        <v>79</v>
      </c>
      <c r="G241" s="3">
        <v>1</v>
      </c>
      <c r="H241" s="6">
        <f>IF('Settings'!$B$11="Scenario",ROUND(E241*G241*IFERROR(SUMIF('Pricing &amp; promotions'!$A$6:$A$8,L241,'Pricing &amp; promotions'!$B$6:$B$8)/100,0),2),J241)</f>
        <v>7.9</v>
      </c>
      <c r="I241" s="6">
        <f>ROUND((E241*G241-H241)/(1+'Settings'!$B$6/100),2)</f>
        <v>58.76</v>
      </c>
      <c r="J241" s="8">
        <v>7.9</v>
      </c>
      <c r="K241" s="3" t="inlineStr">
        <is>
          <t xml:space="preserve">TRUE</t>
        </is>
      </c>
      <c r="L241" s="3" t="inlineStr">
        <is>
          <t xml:space="preserve">WELCOME10</t>
        </is>
      </c>
    </row>
    <row r="242">
      <c r="A242" s="3" t="inlineStr">
        <is>
          <t xml:space="preserve">#1169</t>
        </is>
      </c>
      <c r="B242" s="3" t="inlineStr">
        <is>
          <t xml:space="preserve">2025-12-16</t>
        </is>
      </c>
      <c r="C242" s="3" t="inlineStr">
        <is>
          <t xml:space="preserve">SKU-A</t>
        </is>
      </c>
      <c r="D242" s="3" t="inlineStr">
        <is>
          <t xml:space="preserve">Renewal Serum</t>
        </is>
      </c>
      <c r="E242" s="6">
        <f>IF('Settings'!$B$11="Scenario",IFERROR(INDEX('Catalogue'!$E$3:$E$100,MATCH(C242,'Catalogue'!$B$3:$B$100,0)),F242),F242)</f>
        <v>69.9</v>
      </c>
      <c r="F242" s="8">
        <v>64</v>
      </c>
      <c r="G242" s="3">
        <v>1</v>
      </c>
      <c r="H242" s="6">
        <f>IF('Settings'!$B$11="Scenario",ROUND(E242*G242*IFERROR(SUMIF('Pricing &amp; promotions'!$A$6:$A$8,L242,'Pricing &amp; promotions'!$B$6:$B$8)/100,0),2),J242)</f>
        <v>6.99</v>
      </c>
      <c r="I242" s="6">
        <f>ROUND((E242*G242-H242)/(1+'Settings'!$B$6/100),2)</f>
        <v>51.99</v>
      </c>
      <c r="J242" s="8">
        <v>6.4</v>
      </c>
      <c r="K242" s="3" t="inlineStr">
        <is>
          <t xml:space="preserve">TRUE</t>
        </is>
      </c>
      <c r="L242" s="3" t="inlineStr">
        <is>
          <t xml:space="preserve">WELCOME10</t>
        </is>
      </c>
    </row>
    <row r="243">
      <c r="A243" s="3" t="inlineStr">
        <is>
          <t xml:space="preserve">#1170</t>
        </is>
      </c>
      <c r="B243" s="3" t="inlineStr">
        <is>
          <t xml:space="preserve">2025-12-17</t>
        </is>
      </c>
      <c r="C243" s="3" t="inlineStr">
        <is>
          <t xml:space="preserve">SKU-B</t>
        </is>
      </c>
      <c r="D243" s="3" t="inlineStr">
        <is>
          <t xml:space="preserve">Barrier Balm</t>
        </is>
      </c>
      <c r="E243" s="6">
        <f>IF('Settings'!$B$11="Scenario",IFERROR(INDEX('Catalogue'!$E$3:$E$100,MATCH(C243,'Catalogue'!$B$3:$B$100,0)),F243),F243)</f>
        <v>19</v>
      </c>
      <c r="F243" s="8">
        <v>18</v>
      </c>
      <c r="G243" s="3">
        <v>1</v>
      </c>
      <c r="H243" s="6">
        <f>IF('Settings'!$B$11="Scenario",ROUND(E243*G243*IFERROR(SUMIF('Pricing &amp; promotions'!$A$6:$A$8,L243,'Pricing &amp; promotions'!$B$6:$B$8)/100,0),2),J243)</f>
        <v>0.0</v>
      </c>
      <c r="I243" s="6">
        <f>ROUND((E243*G243-H243)/(1+'Settings'!$B$6/100),2)</f>
        <v>15.7</v>
      </c>
      <c r="J243" s="8">
        <v>0.0</v>
      </c>
      <c r="K243" s="3" t="inlineStr">
        <is>
          <t xml:space="preserve">TRUE</t>
        </is>
      </c>
      <c r="L243" s="3"/>
    </row>
    <row r="244">
      <c r="A244" s="3" t="inlineStr">
        <is>
          <t xml:space="preserve">#1170</t>
        </is>
      </c>
      <c r="B244" s="3" t="inlineStr">
        <is>
          <t xml:space="preserve">2025-12-17</t>
        </is>
      </c>
      <c r="C244" s="3" t="inlineStr">
        <is>
          <t xml:space="preserve">SKU-D</t>
        </is>
      </c>
      <c r="D244" s="3" t="inlineStr">
        <is>
          <t xml:space="preserve">Daily Duo</t>
        </is>
      </c>
      <c r="E244" s="6">
        <f>IF('Settings'!$B$11="Scenario",IFERROR(INDEX('Catalogue'!$E$3:$E$100,MATCH(C244,'Catalogue'!$B$3:$B$100,0)),F244),F244)</f>
        <v>79</v>
      </c>
      <c r="F244" s="8">
        <v>79</v>
      </c>
      <c r="G244" s="3">
        <v>1</v>
      </c>
      <c r="H244" s="6">
        <f>IF('Settings'!$B$11="Scenario",ROUND(E244*G244*IFERROR(SUMIF('Pricing &amp; promotions'!$A$6:$A$8,L244,'Pricing &amp; promotions'!$B$6:$B$8)/100,0),2),J244)</f>
        <v>0.0</v>
      </c>
      <c r="I244" s="6">
        <f>ROUND((E244*G244-H244)/(1+'Settings'!$B$6/100),2)</f>
        <v>65.29</v>
      </c>
      <c r="J244" s="8">
        <v>0.0</v>
      </c>
      <c r="K244" s="3" t="inlineStr">
        <is>
          <t xml:space="preserve">TRUE</t>
        </is>
      </c>
      <c r="L244" s="3"/>
    </row>
    <row r="245">
      <c r="A245" s="3" t="inlineStr">
        <is>
          <t xml:space="preserve">#1171</t>
        </is>
      </c>
      <c r="B245" s="3" t="inlineStr">
        <is>
          <t xml:space="preserve">2025-12-17</t>
        </is>
      </c>
      <c r="C245" s="3" t="inlineStr">
        <is>
          <t xml:space="preserve">SKU-C</t>
        </is>
      </c>
      <c r="D245" s="3" t="inlineStr">
        <is>
          <t xml:space="preserve">Contour Stone</t>
        </is>
      </c>
      <c r="E245" s="6">
        <f>IF('Settings'!$B$11="Scenario",IFERROR(INDEX('Catalogue'!$E$3:$E$100,MATCH(C245,'Catalogue'!$B$3:$B$100,0)),F245),F245)</f>
        <v>29</v>
      </c>
      <c r="F245" s="8">
        <v>29</v>
      </c>
      <c r="G245" s="3">
        <v>1</v>
      </c>
      <c r="H245" s="6">
        <f>IF('Settings'!$B$11="Scenario",ROUND(E245*G245*IFERROR(SUMIF('Pricing &amp; promotions'!$A$6:$A$8,L245,'Pricing &amp; promotions'!$B$6:$B$8)/100,0),2),J245)</f>
        <v>4.35</v>
      </c>
      <c r="I245" s="6">
        <f>ROUND((E245*G245-H245)/(1+'Settings'!$B$6/100),2)</f>
        <v>20.37</v>
      </c>
      <c r="J245" s="8">
        <v>4.35</v>
      </c>
      <c r="K245" s="3" t="inlineStr">
        <is>
          <t xml:space="preserve">TRUE</t>
        </is>
      </c>
      <c r="L245" s="3" t="inlineStr">
        <is>
          <t xml:space="preserve">SUMMER15</t>
        </is>
      </c>
    </row>
    <row r="246">
      <c r="A246" s="3" t="inlineStr">
        <is>
          <t xml:space="preserve">#1172</t>
        </is>
      </c>
      <c r="B246" s="3" t="inlineStr">
        <is>
          <t xml:space="preserve">2025-12-17</t>
        </is>
      </c>
      <c r="C246" s="3" t="inlineStr">
        <is>
          <t xml:space="preserve">SKU-F</t>
        </is>
      </c>
      <c r="D246" s="3" t="inlineStr">
        <is>
          <t xml:space="preserve">Cloud Cleanser</t>
        </is>
      </c>
      <c r="E246" s="6">
        <f>IF('Settings'!$B$11="Scenario",IFERROR(INDEX('Catalogue'!$E$3:$E$100,MATCH(C246,'Catalogue'!$B$3:$B$100,0)),F246),F246)</f>
        <v>34</v>
      </c>
      <c r="F246" s="8">
        <v>34</v>
      </c>
      <c r="G246" s="3">
        <v>1</v>
      </c>
      <c r="H246" s="6">
        <f>IF('Settings'!$B$11="Scenario",ROUND(E246*G246*IFERROR(SUMIF('Pricing &amp; promotions'!$A$6:$A$8,L246,'Pricing &amp; promotions'!$B$6:$B$8)/100,0),2),J246)</f>
        <v>3.4</v>
      </c>
      <c r="I246" s="6">
        <f>ROUND((E246*G246-H246)/(1+'Settings'!$B$6/100),2)</f>
        <v>25.29</v>
      </c>
      <c r="J246" s="8">
        <v>3.4</v>
      </c>
      <c r="K246" s="3" t="inlineStr">
        <is>
          <t xml:space="preserve">TRUE</t>
        </is>
      </c>
      <c r="L246" s="3" t="inlineStr">
        <is>
          <t xml:space="preserve">WELCOME10</t>
        </is>
      </c>
    </row>
    <row r="247">
      <c r="A247" s="3" t="inlineStr">
        <is>
          <t xml:space="preserve">#1173</t>
        </is>
      </c>
      <c r="B247" s="3" t="inlineStr">
        <is>
          <t xml:space="preserve">2025-12-17</t>
        </is>
      </c>
      <c r="C247" s="3" t="inlineStr">
        <is>
          <t xml:space="preserve">SKU-A</t>
        </is>
      </c>
      <c r="D247" s="3" t="inlineStr">
        <is>
          <t xml:space="preserve">Renewal Serum</t>
        </is>
      </c>
      <c r="E247" s="6">
        <f>IF('Settings'!$B$11="Scenario",IFERROR(INDEX('Catalogue'!$E$3:$E$100,MATCH(C247,'Catalogue'!$B$3:$B$100,0)),F247),F247)</f>
        <v>69.9</v>
      </c>
      <c r="F247" s="8">
        <v>64</v>
      </c>
      <c r="G247" s="3">
        <v>1</v>
      </c>
      <c r="H247" s="6">
        <f>IF('Settings'!$B$11="Scenario",ROUND(E247*G247*IFERROR(SUMIF('Pricing &amp; promotions'!$A$6:$A$8,L247,'Pricing &amp; promotions'!$B$6:$B$8)/100,0),2),J247)</f>
        <v>0.0</v>
      </c>
      <c r="I247" s="6">
        <f>ROUND((E247*G247-H247)/(1+'Settings'!$B$6/100),2)</f>
        <v>57.77</v>
      </c>
      <c r="J247" s="8">
        <v>0.0</v>
      </c>
      <c r="K247" s="3" t="inlineStr">
        <is>
          <t xml:space="preserve">TRUE</t>
        </is>
      </c>
      <c r="L247" s="3"/>
    </row>
    <row r="248">
      <c r="A248" s="3" t="inlineStr">
        <is>
          <t xml:space="preserve">#1174</t>
        </is>
      </c>
      <c r="B248" s="3" t="inlineStr">
        <is>
          <t xml:space="preserve">2025-12-17</t>
        </is>
      </c>
      <c r="C248" s="3" t="inlineStr">
        <is>
          <t xml:space="preserve">SKU-D</t>
        </is>
      </c>
      <c r="D248" s="3" t="inlineStr">
        <is>
          <t xml:space="preserve">Daily Duo</t>
        </is>
      </c>
      <c r="E248" s="6">
        <f>IF('Settings'!$B$11="Scenario",IFERROR(INDEX('Catalogue'!$E$3:$E$100,MATCH(C248,'Catalogue'!$B$3:$B$100,0)),F248),F248)</f>
        <v>79</v>
      </c>
      <c r="F248" s="8">
        <v>79</v>
      </c>
      <c r="G248" s="3">
        <v>1</v>
      </c>
      <c r="H248" s="6">
        <f>IF('Settings'!$B$11="Scenario",ROUND(E248*G248*IFERROR(SUMIF('Pricing &amp; promotions'!$A$6:$A$8,L248,'Pricing &amp; promotions'!$B$6:$B$8)/100,0),2),J248)</f>
        <v>0.0</v>
      </c>
      <c r="I248" s="6">
        <f>ROUND((E248*G248-H248)/(1+'Settings'!$B$6/100),2)</f>
        <v>65.29</v>
      </c>
      <c r="J248" s="8">
        <v>0.0</v>
      </c>
      <c r="K248" s="3" t="inlineStr">
        <is>
          <t xml:space="preserve">TRUE</t>
        </is>
      </c>
      <c r="L248" s="3"/>
    </row>
    <row r="249">
      <c r="A249" s="3" t="inlineStr">
        <is>
          <t xml:space="preserve">#1175</t>
        </is>
      </c>
      <c r="B249" s="3" t="inlineStr">
        <is>
          <t xml:space="preserve">2025-12-17</t>
        </is>
      </c>
      <c r="C249" s="3" t="inlineStr">
        <is>
          <t xml:space="preserve">SKU-B</t>
        </is>
      </c>
      <c r="D249" s="3" t="inlineStr">
        <is>
          <t xml:space="preserve">Barrier Balm</t>
        </is>
      </c>
      <c r="E249" s="6">
        <f>IF('Settings'!$B$11="Scenario",IFERROR(INDEX('Catalogue'!$E$3:$E$100,MATCH(C249,'Catalogue'!$B$3:$B$100,0)),F249),F249)</f>
        <v>19</v>
      </c>
      <c r="F249" s="8">
        <v>18</v>
      </c>
      <c r="G249" s="3">
        <v>2</v>
      </c>
      <c r="H249" s="6">
        <f>IF('Settings'!$B$11="Scenario",ROUND(E249*G249*IFERROR(SUMIF('Pricing &amp; promotions'!$A$6:$A$8,L249,'Pricing &amp; promotions'!$B$6:$B$8)/100,0),2),J249)</f>
        <v>3.8</v>
      </c>
      <c r="I249" s="6">
        <f>ROUND((E249*G249-H249)/(1+'Settings'!$B$6/100),2)</f>
        <v>28.26</v>
      </c>
      <c r="J249" s="8">
        <v>3.6</v>
      </c>
      <c r="K249" s="3" t="inlineStr">
        <is>
          <t xml:space="preserve">TRUE</t>
        </is>
      </c>
      <c r="L249" s="3" t="inlineStr">
        <is>
          <t xml:space="preserve">WELCOME10</t>
        </is>
      </c>
    </row>
    <row r="250">
      <c r="A250" s="3" t="inlineStr">
        <is>
          <t xml:space="preserve">#1176</t>
        </is>
      </c>
      <c r="B250" s="3" t="inlineStr">
        <is>
          <t xml:space="preserve">2025-12-17</t>
        </is>
      </c>
      <c r="C250" s="3" t="inlineStr">
        <is>
          <t xml:space="preserve">SKU-A</t>
        </is>
      </c>
      <c r="D250" s="3" t="inlineStr">
        <is>
          <t xml:space="preserve">Renewal Serum</t>
        </is>
      </c>
      <c r="E250" s="6">
        <f>IF('Settings'!$B$11="Scenario",IFERROR(INDEX('Catalogue'!$E$3:$E$100,MATCH(C250,'Catalogue'!$B$3:$B$100,0)),F250),F250)</f>
        <v>69.9</v>
      </c>
      <c r="F250" s="8">
        <v>64</v>
      </c>
      <c r="G250" s="3">
        <v>1</v>
      </c>
      <c r="H250" s="6">
        <f>IF('Settings'!$B$11="Scenario",ROUND(E250*G250*IFERROR(SUMIF('Pricing &amp; promotions'!$A$6:$A$8,L250,'Pricing &amp; promotions'!$B$6:$B$8)/100,0),2),J250)</f>
        <v>0.0</v>
      </c>
      <c r="I250" s="6">
        <f>ROUND((E250*G250-H250)/(1+'Settings'!$B$6/100),2)</f>
        <v>57.77</v>
      </c>
      <c r="J250" s="8">
        <v>0.0</v>
      </c>
      <c r="K250" s="3" t="inlineStr">
        <is>
          <t xml:space="preserve">TRUE</t>
        </is>
      </c>
      <c r="L250" s="3"/>
    </row>
    <row r="251">
      <c r="A251" s="3" t="inlineStr">
        <is>
          <t xml:space="preserve">#1176</t>
        </is>
      </c>
      <c r="B251" s="3" t="inlineStr">
        <is>
          <t xml:space="preserve">2025-12-17</t>
        </is>
      </c>
      <c r="C251" s="3" t="inlineStr">
        <is>
          <t xml:space="preserve">SKU-C</t>
        </is>
      </c>
      <c r="D251" s="3" t="inlineStr">
        <is>
          <t xml:space="preserve">Contour Stone</t>
        </is>
      </c>
      <c r="E251" s="6">
        <f>IF('Settings'!$B$11="Scenario",IFERROR(INDEX('Catalogue'!$E$3:$E$100,MATCH(C251,'Catalogue'!$B$3:$B$100,0)),F251),F251)</f>
        <v>29</v>
      </c>
      <c r="F251" s="8">
        <v>29</v>
      </c>
      <c r="G251" s="3">
        <v>1</v>
      </c>
      <c r="H251" s="6">
        <f>IF('Settings'!$B$11="Scenario",ROUND(E251*G251*IFERROR(SUMIF('Pricing &amp; promotions'!$A$6:$A$8,L251,'Pricing &amp; promotions'!$B$6:$B$8)/100,0),2),J251)</f>
        <v>0.0</v>
      </c>
      <c r="I251" s="6">
        <f>ROUND((E251*G251-H251)/(1+'Settings'!$B$6/100),2)</f>
        <v>23.97</v>
      </c>
      <c r="J251" s="8">
        <v>0.0</v>
      </c>
      <c r="K251" s="3" t="inlineStr">
        <is>
          <t xml:space="preserve">TRUE</t>
        </is>
      </c>
      <c r="L251" s="3"/>
    </row>
    <row r="252">
      <c r="A252" s="3" t="inlineStr">
        <is>
          <t xml:space="preserve">#1177</t>
        </is>
      </c>
      <c r="B252" s="3" t="inlineStr">
        <is>
          <t xml:space="preserve">2025-12-18</t>
        </is>
      </c>
      <c r="C252" s="3" t="inlineStr">
        <is>
          <t xml:space="preserve">SKU-D</t>
        </is>
      </c>
      <c r="D252" s="3" t="inlineStr">
        <is>
          <t xml:space="preserve">Daily Duo</t>
        </is>
      </c>
      <c r="E252" s="6">
        <f>IF('Settings'!$B$11="Scenario",IFERROR(INDEX('Catalogue'!$E$3:$E$100,MATCH(C252,'Catalogue'!$B$3:$B$100,0)),F252),F252)</f>
        <v>79</v>
      </c>
      <c r="F252" s="8">
        <v>79</v>
      </c>
      <c r="G252" s="3">
        <v>2</v>
      </c>
      <c r="H252" s="6">
        <f>IF('Settings'!$B$11="Scenario",ROUND(E252*G252*IFERROR(SUMIF('Pricing &amp; promotions'!$A$6:$A$8,L252,'Pricing &amp; promotions'!$B$6:$B$8)/100,0),2),J252)</f>
        <v>31.6</v>
      </c>
      <c r="I252" s="6">
        <f>ROUND((E252*G252-H252)/(1+'Settings'!$B$6/100),2)</f>
        <v>104.46</v>
      </c>
      <c r="J252" s="8">
        <v>31.6</v>
      </c>
      <c r="K252" s="3" t="inlineStr">
        <is>
          <t xml:space="preserve">TRUE</t>
        </is>
      </c>
      <c r="L252" s="3" t="inlineStr">
        <is>
          <t xml:space="preserve">VIP20</t>
        </is>
      </c>
    </row>
    <row r="253">
      <c r="A253" s="3" t="inlineStr">
        <is>
          <t xml:space="preserve">#1178</t>
        </is>
      </c>
      <c r="B253" s="3" t="inlineStr">
        <is>
          <t xml:space="preserve">2025-12-18</t>
        </is>
      </c>
      <c r="C253" s="3" t="inlineStr">
        <is>
          <t xml:space="preserve">SKU-E</t>
        </is>
      </c>
      <c r="D253" s="3" t="inlineStr">
        <is>
          <t xml:space="preserve">Complete Ritual</t>
        </is>
      </c>
      <c r="E253" s="6">
        <f>IF('Settings'!$B$11="Scenario",IFERROR(INDEX('Catalogue'!$E$3:$E$100,MATCH(C253,'Catalogue'!$B$3:$B$100,0)),F253),F253)</f>
        <v>89</v>
      </c>
      <c r="F253" s="8">
        <v>89</v>
      </c>
      <c r="G253" s="3">
        <v>1</v>
      </c>
      <c r="H253" s="6">
        <f>IF('Settings'!$B$11="Scenario",ROUND(E253*G253*IFERROR(SUMIF('Pricing &amp; promotions'!$A$6:$A$8,L253,'Pricing &amp; promotions'!$B$6:$B$8)/100,0),2),J253)</f>
        <v>17.8</v>
      </c>
      <c r="I253" s="6">
        <f>ROUND((E253*G253-H253)/(1+'Settings'!$B$6/100),2)</f>
        <v>58.84</v>
      </c>
      <c r="J253" s="8">
        <v>17.8</v>
      </c>
      <c r="K253" s="3" t="inlineStr">
        <is>
          <t xml:space="preserve">TRUE</t>
        </is>
      </c>
      <c r="L253" s="3" t="inlineStr">
        <is>
          <t xml:space="preserve">VIP20</t>
        </is>
      </c>
    </row>
    <row r="254">
      <c r="A254" s="3" t="inlineStr">
        <is>
          <t xml:space="preserve">#1179</t>
        </is>
      </c>
      <c r="B254" s="3" t="inlineStr">
        <is>
          <t xml:space="preserve">2025-12-18</t>
        </is>
      </c>
      <c r="C254" s="3" t="inlineStr">
        <is>
          <t xml:space="preserve">SKU-G</t>
        </is>
      </c>
      <c r="D254" s="3" t="inlineStr">
        <is>
          <t xml:space="preserve">Daily Reset Set</t>
        </is>
      </c>
      <c r="E254" s="6">
        <f>IF('Settings'!$B$11="Scenario",IFERROR(INDEX('Catalogue'!$E$3:$E$100,MATCH(C254,'Catalogue'!$B$3:$B$100,0)),F254),F254)</f>
        <v>69</v>
      </c>
      <c r="F254" s="8">
        <v>69</v>
      </c>
      <c r="G254" s="3">
        <v>2</v>
      </c>
      <c r="H254" s="6">
        <f>IF('Settings'!$B$11="Scenario",ROUND(E254*G254*IFERROR(SUMIF('Pricing &amp; promotions'!$A$6:$A$8,L254,'Pricing &amp; promotions'!$B$6:$B$8)/100,0),2),J254)</f>
        <v>27.6</v>
      </c>
      <c r="I254" s="6">
        <f>ROUND((E254*G254-H254)/(1+'Settings'!$B$6/100),2)</f>
        <v>91.24</v>
      </c>
      <c r="J254" s="8">
        <v>27.6</v>
      </c>
      <c r="K254" s="3" t="inlineStr">
        <is>
          <t xml:space="preserve">TRUE</t>
        </is>
      </c>
      <c r="L254" s="3" t="inlineStr">
        <is>
          <t xml:space="preserve">VIP20</t>
        </is>
      </c>
    </row>
    <row r="255">
      <c r="A255" s="3" t="inlineStr">
        <is>
          <t xml:space="preserve">#1180</t>
        </is>
      </c>
      <c r="B255" s="3" t="inlineStr">
        <is>
          <t xml:space="preserve">2025-12-18</t>
        </is>
      </c>
      <c r="C255" s="3" t="inlineStr">
        <is>
          <t xml:space="preserve">SKU-G</t>
        </is>
      </c>
      <c r="D255" s="3" t="inlineStr">
        <is>
          <t xml:space="preserve">Daily Reset Set</t>
        </is>
      </c>
      <c r="E255" s="6">
        <f>IF('Settings'!$B$11="Scenario",IFERROR(INDEX('Catalogue'!$E$3:$E$100,MATCH(C255,'Catalogue'!$B$3:$B$100,0)),F255),F255)</f>
        <v>69</v>
      </c>
      <c r="F255" s="8">
        <v>69</v>
      </c>
      <c r="G255" s="3">
        <v>1</v>
      </c>
      <c r="H255" s="6">
        <f>IF('Settings'!$B$11="Scenario",ROUND(E255*G255*IFERROR(SUMIF('Pricing &amp; promotions'!$A$6:$A$8,L255,'Pricing &amp; promotions'!$B$6:$B$8)/100,0),2),J255)</f>
        <v>0.0</v>
      </c>
      <c r="I255" s="6">
        <f>ROUND((E255*G255-H255)/(1+'Settings'!$B$6/100),2)</f>
        <v>57.02</v>
      </c>
      <c r="J255" s="8">
        <v>0.0</v>
      </c>
      <c r="K255" s="3" t="inlineStr">
        <is>
          <t xml:space="preserve">TRUE</t>
        </is>
      </c>
      <c r="L255" s="3"/>
    </row>
    <row r="256">
      <c r="A256" s="3" t="inlineStr">
        <is>
          <t xml:space="preserve">#1180</t>
        </is>
      </c>
      <c r="B256" s="3" t="inlineStr">
        <is>
          <t xml:space="preserve">2025-12-18</t>
        </is>
      </c>
      <c r="C256" s="3" t="inlineStr">
        <is>
          <t xml:space="preserve">SKU-C</t>
        </is>
      </c>
      <c r="D256" s="3" t="inlineStr">
        <is>
          <t xml:space="preserve">Contour Stone</t>
        </is>
      </c>
      <c r="E256" s="6">
        <f>IF('Settings'!$B$11="Scenario",IFERROR(INDEX('Catalogue'!$E$3:$E$100,MATCH(C256,'Catalogue'!$B$3:$B$100,0)),F256),F256)</f>
        <v>29</v>
      </c>
      <c r="F256" s="8">
        <v>29</v>
      </c>
      <c r="G256" s="3">
        <v>1</v>
      </c>
      <c r="H256" s="6">
        <f>IF('Settings'!$B$11="Scenario",ROUND(E256*G256*IFERROR(SUMIF('Pricing &amp; promotions'!$A$6:$A$8,L256,'Pricing &amp; promotions'!$B$6:$B$8)/100,0),2),J256)</f>
        <v>0.0</v>
      </c>
      <c r="I256" s="6">
        <f>ROUND((E256*G256-H256)/(1+'Settings'!$B$6/100),2)</f>
        <v>23.97</v>
      </c>
      <c r="J256" s="8">
        <v>0.0</v>
      </c>
      <c r="K256" s="3" t="inlineStr">
        <is>
          <t xml:space="preserve">TRUE</t>
        </is>
      </c>
      <c r="L256" s="3"/>
    </row>
    <row r="257">
      <c r="A257" s="3" t="inlineStr">
        <is>
          <t xml:space="preserve">#1181</t>
        </is>
      </c>
      <c r="B257" s="3" t="inlineStr">
        <is>
          <t xml:space="preserve">2025-12-19</t>
        </is>
      </c>
      <c r="C257" s="3" t="inlineStr">
        <is>
          <t xml:space="preserve">SKU-A</t>
        </is>
      </c>
      <c r="D257" s="3" t="inlineStr">
        <is>
          <t xml:space="preserve">Renewal Serum</t>
        </is>
      </c>
      <c r="E257" s="6">
        <f>IF('Settings'!$B$11="Scenario",IFERROR(INDEX('Catalogue'!$E$3:$E$100,MATCH(C257,'Catalogue'!$B$3:$B$100,0)),F257),F257)</f>
        <v>69.9</v>
      </c>
      <c r="F257" s="8">
        <v>64</v>
      </c>
      <c r="G257" s="3">
        <v>1</v>
      </c>
      <c r="H257" s="6">
        <f>IF('Settings'!$B$11="Scenario",ROUND(E257*G257*IFERROR(SUMIF('Pricing &amp; promotions'!$A$6:$A$8,L257,'Pricing &amp; promotions'!$B$6:$B$8)/100,0),2),J257)</f>
        <v>10.49</v>
      </c>
      <c r="I257" s="6">
        <f>ROUND((E257*G257-H257)/(1+'Settings'!$B$6/100),2)</f>
        <v>49.1</v>
      </c>
      <c r="J257" s="8">
        <v>9.6</v>
      </c>
      <c r="K257" s="3" t="inlineStr">
        <is>
          <t xml:space="preserve">TRUE</t>
        </is>
      </c>
      <c r="L257" s="3" t="inlineStr">
        <is>
          <t xml:space="preserve">SUMMER15</t>
        </is>
      </c>
    </row>
    <row r="258">
      <c r="A258" s="3" t="inlineStr">
        <is>
          <t xml:space="preserve">#1182</t>
        </is>
      </c>
      <c r="B258" s="3" t="inlineStr">
        <is>
          <t xml:space="preserve">2025-12-19</t>
        </is>
      </c>
      <c r="C258" s="3" t="inlineStr">
        <is>
          <t xml:space="preserve">SKU-E</t>
        </is>
      </c>
      <c r="D258" s="3" t="inlineStr">
        <is>
          <t xml:space="preserve">Complete Ritual</t>
        </is>
      </c>
      <c r="E258" s="6">
        <f>IF('Settings'!$B$11="Scenario",IFERROR(INDEX('Catalogue'!$E$3:$E$100,MATCH(C258,'Catalogue'!$B$3:$B$100,0)),F258),F258)</f>
        <v>89</v>
      </c>
      <c r="F258" s="8">
        <v>89</v>
      </c>
      <c r="G258" s="3">
        <v>1</v>
      </c>
      <c r="H258" s="6">
        <f>IF('Settings'!$B$11="Scenario",ROUND(E258*G258*IFERROR(SUMIF('Pricing &amp; promotions'!$A$6:$A$8,L258,'Pricing &amp; promotions'!$B$6:$B$8)/100,0),2),J258)</f>
        <v>0.0</v>
      </c>
      <c r="I258" s="6">
        <f>ROUND((E258*G258-H258)/(1+'Settings'!$B$6/100),2)</f>
        <v>73.55</v>
      </c>
      <c r="J258" s="8">
        <v>0.0</v>
      </c>
      <c r="K258" s="3" t="inlineStr">
        <is>
          <t xml:space="preserve">TRUE</t>
        </is>
      </c>
      <c r="L258" s="3"/>
    </row>
    <row r="259">
      <c r="A259" s="3" t="inlineStr">
        <is>
          <t xml:space="preserve">#1183</t>
        </is>
      </c>
      <c r="B259" s="3" t="inlineStr">
        <is>
          <t xml:space="preserve">2025-12-20</t>
        </is>
      </c>
      <c r="C259" s="3" t="inlineStr">
        <is>
          <t xml:space="preserve">SKU-A</t>
        </is>
      </c>
      <c r="D259" s="3" t="inlineStr">
        <is>
          <t xml:space="preserve">Renewal Serum</t>
        </is>
      </c>
      <c r="E259" s="6">
        <f>IF('Settings'!$B$11="Scenario",IFERROR(INDEX('Catalogue'!$E$3:$E$100,MATCH(C259,'Catalogue'!$B$3:$B$100,0)),F259),F259)</f>
        <v>69.9</v>
      </c>
      <c r="F259" s="8">
        <v>64</v>
      </c>
      <c r="G259" s="3">
        <v>1</v>
      </c>
      <c r="H259" s="6">
        <f>IF('Settings'!$B$11="Scenario",ROUND(E259*G259*IFERROR(SUMIF('Pricing &amp; promotions'!$A$6:$A$8,L259,'Pricing &amp; promotions'!$B$6:$B$8)/100,0),2),J259)</f>
        <v>0.0</v>
      </c>
      <c r="I259" s="6">
        <f>ROUND((E259*G259-H259)/(1+'Settings'!$B$6/100),2)</f>
        <v>57.77</v>
      </c>
      <c r="J259" s="8">
        <v>0.0</v>
      </c>
      <c r="K259" s="3" t="inlineStr">
        <is>
          <t xml:space="preserve">TRUE</t>
        </is>
      </c>
      <c r="L259" s="3"/>
    </row>
    <row r="260">
      <c r="A260" s="3" t="inlineStr">
        <is>
          <t xml:space="preserve">#1184</t>
        </is>
      </c>
      <c r="B260" s="3" t="inlineStr">
        <is>
          <t xml:space="preserve">2025-12-20</t>
        </is>
      </c>
      <c r="C260" s="3" t="inlineStr">
        <is>
          <t xml:space="preserve">SKU-E</t>
        </is>
      </c>
      <c r="D260" s="3" t="inlineStr">
        <is>
          <t xml:space="preserve">Complete Ritual</t>
        </is>
      </c>
      <c r="E260" s="6">
        <f>IF('Settings'!$B$11="Scenario",IFERROR(INDEX('Catalogue'!$E$3:$E$100,MATCH(C260,'Catalogue'!$B$3:$B$100,0)),F260),F260)</f>
        <v>89</v>
      </c>
      <c r="F260" s="8">
        <v>89</v>
      </c>
      <c r="G260" s="3">
        <v>1</v>
      </c>
      <c r="H260" s="6">
        <f>IF('Settings'!$B$11="Scenario",ROUND(E260*G260*IFERROR(SUMIF('Pricing &amp; promotions'!$A$6:$A$8,L260,'Pricing &amp; promotions'!$B$6:$B$8)/100,0),2),J260)</f>
        <v>17.8</v>
      </c>
      <c r="I260" s="6">
        <f>ROUND((E260*G260-H260)/(1+'Settings'!$B$6/100),2)</f>
        <v>58.84</v>
      </c>
      <c r="J260" s="8">
        <v>17.8</v>
      </c>
      <c r="K260" s="3" t="inlineStr">
        <is>
          <t xml:space="preserve">TRUE</t>
        </is>
      </c>
      <c r="L260" s="3" t="inlineStr">
        <is>
          <t xml:space="preserve">VIP20</t>
        </is>
      </c>
    </row>
    <row r="261">
      <c r="A261" s="3" t="inlineStr">
        <is>
          <t xml:space="preserve">#1185</t>
        </is>
      </c>
      <c r="B261" s="3" t="inlineStr">
        <is>
          <t xml:space="preserve">2025-12-20</t>
        </is>
      </c>
      <c r="C261" s="3" t="inlineStr">
        <is>
          <t xml:space="preserve">SKU-E</t>
        </is>
      </c>
      <c r="D261" s="3" t="inlineStr">
        <is>
          <t xml:space="preserve">Complete Ritual</t>
        </is>
      </c>
      <c r="E261" s="6">
        <f>IF('Settings'!$B$11="Scenario",IFERROR(INDEX('Catalogue'!$E$3:$E$100,MATCH(C261,'Catalogue'!$B$3:$B$100,0)),F261),F261)</f>
        <v>89</v>
      </c>
      <c r="F261" s="8">
        <v>89</v>
      </c>
      <c r="G261" s="3">
        <v>1</v>
      </c>
      <c r="H261" s="6">
        <f>IF('Settings'!$B$11="Scenario",ROUND(E261*G261*IFERROR(SUMIF('Pricing &amp; promotions'!$A$6:$A$8,L261,'Pricing &amp; promotions'!$B$6:$B$8)/100,0),2),J261)</f>
        <v>13.35</v>
      </c>
      <c r="I261" s="6">
        <f>ROUND((E261*G261-H261)/(1+'Settings'!$B$6/100),2)</f>
        <v>62.52</v>
      </c>
      <c r="J261" s="8">
        <v>13.35</v>
      </c>
      <c r="K261" s="3" t="inlineStr">
        <is>
          <t xml:space="preserve">TRUE</t>
        </is>
      </c>
      <c r="L261" s="3" t="inlineStr">
        <is>
          <t xml:space="preserve">SUMMER15</t>
        </is>
      </c>
    </row>
    <row r="262">
      <c r="A262" s="3" t="inlineStr">
        <is>
          <t xml:space="preserve">#1186</t>
        </is>
      </c>
      <c r="B262" s="3" t="inlineStr">
        <is>
          <t xml:space="preserve">2025-12-20</t>
        </is>
      </c>
      <c r="C262" s="3" t="inlineStr">
        <is>
          <t xml:space="preserve">SKU-B</t>
        </is>
      </c>
      <c r="D262" s="3" t="inlineStr">
        <is>
          <t xml:space="preserve">Barrier Balm</t>
        </is>
      </c>
      <c r="E262" s="6">
        <f>IF('Settings'!$B$11="Scenario",IFERROR(INDEX('Catalogue'!$E$3:$E$100,MATCH(C262,'Catalogue'!$B$3:$B$100,0)),F262),F262)</f>
        <v>19</v>
      </c>
      <c r="F262" s="8">
        <v>18</v>
      </c>
      <c r="G262" s="3">
        <v>1</v>
      </c>
      <c r="H262" s="6">
        <f>IF('Settings'!$B$11="Scenario",ROUND(E262*G262*IFERROR(SUMIF('Pricing &amp; promotions'!$A$6:$A$8,L262,'Pricing &amp; promotions'!$B$6:$B$8)/100,0),2),J262)</f>
        <v>1.9</v>
      </c>
      <c r="I262" s="6">
        <f>ROUND((E262*G262-H262)/(1+'Settings'!$B$6/100),2)</f>
        <v>14.13</v>
      </c>
      <c r="J262" s="8">
        <v>1.8</v>
      </c>
      <c r="K262" s="3" t="inlineStr">
        <is>
          <t xml:space="preserve">TRUE</t>
        </is>
      </c>
      <c r="L262" s="3" t="inlineStr">
        <is>
          <t xml:space="preserve">WELCOME10</t>
        </is>
      </c>
    </row>
    <row r="263">
      <c r="A263" s="3" t="inlineStr">
        <is>
          <t xml:space="preserve">#1187</t>
        </is>
      </c>
      <c r="B263" s="3" t="inlineStr">
        <is>
          <t xml:space="preserve">2025-12-20</t>
        </is>
      </c>
      <c r="C263" s="3" t="inlineStr">
        <is>
          <t xml:space="preserve">SKU-A</t>
        </is>
      </c>
      <c r="D263" s="3" t="inlineStr">
        <is>
          <t xml:space="preserve">Renewal Serum</t>
        </is>
      </c>
      <c r="E263" s="6">
        <f>IF('Settings'!$B$11="Scenario",IFERROR(INDEX('Catalogue'!$E$3:$E$100,MATCH(C263,'Catalogue'!$B$3:$B$100,0)),F263),F263)</f>
        <v>69.9</v>
      </c>
      <c r="F263" s="8">
        <v>64</v>
      </c>
      <c r="G263" s="3">
        <v>1</v>
      </c>
      <c r="H263" s="6">
        <f>IF('Settings'!$B$11="Scenario",ROUND(E263*G263*IFERROR(SUMIF('Pricing &amp; promotions'!$A$6:$A$8,L263,'Pricing &amp; promotions'!$B$6:$B$8)/100,0),2),J263)</f>
        <v>0.0</v>
      </c>
      <c r="I263" s="6">
        <f>ROUND((E263*G263-H263)/(1+'Settings'!$B$6/100),2)</f>
        <v>57.77</v>
      </c>
      <c r="J263" s="8">
        <v>0.0</v>
      </c>
      <c r="K263" s="3" t="inlineStr">
        <is>
          <t xml:space="preserve">TRUE</t>
        </is>
      </c>
      <c r="L263" s="3"/>
    </row>
    <row r="264">
      <c r="A264" s="3" t="inlineStr">
        <is>
          <t xml:space="preserve">#1188</t>
        </is>
      </c>
      <c r="B264" s="3" t="inlineStr">
        <is>
          <t xml:space="preserve">2025-12-21</t>
        </is>
      </c>
      <c r="C264" s="3" t="inlineStr">
        <is>
          <t xml:space="preserve">SKU-D</t>
        </is>
      </c>
      <c r="D264" s="3" t="inlineStr">
        <is>
          <t xml:space="preserve">Daily Duo</t>
        </is>
      </c>
      <c r="E264" s="6">
        <f>IF('Settings'!$B$11="Scenario",IFERROR(INDEX('Catalogue'!$E$3:$E$100,MATCH(C264,'Catalogue'!$B$3:$B$100,0)),F264),F264)</f>
        <v>79</v>
      </c>
      <c r="F264" s="8">
        <v>79</v>
      </c>
      <c r="G264" s="3">
        <v>1</v>
      </c>
      <c r="H264" s="6">
        <f>IF('Settings'!$B$11="Scenario",ROUND(E264*G264*IFERROR(SUMIF('Pricing &amp; promotions'!$A$6:$A$8,L264,'Pricing &amp; promotions'!$B$6:$B$8)/100,0),2),J264)</f>
        <v>0.0</v>
      </c>
      <c r="I264" s="6">
        <f>ROUND((E264*G264-H264)/(1+'Settings'!$B$6/100),2)</f>
        <v>65.29</v>
      </c>
      <c r="J264" s="8">
        <v>0.0</v>
      </c>
      <c r="K264" s="3" t="inlineStr">
        <is>
          <t xml:space="preserve">TRUE</t>
        </is>
      </c>
      <c r="L264" s="3"/>
    </row>
    <row r="265">
      <c r="A265" s="3" t="inlineStr">
        <is>
          <t xml:space="preserve">#1189</t>
        </is>
      </c>
      <c r="B265" s="3" t="inlineStr">
        <is>
          <t xml:space="preserve">2025-12-21</t>
        </is>
      </c>
      <c r="C265" s="3" t="inlineStr">
        <is>
          <t xml:space="preserve">SKU-A</t>
        </is>
      </c>
      <c r="D265" s="3" t="inlineStr">
        <is>
          <t xml:space="preserve">Renewal Serum</t>
        </is>
      </c>
      <c r="E265" s="6">
        <f>IF('Settings'!$B$11="Scenario",IFERROR(INDEX('Catalogue'!$E$3:$E$100,MATCH(C265,'Catalogue'!$B$3:$B$100,0)),F265),F265)</f>
        <v>69.9</v>
      </c>
      <c r="F265" s="8">
        <v>64</v>
      </c>
      <c r="G265" s="3">
        <v>1</v>
      </c>
      <c r="H265" s="6">
        <f>IF('Settings'!$B$11="Scenario",ROUND(E265*G265*IFERROR(SUMIF('Pricing &amp; promotions'!$A$6:$A$8,L265,'Pricing &amp; promotions'!$B$6:$B$8)/100,0),2),J265)</f>
        <v>0.0</v>
      </c>
      <c r="I265" s="6">
        <f>ROUND((E265*G265-H265)/(1+'Settings'!$B$6/100),2)</f>
        <v>57.77</v>
      </c>
      <c r="J265" s="8">
        <v>0.0</v>
      </c>
      <c r="K265" s="3" t="inlineStr">
        <is>
          <t xml:space="preserve">TRUE</t>
        </is>
      </c>
      <c r="L265" s="3"/>
    </row>
    <row r="266">
      <c r="A266" s="3" t="inlineStr">
        <is>
          <t xml:space="preserve">#1189</t>
        </is>
      </c>
      <c r="B266" s="3" t="inlineStr">
        <is>
          <t xml:space="preserve">2025-12-21</t>
        </is>
      </c>
      <c r="C266" s="3" t="inlineStr">
        <is>
          <t xml:space="preserve">SKU-E</t>
        </is>
      </c>
      <c r="D266" s="3" t="inlineStr">
        <is>
          <t xml:space="preserve">Complete Ritual</t>
        </is>
      </c>
      <c r="E266" s="6">
        <f>IF('Settings'!$B$11="Scenario",IFERROR(INDEX('Catalogue'!$E$3:$E$100,MATCH(C266,'Catalogue'!$B$3:$B$100,0)),F266),F266)</f>
        <v>89</v>
      </c>
      <c r="F266" s="8">
        <v>89</v>
      </c>
      <c r="G266" s="3">
        <v>1</v>
      </c>
      <c r="H266" s="6">
        <f>IF('Settings'!$B$11="Scenario",ROUND(E266*G266*IFERROR(SUMIF('Pricing &amp; promotions'!$A$6:$A$8,L266,'Pricing &amp; promotions'!$B$6:$B$8)/100,0),2),J266)</f>
        <v>0.0</v>
      </c>
      <c r="I266" s="6">
        <f>ROUND((E266*G266-H266)/(1+'Settings'!$B$6/100),2)</f>
        <v>73.55</v>
      </c>
      <c r="J266" s="8">
        <v>0.0</v>
      </c>
      <c r="K266" s="3" t="inlineStr">
        <is>
          <t xml:space="preserve">TRUE</t>
        </is>
      </c>
      <c r="L266" s="3"/>
    </row>
    <row r="267">
      <c r="A267" s="3" t="inlineStr">
        <is>
          <t xml:space="preserve">#1190</t>
        </is>
      </c>
      <c r="B267" s="3" t="inlineStr">
        <is>
          <t xml:space="preserve">2025-12-21</t>
        </is>
      </c>
      <c r="C267" s="3" t="inlineStr">
        <is>
          <t xml:space="preserve">SKU-D</t>
        </is>
      </c>
      <c r="D267" s="3" t="inlineStr">
        <is>
          <t xml:space="preserve">Daily Duo</t>
        </is>
      </c>
      <c r="E267" s="6">
        <f>IF('Settings'!$B$11="Scenario",IFERROR(INDEX('Catalogue'!$E$3:$E$100,MATCH(C267,'Catalogue'!$B$3:$B$100,0)),F267),F267)</f>
        <v>79</v>
      </c>
      <c r="F267" s="8">
        <v>79</v>
      </c>
      <c r="G267" s="3">
        <v>1</v>
      </c>
      <c r="H267" s="6">
        <f>IF('Settings'!$B$11="Scenario",ROUND(E267*G267*IFERROR(SUMIF('Pricing &amp; promotions'!$A$6:$A$8,L267,'Pricing &amp; promotions'!$B$6:$B$8)/100,0),2),J267)</f>
        <v>0.0</v>
      </c>
      <c r="I267" s="6">
        <f>ROUND((E267*G267-H267)/(1+'Settings'!$B$6/100),2)</f>
        <v>65.29</v>
      </c>
      <c r="J267" s="8">
        <v>0.0</v>
      </c>
      <c r="K267" s="3" t="inlineStr">
        <is>
          <t xml:space="preserve">TRUE</t>
        </is>
      </c>
      <c r="L267" s="3"/>
    </row>
    <row r="268">
      <c r="A268" s="3" t="inlineStr">
        <is>
          <t xml:space="preserve">#1190</t>
        </is>
      </c>
      <c r="B268" s="3" t="inlineStr">
        <is>
          <t xml:space="preserve">2025-12-21</t>
        </is>
      </c>
      <c r="C268" s="3" t="inlineStr">
        <is>
          <t xml:space="preserve">SKU-B</t>
        </is>
      </c>
      <c r="D268" s="3" t="inlineStr">
        <is>
          <t xml:space="preserve">Barrier Balm</t>
        </is>
      </c>
      <c r="E268" s="6">
        <f>IF('Settings'!$B$11="Scenario",IFERROR(INDEX('Catalogue'!$E$3:$E$100,MATCH(C268,'Catalogue'!$B$3:$B$100,0)),F268),F268)</f>
        <v>19</v>
      </c>
      <c r="F268" s="8">
        <v>18</v>
      </c>
      <c r="G268" s="3">
        <v>2</v>
      </c>
      <c r="H268" s="6">
        <f>IF('Settings'!$B$11="Scenario",ROUND(E268*G268*IFERROR(SUMIF('Pricing &amp; promotions'!$A$6:$A$8,L268,'Pricing &amp; promotions'!$B$6:$B$8)/100,0),2),J268)</f>
        <v>0.0</v>
      </c>
      <c r="I268" s="6">
        <f>ROUND((E268*G268-H268)/(1+'Settings'!$B$6/100),2)</f>
        <v>31.4</v>
      </c>
      <c r="J268" s="8">
        <v>0.0</v>
      </c>
      <c r="K268" s="3" t="inlineStr">
        <is>
          <t xml:space="preserve">TRUE</t>
        </is>
      </c>
      <c r="L268" s="3"/>
    </row>
    <row r="269">
      <c r="A269" s="3" t="inlineStr">
        <is>
          <t xml:space="preserve">#1191</t>
        </is>
      </c>
      <c r="B269" s="3" t="inlineStr">
        <is>
          <t xml:space="preserve">2025-12-21</t>
        </is>
      </c>
      <c r="C269" s="3" t="inlineStr">
        <is>
          <t xml:space="preserve">SKU-G</t>
        </is>
      </c>
      <c r="D269" s="3" t="inlineStr">
        <is>
          <t xml:space="preserve">Daily Reset Set</t>
        </is>
      </c>
      <c r="E269" s="6">
        <f>IF('Settings'!$B$11="Scenario",IFERROR(INDEX('Catalogue'!$E$3:$E$100,MATCH(C269,'Catalogue'!$B$3:$B$100,0)),F269),F269)</f>
        <v>69</v>
      </c>
      <c r="F269" s="8">
        <v>69</v>
      </c>
      <c r="G269" s="3">
        <v>1</v>
      </c>
      <c r="H269" s="6">
        <f>IF('Settings'!$B$11="Scenario",ROUND(E269*G269*IFERROR(SUMIF('Pricing &amp; promotions'!$A$6:$A$8,L269,'Pricing &amp; promotions'!$B$6:$B$8)/100,0),2),J269)</f>
        <v>10.35</v>
      </c>
      <c r="I269" s="6">
        <f>ROUND((E269*G269-H269)/(1+'Settings'!$B$6/100),2)</f>
        <v>48.47</v>
      </c>
      <c r="J269" s="8">
        <v>10.35</v>
      </c>
      <c r="K269" s="3" t="inlineStr">
        <is>
          <t xml:space="preserve">TRUE</t>
        </is>
      </c>
      <c r="L269" s="3" t="inlineStr">
        <is>
          <t xml:space="preserve">SUMMER15</t>
        </is>
      </c>
    </row>
    <row r="270">
      <c r="A270" s="3" t="inlineStr">
        <is>
          <t xml:space="preserve">#1192</t>
        </is>
      </c>
      <c r="B270" s="3" t="inlineStr">
        <is>
          <t xml:space="preserve">2025-12-21</t>
        </is>
      </c>
      <c r="C270" s="3" t="inlineStr">
        <is>
          <t xml:space="preserve">SKU-G</t>
        </is>
      </c>
      <c r="D270" s="3" t="inlineStr">
        <is>
          <t xml:space="preserve">Daily Reset Set</t>
        </is>
      </c>
      <c r="E270" s="6">
        <f>IF('Settings'!$B$11="Scenario",IFERROR(INDEX('Catalogue'!$E$3:$E$100,MATCH(C270,'Catalogue'!$B$3:$B$100,0)),F270),F270)</f>
        <v>69</v>
      </c>
      <c r="F270" s="8">
        <v>69</v>
      </c>
      <c r="G270" s="3">
        <v>1</v>
      </c>
      <c r="H270" s="6">
        <f>IF('Settings'!$B$11="Scenario",ROUND(E270*G270*IFERROR(SUMIF('Pricing &amp; promotions'!$A$6:$A$8,L270,'Pricing &amp; promotions'!$B$6:$B$8)/100,0),2),J270)</f>
        <v>0.0</v>
      </c>
      <c r="I270" s="6">
        <f>ROUND((E270*G270-H270)/(1+'Settings'!$B$6/100),2)</f>
        <v>57.02</v>
      </c>
      <c r="J270" s="8">
        <v>0.0</v>
      </c>
      <c r="K270" s="3" t="inlineStr">
        <is>
          <t xml:space="preserve">TRUE</t>
        </is>
      </c>
      <c r="L270" s="3"/>
    </row>
    <row r="271">
      <c r="A271" s="3" t="inlineStr">
        <is>
          <t xml:space="preserve">#1193</t>
        </is>
      </c>
      <c r="B271" s="3" t="inlineStr">
        <is>
          <t xml:space="preserve">2025-12-21</t>
        </is>
      </c>
      <c r="C271" s="3" t="inlineStr">
        <is>
          <t xml:space="preserve">SKU-D</t>
        </is>
      </c>
      <c r="D271" s="3" t="inlineStr">
        <is>
          <t xml:space="preserve">Daily Duo</t>
        </is>
      </c>
      <c r="E271" s="6">
        <f>IF('Settings'!$B$11="Scenario",IFERROR(INDEX('Catalogue'!$E$3:$E$100,MATCH(C271,'Catalogue'!$B$3:$B$100,0)),F271),F271)</f>
        <v>79</v>
      </c>
      <c r="F271" s="8">
        <v>79</v>
      </c>
      <c r="G271" s="3">
        <v>1</v>
      </c>
      <c r="H271" s="6">
        <f>IF('Settings'!$B$11="Scenario",ROUND(E271*G271*IFERROR(SUMIF('Pricing &amp; promotions'!$A$6:$A$8,L271,'Pricing &amp; promotions'!$B$6:$B$8)/100,0),2),J271)</f>
        <v>11.85</v>
      </c>
      <c r="I271" s="6">
        <f>ROUND((E271*G271-H271)/(1+'Settings'!$B$6/100),2)</f>
        <v>55.5</v>
      </c>
      <c r="J271" s="8">
        <v>11.85</v>
      </c>
      <c r="K271" s="3" t="inlineStr">
        <is>
          <t xml:space="preserve">TRUE</t>
        </is>
      </c>
      <c r="L271" s="3" t="inlineStr">
        <is>
          <t xml:space="preserve">SUMMER15</t>
        </is>
      </c>
    </row>
    <row r="272">
      <c r="A272" s="3" t="inlineStr">
        <is>
          <t xml:space="preserve">#1194</t>
        </is>
      </c>
      <c r="B272" s="3" t="inlineStr">
        <is>
          <t xml:space="preserve">2025-12-23</t>
        </is>
      </c>
      <c r="C272" s="3" t="inlineStr">
        <is>
          <t xml:space="preserve">SKU-B</t>
        </is>
      </c>
      <c r="D272" s="3" t="inlineStr">
        <is>
          <t xml:space="preserve">Barrier Balm</t>
        </is>
      </c>
      <c r="E272" s="6">
        <f>IF('Settings'!$B$11="Scenario",IFERROR(INDEX('Catalogue'!$E$3:$E$100,MATCH(C272,'Catalogue'!$B$3:$B$100,0)),F272),F272)</f>
        <v>19</v>
      </c>
      <c r="F272" s="8">
        <v>18</v>
      </c>
      <c r="G272" s="3">
        <v>1</v>
      </c>
      <c r="H272" s="6">
        <f>IF('Settings'!$B$11="Scenario",ROUND(E272*G272*IFERROR(SUMIF('Pricing &amp; promotions'!$A$6:$A$8,L272,'Pricing &amp; promotions'!$B$6:$B$8)/100,0),2),J272)</f>
        <v>1.9</v>
      </c>
      <c r="I272" s="6">
        <f>ROUND((E272*G272-H272)/(1+'Settings'!$B$6/100),2)</f>
        <v>14.13</v>
      </c>
      <c r="J272" s="8">
        <v>1.8</v>
      </c>
      <c r="K272" s="3" t="inlineStr">
        <is>
          <t xml:space="preserve">TRUE</t>
        </is>
      </c>
      <c r="L272" s="3" t="inlineStr">
        <is>
          <t xml:space="preserve">WELCOME10</t>
        </is>
      </c>
    </row>
    <row r="273">
      <c r="A273" s="3" t="inlineStr">
        <is>
          <t xml:space="preserve">#1194</t>
        </is>
      </c>
      <c r="B273" s="3" t="inlineStr">
        <is>
          <t xml:space="preserve">2025-12-23</t>
        </is>
      </c>
      <c r="C273" s="3" t="inlineStr">
        <is>
          <t xml:space="preserve">SKU-A</t>
        </is>
      </c>
      <c r="D273" s="3" t="inlineStr">
        <is>
          <t xml:space="preserve">Renewal Serum</t>
        </is>
      </c>
      <c r="E273" s="6">
        <f>IF('Settings'!$B$11="Scenario",IFERROR(INDEX('Catalogue'!$E$3:$E$100,MATCH(C273,'Catalogue'!$B$3:$B$100,0)),F273),F273)</f>
        <v>69.9</v>
      </c>
      <c r="F273" s="8">
        <v>64</v>
      </c>
      <c r="G273" s="3">
        <v>1</v>
      </c>
      <c r="H273" s="6">
        <f>IF('Settings'!$B$11="Scenario",ROUND(E273*G273*IFERROR(SUMIF('Pricing &amp; promotions'!$A$6:$A$8,L273,'Pricing &amp; promotions'!$B$6:$B$8)/100,0),2),J273)</f>
        <v>6.99</v>
      </c>
      <c r="I273" s="6">
        <f>ROUND((E273*G273-H273)/(1+'Settings'!$B$6/100),2)</f>
        <v>51.99</v>
      </c>
      <c r="J273" s="8">
        <v>6.4</v>
      </c>
      <c r="K273" s="3" t="inlineStr">
        <is>
          <t xml:space="preserve">TRUE</t>
        </is>
      </c>
      <c r="L273" s="3" t="inlineStr">
        <is>
          <t xml:space="preserve">WELCOME10</t>
        </is>
      </c>
    </row>
    <row r="274">
      <c r="A274" s="3" t="inlineStr">
        <is>
          <t xml:space="preserve">#1195</t>
        </is>
      </c>
      <c r="B274" s="3" t="inlineStr">
        <is>
          <t xml:space="preserve">2025-12-23</t>
        </is>
      </c>
      <c r="C274" s="3" t="inlineStr">
        <is>
          <t xml:space="preserve">SKU-A</t>
        </is>
      </c>
      <c r="D274" s="3" t="inlineStr">
        <is>
          <t xml:space="preserve">Renewal Serum</t>
        </is>
      </c>
      <c r="E274" s="6">
        <f>IF('Settings'!$B$11="Scenario",IFERROR(INDEX('Catalogue'!$E$3:$E$100,MATCH(C274,'Catalogue'!$B$3:$B$100,0)),F274),F274)</f>
        <v>69.9</v>
      </c>
      <c r="F274" s="8">
        <v>64</v>
      </c>
      <c r="G274" s="3">
        <v>1</v>
      </c>
      <c r="H274" s="6">
        <f>IF('Settings'!$B$11="Scenario",ROUND(E274*G274*IFERROR(SUMIF('Pricing &amp; promotions'!$A$6:$A$8,L274,'Pricing &amp; promotions'!$B$6:$B$8)/100,0),2),J274)</f>
        <v>0.0</v>
      </c>
      <c r="I274" s="6">
        <f>ROUND((E274*G274-H274)/(1+'Settings'!$B$6/100),2)</f>
        <v>57.77</v>
      </c>
      <c r="J274" s="8">
        <v>0.0</v>
      </c>
      <c r="K274" s="3" t="inlineStr">
        <is>
          <t xml:space="preserve">TRUE</t>
        </is>
      </c>
      <c r="L274" s="3"/>
    </row>
    <row r="275">
      <c r="A275" s="3" t="inlineStr">
        <is>
          <t xml:space="preserve">#1196</t>
        </is>
      </c>
      <c r="B275" s="3" t="inlineStr">
        <is>
          <t xml:space="preserve">2025-12-23</t>
        </is>
      </c>
      <c r="C275" s="3" t="inlineStr">
        <is>
          <t xml:space="preserve">SKU-E</t>
        </is>
      </c>
      <c r="D275" s="3" t="inlineStr">
        <is>
          <t xml:space="preserve">Complete Ritual</t>
        </is>
      </c>
      <c r="E275" s="6">
        <f>IF('Settings'!$B$11="Scenario",IFERROR(INDEX('Catalogue'!$E$3:$E$100,MATCH(C275,'Catalogue'!$B$3:$B$100,0)),F275),F275)</f>
        <v>89</v>
      </c>
      <c r="F275" s="8">
        <v>89</v>
      </c>
      <c r="G275" s="3">
        <v>1</v>
      </c>
      <c r="H275" s="6">
        <f>IF('Settings'!$B$11="Scenario",ROUND(E275*G275*IFERROR(SUMIF('Pricing &amp; promotions'!$A$6:$A$8,L275,'Pricing &amp; promotions'!$B$6:$B$8)/100,0),2),J275)</f>
        <v>8.9</v>
      </c>
      <c r="I275" s="6">
        <f>ROUND((E275*G275-H275)/(1+'Settings'!$B$6/100),2)</f>
        <v>66.2</v>
      </c>
      <c r="J275" s="8">
        <v>8.9</v>
      </c>
      <c r="K275" s="3" t="inlineStr">
        <is>
          <t xml:space="preserve">TRUE</t>
        </is>
      </c>
      <c r="L275" s="3" t="inlineStr">
        <is>
          <t xml:space="preserve">WELCOME10</t>
        </is>
      </c>
    </row>
    <row r="276">
      <c r="A276" s="3" t="inlineStr">
        <is>
          <t xml:space="preserve">#1196</t>
        </is>
      </c>
      <c r="B276" s="3" t="inlineStr">
        <is>
          <t xml:space="preserve">2025-12-23</t>
        </is>
      </c>
      <c r="C276" s="3" t="inlineStr">
        <is>
          <t xml:space="preserve">SKU-G</t>
        </is>
      </c>
      <c r="D276" s="3" t="inlineStr">
        <is>
          <t xml:space="preserve">Daily Reset Set</t>
        </is>
      </c>
      <c r="E276" s="6">
        <f>IF('Settings'!$B$11="Scenario",IFERROR(INDEX('Catalogue'!$E$3:$E$100,MATCH(C276,'Catalogue'!$B$3:$B$100,0)),F276),F276)</f>
        <v>69</v>
      </c>
      <c r="F276" s="8">
        <v>69</v>
      </c>
      <c r="G276" s="3">
        <v>1</v>
      </c>
      <c r="H276" s="6">
        <f>IF('Settings'!$B$11="Scenario",ROUND(E276*G276*IFERROR(SUMIF('Pricing &amp; promotions'!$A$6:$A$8,L276,'Pricing &amp; promotions'!$B$6:$B$8)/100,0),2),J276)</f>
        <v>6.9</v>
      </c>
      <c r="I276" s="6">
        <f>ROUND((E276*G276-H276)/(1+'Settings'!$B$6/100),2)</f>
        <v>51.32</v>
      </c>
      <c r="J276" s="8">
        <v>6.9</v>
      </c>
      <c r="K276" s="3" t="inlineStr">
        <is>
          <t xml:space="preserve">TRUE</t>
        </is>
      </c>
      <c r="L276" s="3" t="inlineStr">
        <is>
          <t xml:space="preserve">WELCOME10</t>
        </is>
      </c>
    </row>
    <row r="277">
      <c r="A277" s="3" t="inlineStr">
        <is>
          <t xml:space="preserve">#1197</t>
        </is>
      </c>
      <c r="B277" s="3" t="inlineStr">
        <is>
          <t xml:space="preserve">2025-12-23</t>
        </is>
      </c>
      <c r="C277" s="3" t="inlineStr">
        <is>
          <t xml:space="preserve">SKU-E</t>
        </is>
      </c>
      <c r="D277" s="3" t="inlineStr">
        <is>
          <t xml:space="preserve">Complete Ritual</t>
        </is>
      </c>
      <c r="E277" s="6">
        <f>IF('Settings'!$B$11="Scenario",IFERROR(INDEX('Catalogue'!$E$3:$E$100,MATCH(C277,'Catalogue'!$B$3:$B$100,0)),F277),F277)</f>
        <v>89</v>
      </c>
      <c r="F277" s="8">
        <v>89</v>
      </c>
      <c r="G277" s="3">
        <v>1</v>
      </c>
      <c r="H277" s="6">
        <f>IF('Settings'!$B$11="Scenario",ROUND(E277*G277*IFERROR(SUMIF('Pricing &amp; promotions'!$A$6:$A$8,L277,'Pricing &amp; promotions'!$B$6:$B$8)/100,0),2),J277)</f>
        <v>0.0</v>
      </c>
      <c r="I277" s="6">
        <f>ROUND((E277*G277-H277)/(1+'Settings'!$B$6/100),2)</f>
        <v>73.55</v>
      </c>
      <c r="J277" s="8">
        <v>0.0</v>
      </c>
      <c r="K277" s="3" t="inlineStr">
        <is>
          <t xml:space="preserve">TRUE</t>
        </is>
      </c>
      <c r="L277" s="3"/>
    </row>
    <row r="278">
      <c r="A278" s="3" t="inlineStr">
        <is>
          <t xml:space="preserve">#1198</t>
        </is>
      </c>
      <c r="B278" s="3" t="inlineStr">
        <is>
          <t xml:space="preserve">2025-12-23</t>
        </is>
      </c>
      <c r="C278" s="3" t="inlineStr">
        <is>
          <t xml:space="preserve">SKU-A</t>
        </is>
      </c>
      <c r="D278" s="3" t="inlineStr">
        <is>
          <t xml:space="preserve">Renewal Serum</t>
        </is>
      </c>
      <c r="E278" s="6">
        <f>IF('Settings'!$B$11="Scenario",IFERROR(INDEX('Catalogue'!$E$3:$E$100,MATCH(C278,'Catalogue'!$B$3:$B$100,0)),F278),F278)</f>
        <v>69.9</v>
      </c>
      <c r="F278" s="8">
        <v>64</v>
      </c>
      <c r="G278" s="3">
        <v>1</v>
      </c>
      <c r="H278" s="6">
        <f>IF('Settings'!$B$11="Scenario",ROUND(E278*G278*IFERROR(SUMIF('Pricing &amp; promotions'!$A$6:$A$8,L278,'Pricing &amp; promotions'!$B$6:$B$8)/100,0),2),J278)</f>
        <v>0.0</v>
      </c>
      <c r="I278" s="6">
        <f>ROUND((E278*G278-H278)/(1+'Settings'!$B$6/100),2)</f>
        <v>57.77</v>
      </c>
      <c r="J278" s="8">
        <v>0.0</v>
      </c>
      <c r="K278" s="3" t="inlineStr">
        <is>
          <t xml:space="preserve">TRUE</t>
        </is>
      </c>
      <c r="L278" s="3"/>
    </row>
    <row r="279">
      <c r="A279" s="3" t="inlineStr">
        <is>
          <t xml:space="preserve">#1199</t>
        </is>
      </c>
      <c r="B279" s="3" t="inlineStr">
        <is>
          <t xml:space="preserve">2025-12-23</t>
        </is>
      </c>
      <c r="C279" s="3" t="inlineStr">
        <is>
          <t xml:space="preserve">SKU-A</t>
        </is>
      </c>
      <c r="D279" s="3" t="inlineStr">
        <is>
          <t xml:space="preserve">Renewal Serum</t>
        </is>
      </c>
      <c r="E279" s="6">
        <f>IF('Settings'!$B$11="Scenario",IFERROR(INDEX('Catalogue'!$E$3:$E$100,MATCH(C279,'Catalogue'!$B$3:$B$100,0)),F279),F279)</f>
        <v>69.9</v>
      </c>
      <c r="F279" s="8">
        <v>64</v>
      </c>
      <c r="G279" s="3">
        <v>1</v>
      </c>
      <c r="H279" s="6">
        <f>IF('Settings'!$B$11="Scenario",ROUND(E279*G279*IFERROR(SUMIF('Pricing &amp; promotions'!$A$6:$A$8,L279,'Pricing &amp; promotions'!$B$6:$B$8)/100,0),2),J279)</f>
        <v>0.0</v>
      </c>
      <c r="I279" s="6">
        <f>ROUND((E279*G279-H279)/(1+'Settings'!$B$6/100),2)</f>
        <v>57.77</v>
      </c>
      <c r="J279" s="8">
        <v>0.0</v>
      </c>
      <c r="K279" s="3" t="inlineStr">
        <is>
          <t xml:space="preserve">TRUE</t>
        </is>
      </c>
      <c r="L279" s="3"/>
    </row>
    <row r="280">
      <c r="A280" s="3" t="inlineStr">
        <is>
          <t xml:space="preserve">#1200</t>
        </is>
      </c>
      <c r="B280" s="3" t="inlineStr">
        <is>
          <t xml:space="preserve">2025-12-24</t>
        </is>
      </c>
      <c r="C280" s="3" t="inlineStr">
        <is>
          <t xml:space="preserve">SKU-D</t>
        </is>
      </c>
      <c r="D280" s="3" t="inlineStr">
        <is>
          <t xml:space="preserve">Daily Duo</t>
        </is>
      </c>
      <c r="E280" s="6">
        <f>IF('Settings'!$B$11="Scenario",IFERROR(INDEX('Catalogue'!$E$3:$E$100,MATCH(C280,'Catalogue'!$B$3:$B$100,0)),F280),F280)</f>
        <v>79</v>
      </c>
      <c r="F280" s="8">
        <v>79</v>
      </c>
      <c r="G280" s="3">
        <v>1</v>
      </c>
      <c r="H280" s="6">
        <f>IF('Settings'!$B$11="Scenario",ROUND(E280*G280*IFERROR(SUMIF('Pricing &amp; promotions'!$A$6:$A$8,L280,'Pricing &amp; promotions'!$B$6:$B$8)/100,0),2),J280)</f>
        <v>0.0</v>
      </c>
      <c r="I280" s="6">
        <f>ROUND((E280*G280-H280)/(1+'Settings'!$B$6/100),2)</f>
        <v>65.29</v>
      </c>
      <c r="J280" s="8">
        <v>0.0</v>
      </c>
      <c r="K280" s="3" t="inlineStr">
        <is>
          <t xml:space="preserve">TRUE</t>
        </is>
      </c>
      <c r="L280" s="3"/>
    </row>
    <row r="281">
      <c r="A281" s="3" t="inlineStr">
        <is>
          <t xml:space="preserve">#1200</t>
        </is>
      </c>
      <c r="B281" s="3" t="inlineStr">
        <is>
          <t xml:space="preserve">2025-12-24</t>
        </is>
      </c>
      <c r="C281" s="3" t="inlineStr">
        <is>
          <t xml:space="preserve">SKU-A</t>
        </is>
      </c>
      <c r="D281" s="3" t="inlineStr">
        <is>
          <t xml:space="preserve">Renewal Serum</t>
        </is>
      </c>
      <c r="E281" s="6">
        <f>IF('Settings'!$B$11="Scenario",IFERROR(INDEX('Catalogue'!$E$3:$E$100,MATCH(C281,'Catalogue'!$B$3:$B$100,0)),F281),F281)</f>
        <v>69.9</v>
      </c>
      <c r="F281" s="8">
        <v>64</v>
      </c>
      <c r="G281" s="3">
        <v>1</v>
      </c>
      <c r="H281" s="6">
        <f>IF('Settings'!$B$11="Scenario",ROUND(E281*G281*IFERROR(SUMIF('Pricing &amp; promotions'!$A$6:$A$8,L281,'Pricing &amp; promotions'!$B$6:$B$8)/100,0),2),J281)</f>
        <v>0.0</v>
      </c>
      <c r="I281" s="6">
        <f>ROUND((E281*G281-H281)/(1+'Settings'!$B$6/100),2)</f>
        <v>57.77</v>
      </c>
      <c r="J281" s="8">
        <v>0.0</v>
      </c>
      <c r="K281" s="3" t="inlineStr">
        <is>
          <t xml:space="preserve">TRUE</t>
        </is>
      </c>
      <c r="L281" s="3"/>
    </row>
    <row r="282">
      <c r="A282" s="3" t="inlineStr">
        <is>
          <t xml:space="preserve">#1201</t>
        </is>
      </c>
      <c r="B282" s="3" t="inlineStr">
        <is>
          <t xml:space="preserve">2025-12-24</t>
        </is>
      </c>
      <c r="C282" s="3" t="inlineStr">
        <is>
          <t xml:space="preserve">SKU-A</t>
        </is>
      </c>
      <c r="D282" s="3" t="inlineStr">
        <is>
          <t xml:space="preserve">Renewal Serum</t>
        </is>
      </c>
      <c r="E282" s="6">
        <f>IF('Settings'!$B$11="Scenario",IFERROR(INDEX('Catalogue'!$E$3:$E$100,MATCH(C282,'Catalogue'!$B$3:$B$100,0)),F282),F282)</f>
        <v>69.9</v>
      </c>
      <c r="F282" s="8">
        <v>64</v>
      </c>
      <c r="G282" s="3">
        <v>2</v>
      </c>
      <c r="H282" s="6">
        <f>IF('Settings'!$B$11="Scenario",ROUND(E282*G282*IFERROR(SUMIF('Pricing &amp; promotions'!$A$6:$A$8,L282,'Pricing &amp; promotions'!$B$6:$B$8)/100,0),2),J282)</f>
        <v>13.98</v>
      </c>
      <c r="I282" s="6">
        <f>ROUND((E282*G282-H282)/(1+'Settings'!$B$6/100),2)</f>
        <v>103.98</v>
      </c>
      <c r="J282" s="8">
        <v>12.8</v>
      </c>
      <c r="K282" s="3" t="inlineStr">
        <is>
          <t xml:space="preserve">TRUE</t>
        </is>
      </c>
      <c r="L282" s="3" t="inlineStr">
        <is>
          <t xml:space="preserve">WELCOME10</t>
        </is>
      </c>
    </row>
    <row r="283">
      <c r="A283" s="3" t="inlineStr">
        <is>
          <t xml:space="preserve">#1201</t>
        </is>
      </c>
      <c r="B283" s="3" t="inlineStr">
        <is>
          <t xml:space="preserve">2025-12-24</t>
        </is>
      </c>
      <c r="C283" s="3" t="inlineStr">
        <is>
          <t xml:space="preserve">SKU-D</t>
        </is>
      </c>
      <c r="D283" s="3" t="inlineStr">
        <is>
          <t xml:space="preserve">Daily Duo</t>
        </is>
      </c>
      <c r="E283" s="6">
        <f>IF('Settings'!$B$11="Scenario",IFERROR(INDEX('Catalogue'!$E$3:$E$100,MATCH(C283,'Catalogue'!$B$3:$B$100,0)),F283),F283)</f>
        <v>79</v>
      </c>
      <c r="F283" s="8">
        <v>79</v>
      </c>
      <c r="G283" s="3">
        <v>1</v>
      </c>
      <c r="H283" s="6">
        <f>IF('Settings'!$B$11="Scenario",ROUND(E283*G283*IFERROR(SUMIF('Pricing &amp; promotions'!$A$6:$A$8,L283,'Pricing &amp; promotions'!$B$6:$B$8)/100,0),2),J283)</f>
        <v>7.9</v>
      </c>
      <c r="I283" s="6">
        <f>ROUND((E283*G283-H283)/(1+'Settings'!$B$6/100),2)</f>
        <v>58.76</v>
      </c>
      <c r="J283" s="8">
        <v>7.9</v>
      </c>
      <c r="K283" s="3" t="inlineStr">
        <is>
          <t xml:space="preserve">TRUE</t>
        </is>
      </c>
      <c r="L283" s="3" t="inlineStr">
        <is>
          <t xml:space="preserve">WELCOME10</t>
        </is>
      </c>
    </row>
    <row r="284">
      <c r="A284" s="3" t="inlineStr">
        <is>
          <t xml:space="preserve">#1201</t>
        </is>
      </c>
      <c r="B284" s="3" t="inlineStr">
        <is>
          <t xml:space="preserve">2025-12-24</t>
        </is>
      </c>
      <c r="C284" s="3" t="inlineStr">
        <is>
          <t xml:space="preserve">SKU-G</t>
        </is>
      </c>
      <c r="D284" s="3" t="inlineStr">
        <is>
          <t xml:space="preserve">Daily Reset Set</t>
        </is>
      </c>
      <c r="E284" s="6">
        <f>IF('Settings'!$B$11="Scenario",IFERROR(INDEX('Catalogue'!$E$3:$E$100,MATCH(C284,'Catalogue'!$B$3:$B$100,0)),F284),F284)</f>
        <v>69</v>
      </c>
      <c r="F284" s="8">
        <v>69</v>
      </c>
      <c r="G284" s="3">
        <v>1</v>
      </c>
      <c r="H284" s="6">
        <f>IF('Settings'!$B$11="Scenario",ROUND(E284*G284*IFERROR(SUMIF('Pricing &amp; promotions'!$A$6:$A$8,L284,'Pricing &amp; promotions'!$B$6:$B$8)/100,0),2),J284)</f>
        <v>6.9</v>
      </c>
      <c r="I284" s="6">
        <f>ROUND((E284*G284-H284)/(1+'Settings'!$B$6/100),2)</f>
        <v>51.32</v>
      </c>
      <c r="J284" s="8">
        <v>6.9</v>
      </c>
      <c r="K284" s="3" t="inlineStr">
        <is>
          <t xml:space="preserve">TRUE</t>
        </is>
      </c>
      <c r="L284" s="3" t="inlineStr">
        <is>
          <t xml:space="preserve">WELCOME10</t>
        </is>
      </c>
    </row>
    <row r="285">
      <c r="A285" s="3" t="inlineStr">
        <is>
          <t xml:space="preserve">#1202</t>
        </is>
      </c>
      <c r="B285" s="3" t="inlineStr">
        <is>
          <t xml:space="preserve">2025-12-24</t>
        </is>
      </c>
      <c r="C285" s="3" t="inlineStr">
        <is>
          <t xml:space="preserve">SKU-D</t>
        </is>
      </c>
      <c r="D285" s="3" t="inlineStr">
        <is>
          <t xml:space="preserve">Daily Duo</t>
        </is>
      </c>
      <c r="E285" s="6">
        <f>IF('Settings'!$B$11="Scenario",IFERROR(INDEX('Catalogue'!$E$3:$E$100,MATCH(C285,'Catalogue'!$B$3:$B$100,0)),F285),F285)</f>
        <v>79</v>
      </c>
      <c r="F285" s="8">
        <v>79</v>
      </c>
      <c r="G285" s="3">
        <v>2</v>
      </c>
      <c r="H285" s="6">
        <f>IF('Settings'!$B$11="Scenario",ROUND(E285*G285*IFERROR(SUMIF('Pricing &amp; promotions'!$A$6:$A$8,L285,'Pricing &amp; promotions'!$B$6:$B$8)/100,0),2),J285)</f>
        <v>15.8</v>
      </c>
      <c r="I285" s="6">
        <f>ROUND((E285*G285-H285)/(1+'Settings'!$B$6/100),2)</f>
        <v>117.52</v>
      </c>
      <c r="J285" s="8">
        <v>15.8</v>
      </c>
      <c r="K285" s="3" t="inlineStr">
        <is>
          <t xml:space="preserve">TRUE</t>
        </is>
      </c>
      <c r="L285" s="3" t="inlineStr">
        <is>
          <t xml:space="preserve">WELCOME10</t>
        </is>
      </c>
    </row>
    <row r="286">
      <c r="A286" s="3" t="inlineStr">
        <is>
          <t xml:space="preserve">#1203</t>
        </is>
      </c>
      <c r="B286" s="3" t="inlineStr">
        <is>
          <t xml:space="preserve">2025-12-24</t>
        </is>
      </c>
      <c r="C286" s="3" t="inlineStr">
        <is>
          <t xml:space="preserve">SKU-A</t>
        </is>
      </c>
      <c r="D286" s="3" t="inlineStr">
        <is>
          <t xml:space="preserve">Renewal Serum</t>
        </is>
      </c>
      <c r="E286" s="6">
        <f>IF('Settings'!$B$11="Scenario",IFERROR(INDEX('Catalogue'!$E$3:$E$100,MATCH(C286,'Catalogue'!$B$3:$B$100,0)),F286),F286)</f>
        <v>69.9</v>
      </c>
      <c r="F286" s="8">
        <v>64</v>
      </c>
      <c r="G286" s="3">
        <v>2</v>
      </c>
      <c r="H286" s="6">
        <f>IF('Settings'!$B$11="Scenario",ROUND(E286*G286*IFERROR(SUMIF('Pricing &amp; promotions'!$A$6:$A$8,L286,'Pricing &amp; promotions'!$B$6:$B$8)/100,0),2),J286)</f>
        <v>13.98</v>
      </c>
      <c r="I286" s="6">
        <f>ROUND((E286*G286-H286)/(1+'Settings'!$B$6/100),2)</f>
        <v>103.98</v>
      </c>
      <c r="J286" s="8">
        <v>12.8</v>
      </c>
      <c r="K286" s="3" t="inlineStr">
        <is>
          <t xml:space="preserve">TRUE</t>
        </is>
      </c>
      <c r="L286" s="3" t="inlineStr">
        <is>
          <t xml:space="preserve">WELCOME10</t>
        </is>
      </c>
    </row>
    <row r="287">
      <c r="A287" s="3" t="inlineStr">
        <is>
          <t xml:space="preserve">#1203</t>
        </is>
      </c>
      <c r="B287" s="3" t="inlineStr">
        <is>
          <t xml:space="preserve">2025-12-24</t>
        </is>
      </c>
      <c r="C287" s="3" t="inlineStr">
        <is>
          <t xml:space="preserve">SKU-E</t>
        </is>
      </c>
      <c r="D287" s="3" t="inlineStr">
        <is>
          <t xml:space="preserve">Complete Ritual</t>
        </is>
      </c>
      <c r="E287" s="6">
        <f>IF('Settings'!$B$11="Scenario",IFERROR(INDEX('Catalogue'!$E$3:$E$100,MATCH(C287,'Catalogue'!$B$3:$B$100,0)),F287),F287)</f>
        <v>89</v>
      </c>
      <c r="F287" s="8">
        <v>89</v>
      </c>
      <c r="G287" s="3">
        <v>1</v>
      </c>
      <c r="H287" s="6">
        <f>IF('Settings'!$B$11="Scenario",ROUND(E287*G287*IFERROR(SUMIF('Pricing &amp; promotions'!$A$6:$A$8,L287,'Pricing &amp; promotions'!$B$6:$B$8)/100,0),2),J287)</f>
        <v>8.9</v>
      </c>
      <c r="I287" s="6">
        <f>ROUND((E287*G287-H287)/(1+'Settings'!$B$6/100),2)</f>
        <v>66.2</v>
      </c>
      <c r="J287" s="8">
        <v>8.9</v>
      </c>
      <c r="K287" s="3" t="inlineStr">
        <is>
          <t xml:space="preserve">TRUE</t>
        </is>
      </c>
      <c r="L287" s="3" t="inlineStr">
        <is>
          <t xml:space="preserve">WELCOME10</t>
        </is>
      </c>
    </row>
    <row r="288">
      <c r="A288" s="3" t="inlineStr">
        <is>
          <t xml:space="preserve">#1204</t>
        </is>
      </c>
      <c r="B288" s="3" t="inlineStr">
        <is>
          <t xml:space="preserve">2025-12-25</t>
        </is>
      </c>
      <c r="C288" s="3" t="inlineStr">
        <is>
          <t xml:space="preserve">SKU-A</t>
        </is>
      </c>
      <c r="D288" s="3" t="inlineStr">
        <is>
          <t xml:space="preserve">Renewal Serum</t>
        </is>
      </c>
      <c r="E288" s="6">
        <f>IF('Settings'!$B$11="Scenario",IFERROR(INDEX('Catalogue'!$E$3:$E$100,MATCH(C288,'Catalogue'!$B$3:$B$100,0)),F288),F288)</f>
        <v>69.9</v>
      </c>
      <c r="F288" s="8">
        <v>64</v>
      </c>
      <c r="G288" s="3">
        <v>1</v>
      </c>
      <c r="H288" s="6">
        <f>IF('Settings'!$B$11="Scenario",ROUND(E288*G288*IFERROR(SUMIF('Pricing &amp; promotions'!$A$6:$A$8,L288,'Pricing &amp; promotions'!$B$6:$B$8)/100,0),2),J288)</f>
        <v>10.49</v>
      </c>
      <c r="I288" s="6">
        <f>ROUND((E288*G288-H288)/(1+'Settings'!$B$6/100),2)</f>
        <v>49.1</v>
      </c>
      <c r="J288" s="8">
        <v>9.6</v>
      </c>
      <c r="K288" s="3" t="inlineStr">
        <is>
          <t xml:space="preserve">TRUE</t>
        </is>
      </c>
      <c r="L288" s="3" t="inlineStr">
        <is>
          <t xml:space="preserve">SUMMER15</t>
        </is>
      </c>
    </row>
    <row r="289">
      <c r="A289" s="3" t="inlineStr">
        <is>
          <t xml:space="preserve">#1205</t>
        </is>
      </c>
      <c r="B289" s="3" t="inlineStr">
        <is>
          <t xml:space="preserve">2025-12-26</t>
        </is>
      </c>
      <c r="C289" s="3" t="inlineStr">
        <is>
          <t xml:space="preserve">SKU-G</t>
        </is>
      </c>
      <c r="D289" s="3" t="inlineStr">
        <is>
          <t xml:space="preserve">Daily Reset Set</t>
        </is>
      </c>
      <c r="E289" s="6">
        <f>IF('Settings'!$B$11="Scenario",IFERROR(INDEX('Catalogue'!$E$3:$E$100,MATCH(C289,'Catalogue'!$B$3:$B$100,0)),F289),F289)</f>
        <v>69</v>
      </c>
      <c r="F289" s="8">
        <v>69</v>
      </c>
      <c r="G289" s="3">
        <v>1</v>
      </c>
      <c r="H289" s="6">
        <f>IF('Settings'!$B$11="Scenario",ROUND(E289*G289*IFERROR(SUMIF('Pricing &amp; promotions'!$A$6:$A$8,L289,'Pricing &amp; promotions'!$B$6:$B$8)/100,0),2),J289)</f>
        <v>0.0</v>
      </c>
      <c r="I289" s="6">
        <f>ROUND((E289*G289-H289)/(1+'Settings'!$B$6/100),2)</f>
        <v>57.02</v>
      </c>
      <c r="J289" s="8">
        <v>0.0</v>
      </c>
      <c r="K289" s="3" t="inlineStr">
        <is>
          <t xml:space="preserve">TRUE</t>
        </is>
      </c>
      <c r="L289" s="3"/>
    </row>
    <row r="290">
      <c r="A290" s="3" t="inlineStr">
        <is>
          <t xml:space="preserve">#1206</t>
        </is>
      </c>
      <c r="B290" s="3" t="inlineStr">
        <is>
          <t xml:space="preserve">2025-12-26</t>
        </is>
      </c>
      <c r="C290" s="3" t="inlineStr">
        <is>
          <t xml:space="preserve">SKU-D</t>
        </is>
      </c>
      <c r="D290" s="3" t="inlineStr">
        <is>
          <t xml:space="preserve">Daily Duo</t>
        </is>
      </c>
      <c r="E290" s="6">
        <f>IF('Settings'!$B$11="Scenario",IFERROR(INDEX('Catalogue'!$E$3:$E$100,MATCH(C290,'Catalogue'!$B$3:$B$100,0)),F290),F290)</f>
        <v>79</v>
      </c>
      <c r="F290" s="8">
        <v>79</v>
      </c>
      <c r="G290" s="3">
        <v>1</v>
      </c>
      <c r="H290" s="6">
        <f>IF('Settings'!$B$11="Scenario",ROUND(E290*G290*IFERROR(SUMIF('Pricing &amp; promotions'!$A$6:$A$8,L290,'Pricing &amp; promotions'!$B$6:$B$8)/100,0),2),J290)</f>
        <v>11.85</v>
      </c>
      <c r="I290" s="6">
        <f>ROUND((E290*G290-H290)/(1+'Settings'!$B$6/100),2)</f>
        <v>55.5</v>
      </c>
      <c r="J290" s="8">
        <v>11.85</v>
      </c>
      <c r="K290" s="3" t="inlineStr">
        <is>
          <t xml:space="preserve">TRUE</t>
        </is>
      </c>
      <c r="L290" s="3" t="inlineStr">
        <is>
          <t xml:space="preserve">SUMMER15</t>
        </is>
      </c>
    </row>
    <row r="291">
      <c r="A291" s="3" t="inlineStr">
        <is>
          <t xml:space="preserve">#1206</t>
        </is>
      </c>
      <c r="B291" s="3" t="inlineStr">
        <is>
          <t xml:space="preserve">2025-12-26</t>
        </is>
      </c>
      <c r="C291" s="3" t="inlineStr">
        <is>
          <t xml:space="preserve">SKU-B</t>
        </is>
      </c>
      <c r="D291" s="3" t="inlineStr">
        <is>
          <t xml:space="preserve">Barrier Balm</t>
        </is>
      </c>
      <c r="E291" s="6">
        <f>IF('Settings'!$B$11="Scenario",IFERROR(INDEX('Catalogue'!$E$3:$E$100,MATCH(C291,'Catalogue'!$B$3:$B$100,0)),F291),F291)</f>
        <v>19</v>
      </c>
      <c r="F291" s="8">
        <v>18</v>
      </c>
      <c r="G291" s="3">
        <v>1</v>
      </c>
      <c r="H291" s="6">
        <f>IF('Settings'!$B$11="Scenario",ROUND(E291*G291*IFERROR(SUMIF('Pricing &amp; promotions'!$A$6:$A$8,L291,'Pricing &amp; promotions'!$B$6:$B$8)/100,0),2),J291)</f>
        <v>2.85</v>
      </c>
      <c r="I291" s="6">
        <f>ROUND((E291*G291-H291)/(1+'Settings'!$B$6/100),2)</f>
        <v>13.35</v>
      </c>
      <c r="J291" s="8">
        <v>2.7</v>
      </c>
      <c r="K291" s="3" t="inlineStr">
        <is>
          <t xml:space="preserve">TRUE</t>
        </is>
      </c>
      <c r="L291" s="3" t="inlineStr">
        <is>
          <t xml:space="preserve">SUMMER15</t>
        </is>
      </c>
    </row>
    <row r="292">
      <c r="A292" s="3" t="inlineStr">
        <is>
          <t xml:space="preserve">#1207</t>
        </is>
      </c>
      <c r="B292" s="3" t="inlineStr">
        <is>
          <t xml:space="preserve">2025-12-26</t>
        </is>
      </c>
      <c r="C292" s="3" t="inlineStr">
        <is>
          <t xml:space="preserve">SKU-E</t>
        </is>
      </c>
      <c r="D292" s="3" t="inlineStr">
        <is>
          <t xml:space="preserve">Complete Ritual</t>
        </is>
      </c>
      <c r="E292" s="6">
        <f>IF('Settings'!$B$11="Scenario",IFERROR(INDEX('Catalogue'!$E$3:$E$100,MATCH(C292,'Catalogue'!$B$3:$B$100,0)),F292),F292)</f>
        <v>89</v>
      </c>
      <c r="F292" s="8">
        <v>89</v>
      </c>
      <c r="G292" s="3">
        <v>1</v>
      </c>
      <c r="H292" s="6">
        <f>IF('Settings'!$B$11="Scenario",ROUND(E292*G292*IFERROR(SUMIF('Pricing &amp; promotions'!$A$6:$A$8,L292,'Pricing &amp; promotions'!$B$6:$B$8)/100,0),2),J292)</f>
        <v>8.9</v>
      </c>
      <c r="I292" s="6">
        <f>ROUND((E292*G292-H292)/(1+'Settings'!$B$6/100),2)</f>
        <v>66.2</v>
      </c>
      <c r="J292" s="8">
        <v>8.9</v>
      </c>
      <c r="K292" s="3" t="inlineStr">
        <is>
          <t xml:space="preserve">TRUE</t>
        </is>
      </c>
      <c r="L292" s="3" t="inlineStr">
        <is>
          <t xml:space="preserve">WELCOME10</t>
        </is>
      </c>
    </row>
    <row r="293">
      <c r="A293" s="3" t="inlineStr">
        <is>
          <t xml:space="preserve">#1208</t>
        </is>
      </c>
      <c r="B293" s="3" t="inlineStr">
        <is>
          <t xml:space="preserve">2025-12-26</t>
        </is>
      </c>
      <c r="C293" s="3" t="inlineStr">
        <is>
          <t xml:space="preserve">SKU-A</t>
        </is>
      </c>
      <c r="D293" s="3" t="inlineStr">
        <is>
          <t xml:space="preserve">Renewal Serum</t>
        </is>
      </c>
      <c r="E293" s="6">
        <f>IF('Settings'!$B$11="Scenario",IFERROR(INDEX('Catalogue'!$E$3:$E$100,MATCH(C293,'Catalogue'!$B$3:$B$100,0)),F293),F293)</f>
        <v>69.9</v>
      </c>
      <c r="F293" s="8">
        <v>64</v>
      </c>
      <c r="G293" s="3">
        <v>2</v>
      </c>
      <c r="H293" s="6">
        <f>IF('Settings'!$B$11="Scenario",ROUND(E293*G293*IFERROR(SUMIF('Pricing &amp; promotions'!$A$6:$A$8,L293,'Pricing &amp; promotions'!$B$6:$B$8)/100,0),2),J293)</f>
        <v>0.0</v>
      </c>
      <c r="I293" s="6">
        <f>ROUND((E293*G293-H293)/(1+'Settings'!$B$6/100),2)</f>
        <v>115.54</v>
      </c>
      <c r="J293" s="8">
        <v>0.0</v>
      </c>
      <c r="K293" s="3" t="inlineStr">
        <is>
          <t xml:space="preserve">TRUE</t>
        </is>
      </c>
      <c r="L293" s="3"/>
    </row>
    <row r="294">
      <c r="A294" s="3" t="inlineStr">
        <is>
          <t xml:space="preserve">#1209</t>
        </is>
      </c>
      <c r="B294" s="3" t="inlineStr">
        <is>
          <t xml:space="preserve">2025-12-26</t>
        </is>
      </c>
      <c r="C294" s="3" t="inlineStr">
        <is>
          <t xml:space="preserve">SKU-B</t>
        </is>
      </c>
      <c r="D294" s="3" t="inlineStr">
        <is>
          <t xml:space="preserve">Barrier Balm</t>
        </is>
      </c>
      <c r="E294" s="6">
        <f>IF('Settings'!$B$11="Scenario",IFERROR(INDEX('Catalogue'!$E$3:$E$100,MATCH(C294,'Catalogue'!$B$3:$B$100,0)),F294),F294)</f>
        <v>19</v>
      </c>
      <c r="F294" s="8">
        <v>18</v>
      </c>
      <c r="G294" s="3">
        <v>1</v>
      </c>
      <c r="H294" s="6">
        <f>IF('Settings'!$B$11="Scenario",ROUND(E294*G294*IFERROR(SUMIF('Pricing &amp; promotions'!$A$6:$A$8,L294,'Pricing &amp; promotions'!$B$6:$B$8)/100,0),2),J294)</f>
        <v>1.9</v>
      </c>
      <c r="I294" s="6">
        <f>ROUND((E294*G294-H294)/(1+'Settings'!$B$6/100),2)</f>
        <v>14.13</v>
      </c>
      <c r="J294" s="8">
        <v>1.8</v>
      </c>
      <c r="K294" s="3" t="inlineStr">
        <is>
          <t xml:space="preserve">TRUE</t>
        </is>
      </c>
      <c r="L294" s="3" t="inlineStr">
        <is>
          <t xml:space="preserve">WELCOME10</t>
        </is>
      </c>
    </row>
    <row r="295">
      <c r="A295" s="3" t="inlineStr">
        <is>
          <t xml:space="preserve">#1210</t>
        </is>
      </c>
      <c r="B295" s="3" t="inlineStr">
        <is>
          <t xml:space="preserve">2025-12-26</t>
        </is>
      </c>
      <c r="C295" s="3" t="inlineStr">
        <is>
          <t xml:space="preserve">SKU-A</t>
        </is>
      </c>
      <c r="D295" s="3" t="inlineStr">
        <is>
          <t xml:space="preserve">Renewal Serum</t>
        </is>
      </c>
      <c r="E295" s="6">
        <f>IF('Settings'!$B$11="Scenario",IFERROR(INDEX('Catalogue'!$E$3:$E$100,MATCH(C295,'Catalogue'!$B$3:$B$100,0)),F295),F295)</f>
        <v>69.9</v>
      </c>
      <c r="F295" s="8">
        <v>64</v>
      </c>
      <c r="G295" s="3">
        <v>1</v>
      </c>
      <c r="H295" s="6">
        <f>IF('Settings'!$B$11="Scenario",ROUND(E295*G295*IFERROR(SUMIF('Pricing &amp; promotions'!$A$6:$A$8,L295,'Pricing &amp; promotions'!$B$6:$B$8)/100,0),2),J295)</f>
        <v>0.0</v>
      </c>
      <c r="I295" s="6">
        <f>ROUND((E295*G295-H295)/(1+'Settings'!$B$6/100),2)</f>
        <v>57.77</v>
      </c>
      <c r="J295" s="8">
        <v>0.0</v>
      </c>
      <c r="K295" s="3" t="inlineStr">
        <is>
          <t xml:space="preserve">TRUE</t>
        </is>
      </c>
      <c r="L295" s="3"/>
    </row>
    <row r="296">
      <c r="A296" s="3" t="inlineStr">
        <is>
          <t xml:space="preserve">#1210</t>
        </is>
      </c>
      <c r="B296" s="3" t="inlineStr">
        <is>
          <t xml:space="preserve">2025-12-26</t>
        </is>
      </c>
      <c r="C296" s="3" t="inlineStr">
        <is>
          <t xml:space="preserve">SKU-D</t>
        </is>
      </c>
      <c r="D296" s="3" t="inlineStr">
        <is>
          <t xml:space="preserve">Daily Duo</t>
        </is>
      </c>
      <c r="E296" s="6">
        <f>IF('Settings'!$B$11="Scenario",IFERROR(INDEX('Catalogue'!$E$3:$E$100,MATCH(C296,'Catalogue'!$B$3:$B$100,0)),F296),F296)</f>
        <v>79</v>
      </c>
      <c r="F296" s="8">
        <v>79</v>
      </c>
      <c r="G296" s="3">
        <v>1</v>
      </c>
      <c r="H296" s="6">
        <f>IF('Settings'!$B$11="Scenario",ROUND(E296*G296*IFERROR(SUMIF('Pricing &amp; promotions'!$A$6:$A$8,L296,'Pricing &amp; promotions'!$B$6:$B$8)/100,0),2),J296)</f>
        <v>0.0</v>
      </c>
      <c r="I296" s="6">
        <f>ROUND((E296*G296-H296)/(1+'Settings'!$B$6/100),2)</f>
        <v>65.29</v>
      </c>
      <c r="J296" s="8">
        <v>0.0</v>
      </c>
      <c r="K296" s="3" t="inlineStr">
        <is>
          <t xml:space="preserve">TRUE</t>
        </is>
      </c>
      <c r="L296" s="3"/>
    </row>
    <row r="297">
      <c r="A297" s="3" t="inlineStr">
        <is>
          <t xml:space="preserve">#1211</t>
        </is>
      </c>
      <c r="B297" s="3" t="inlineStr">
        <is>
          <t xml:space="preserve">2025-12-27</t>
        </is>
      </c>
      <c r="C297" s="3" t="inlineStr">
        <is>
          <t xml:space="preserve">SKU-G</t>
        </is>
      </c>
      <c r="D297" s="3" t="inlineStr">
        <is>
          <t xml:space="preserve">Daily Reset Set</t>
        </is>
      </c>
      <c r="E297" s="6">
        <f>IF('Settings'!$B$11="Scenario",IFERROR(INDEX('Catalogue'!$E$3:$E$100,MATCH(C297,'Catalogue'!$B$3:$B$100,0)),F297),F297)</f>
        <v>69</v>
      </c>
      <c r="F297" s="8">
        <v>69</v>
      </c>
      <c r="G297" s="3">
        <v>1</v>
      </c>
      <c r="H297" s="6">
        <f>IF('Settings'!$B$11="Scenario",ROUND(E297*G297*IFERROR(SUMIF('Pricing &amp; promotions'!$A$6:$A$8,L297,'Pricing &amp; promotions'!$B$6:$B$8)/100,0),2),J297)</f>
        <v>6.9</v>
      </c>
      <c r="I297" s="6">
        <f>ROUND((E297*G297-H297)/(1+'Settings'!$B$6/100),2)</f>
        <v>51.32</v>
      </c>
      <c r="J297" s="8">
        <v>6.9</v>
      </c>
      <c r="K297" s="3" t="inlineStr">
        <is>
          <t xml:space="preserve">TRUE</t>
        </is>
      </c>
      <c r="L297" s="3" t="inlineStr">
        <is>
          <t xml:space="preserve">WELCOME10</t>
        </is>
      </c>
    </row>
    <row r="298">
      <c r="A298" s="3" t="inlineStr">
        <is>
          <t xml:space="preserve">#1211</t>
        </is>
      </c>
      <c r="B298" s="3" t="inlineStr">
        <is>
          <t xml:space="preserve">2025-12-27</t>
        </is>
      </c>
      <c r="C298" s="3" t="inlineStr">
        <is>
          <t xml:space="preserve">SKU-C</t>
        </is>
      </c>
      <c r="D298" s="3" t="inlineStr">
        <is>
          <t xml:space="preserve">Contour Stone</t>
        </is>
      </c>
      <c r="E298" s="6">
        <f>IF('Settings'!$B$11="Scenario",IFERROR(INDEX('Catalogue'!$E$3:$E$100,MATCH(C298,'Catalogue'!$B$3:$B$100,0)),F298),F298)</f>
        <v>29</v>
      </c>
      <c r="F298" s="8">
        <v>29</v>
      </c>
      <c r="G298" s="3">
        <v>1</v>
      </c>
      <c r="H298" s="6">
        <f>IF('Settings'!$B$11="Scenario",ROUND(E298*G298*IFERROR(SUMIF('Pricing &amp; promotions'!$A$6:$A$8,L298,'Pricing &amp; promotions'!$B$6:$B$8)/100,0),2),J298)</f>
        <v>2.9</v>
      </c>
      <c r="I298" s="6">
        <f>ROUND((E298*G298-H298)/(1+'Settings'!$B$6/100),2)</f>
        <v>21.57</v>
      </c>
      <c r="J298" s="8">
        <v>2.9</v>
      </c>
      <c r="K298" s="3" t="inlineStr">
        <is>
          <t xml:space="preserve">TRUE</t>
        </is>
      </c>
      <c r="L298" s="3" t="inlineStr">
        <is>
          <t xml:space="preserve">WELCOME10</t>
        </is>
      </c>
    </row>
    <row r="299">
      <c r="A299" s="3" t="inlineStr">
        <is>
          <t xml:space="preserve">#1212</t>
        </is>
      </c>
      <c r="B299" s="3" t="inlineStr">
        <is>
          <t xml:space="preserve">2025-12-27</t>
        </is>
      </c>
      <c r="C299" s="3" t="inlineStr">
        <is>
          <t xml:space="preserve">SKU-G</t>
        </is>
      </c>
      <c r="D299" s="3" t="inlineStr">
        <is>
          <t xml:space="preserve">Daily Reset Set</t>
        </is>
      </c>
      <c r="E299" s="6">
        <f>IF('Settings'!$B$11="Scenario",IFERROR(INDEX('Catalogue'!$E$3:$E$100,MATCH(C299,'Catalogue'!$B$3:$B$100,0)),F299),F299)</f>
        <v>69</v>
      </c>
      <c r="F299" s="8">
        <v>69</v>
      </c>
      <c r="G299" s="3">
        <v>1</v>
      </c>
      <c r="H299" s="6">
        <f>IF('Settings'!$B$11="Scenario",ROUND(E299*G299*IFERROR(SUMIF('Pricing &amp; promotions'!$A$6:$A$8,L299,'Pricing &amp; promotions'!$B$6:$B$8)/100,0),2),J299)</f>
        <v>6.9</v>
      </c>
      <c r="I299" s="6">
        <f>ROUND((E299*G299-H299)/(1+'Settings'!$B$6/100),2)</f>
        <v>51.32</v>
      </c>
      <c r="J299" s="8">
        <v>6.9</v>
      </c>
      <c r="K299" s="3" t="inlineStr">
        <is>
          <t xml:space="preserve">TRUE</t>
        </is>
      </c>
      <c r="L299" s="3" t="inlineStr">
        <is>
          <t xml:space="preserve">WELCOME10</t>
        </is>
      </c>
    </row>
    <row r="300">
      <c r="A300" s="3" t="inlineStr">
        <is>
          <t xml:space="preserve">#1212</t>
        </is>
      </c>
      <c r="B300" s="3" t="inlineStr">
        <is>
          <t xml:space="preserve">2025-12-27</t>
        </is>
      </c>
      <c r="C300" s="3" t="inlineStr">
        <is>
          <t xml:space="preserve">SKU-D</t>
        </is>
      </c>
      <c r="D300" s="3" t="inlineStr">
        <is>
          <t xml:space="preserve">Daily Duo</t>
        </is>
      </c>
      <c r="E300" s="6">
        <f>IF('Settings'!$B$11="Scenario",IFERROR(INDEX('Catalogue'!$E$3:$E$100,MATCH(C300,'Catalogue'!$B$3:$B$100,0)),F300),F300)</f>
        <v>79</v>
      </c>
      <c r="F300" s="8">
        <v>79</v>
      </c>
      <c r="G300" s="3">
        <v>1</v>
      </c>
      <c r="H300" s="6">
        <f>IF('Settings'!$B$11="Scenario",ROUND(E300*G300*IFERROR(SUMIF('Pricing &amp; promotions'!$A$6:$A$8,L300,'Pricing &amp; promotions'!$B$6:$B$8)/100,0),2),J300)</f>
        <v>7.9</v>
      </c>
      <c r="I300" s="6">
        <f>ROUND((E300*G300-H300)/(1+'Settings'!$B$6/100),2)</f>
        <v>58.76</v>
      </c>
      <c r="J300" s="8">
        <v>7.9</v>
      </c>
      <c r="K300" s="3" t="inlineStr">
        <is>
          <t xml:space="preserve">TRUE</t>
        </is>
      </c>
      <c r="L300" s="3" t="inlineStr">
        <is>
          <t xml:space="preserve">WELCOME10</t>
        </is>
      </c>
    </row>
    <row r="301">
      <c r="A301" s="3" t="inlineStr">
        <is>
          <t xml:space="preserve">#1213</t>
        </is>
      </c>
      <c r="B301" s="3" t="inlineStr">
        <is>
          <t xml:space="preserve">2025-12-28</t>
        </is>
      </c>
      <c r="C301" s="3" t="inlineStr">
        <is>
          <t xml:space="preserve">SKU-E</t>
        </is>
      </c>
      <c r="D301" s="3" t="inlineStr">
        <is>
          <t xml:space="preserve">Complete Ritual</t>
        </is>
      </c>
      <c r="E301" s="6">
        <f>IF('Settings'!$B$11="Scenario",IFERROR(INDEX('Catalogue'!$E$3:$E$100,MATCH(C301,'Catalogue'!$B$3:$B$100,0)),F301),F301)</f>
        <v>89</v>
      </c>
      <c r="F301" s="8">
        <v>89</v>
      </c>
      <c r="G301" s="3">
        <v>1</v>
      </c>
      <c r="H301" s="6">
        <f>IF('Settings'!$B$11="Scenario",ROUND(E301*G301*IFERROR(SUMIF('Pricing &amp; promotions'!$A$6:$A$8,L301,'Pricing &amp; promotions'!$B$6:$B$8)/100,0),2),J301)</f>
        <v>8.9</v>
      </c>
      <c r="I301" s="6">
        <f>ROUND((E301*G301-H301)/(1+'Settings'!$B$6/100),2)</f>
        <v>66.2</v>
      </c>
      <c r="J301" s="8">
        <v>8.9</v>
      </c>
      <c r="K301" s="3" t="inlineStr">
        <is>
          <t xml:space="preserve">TRUE</t>
        </is>
      </c>
      <c r="L301" s="3" t="inlineStr">
        <is>
          <t xml:space="preserve">WELCOME10</t>
        </is>
      </c>
    </row>
    <row r="302">
      <c r="A302" s="3" t="inlineStr">
        <is>
          <t xml:space="preserve">#1214</t>
        </is>
      </c>
      <c r="B302" s="3" t="inlineStr">
        <is>
          <t xml:space="preserve">2025-12-28</t>
        </is>
      </c>
      <c r="C302" s="3" t="inlineStr">
        <is>
          <t xml:space="preserve">SKU-A</t>
        </is>
      </c>
      <c r="D302" s="3" t="inlineStr">
        <is>
          <t xml:space="preserve">Renewal Serum</t>
        </is>
      </c>
      <c r="E302" s="6">
        <f>IF('Settings'!$B$11="Scenario",IFERROR(INDEX('Catalogue'!$E$3:$E$100,MATCH(C302,'Catalogue'!$B$3:$B$100,0)),F302),F302)</f>
        <v>69.9</v>
      </c>
      <c r="F302" s="8">
        <v>64</v>
      </c>
      <c r="G302" s="3">
        <v>1</v>
      </c>
      <c r="H302" s="6">
        <f>IF('Settings'!$B$11="Scenario",ROUND(E302*G302*IFERROR(SUMIF('Pricing &amp; promotions'!$A$6:$A$8,L302,'Pricing &amp; promotions'!$B$6:$B$8)/100,0),2),J302)</f>
        <v>0.0</v>
      </c>
      <c r="I302" s="6">
        <f>ROUND((E302*G302-H302)/(1+'Settings'!$B$6/100),2)</f>
        <v>57.77</v>
      </c>
      <c r="J302" s="8">
        <v>0.0</v>
      </c>
      <c r="K302" s="3" t="inlineStr">
        <is>
          <t xml:space="preserve">TRUE</t>
        </is>
      </c>
      <c r="L302" s="3"/>
    </row>
    <row r="303">
      <c r="A303" s="3" t="inlineStr">
        <is>
          <t xml:space="preserve">#1215</t>
        </is>
      </c>
      <c r="B303" s="3" t="inlineStr">
        <is>
          <t xml:space="preserve">2025-12-28</t>
        </is>
      </c>
      <c r="C303" s="3" t="inlineStr">
        <is>
          <t xml:space="preserve">SKU-A</t>
        </is>
      </c>
      <c r="D303" s="3" t="inlineStr">
        <is>
          <t xml:space="preserve">Renewal Serum</t>
        </is>
      </c>
      <c r="E303" s="6">
        <f>IF('Settings'!$B$11="Scenario",IFERROR(INDEX('Catalogue'!$E$3:$E$100,MATCH(C303,'Catalogue'!$B$3:$B$100,0)),F303),F303)</f>
        <v>69.9</v>
      </c>
      <c r="F303" s="8">
        <v>64</v>
      </c>
      <c r="G303" s="3">
        <v>2</v>
      </c>
      <c r="H303" s="6">
        <f>IF('Settings'!$B$11="Scenario",ROUND(E303*G303*IFERROR(SUMIF('Pricing &amp; promotions'!$A$6:$A$8,L303,'Pricing &amp; promotions'!$B$6:$B$8)/100,0),2),J303)</f>
        <v>13.98</v>
      </c>
      <c r="I303" s="6">
        <f>ROUND((E303*G303-H303)/(1+'Settings'!$B$6/100),2)</f>
        <v>103.98</v>
      </c>
      <c r="J303" s="8">
        <v>12.8</v>
      </c>
      <c r="K303" s="3" t="inlineStr">
        <is>
          <t xml:space="preserve">TRUE</t>
        </is>
      </c>
      <c r="L303" s="3" t="inlineStr">
        <is>
          <t xml:space="preserve">WELCOME10</t>
        </is>
      </c>
    </row>
    <row r="304">
      <c r="A304" s="3" t="inlineStr">
        <is>
          <t xml:space="preserve">#1215</t>
        </is>
      </c>
      <c r="B304" s="3" t="inlineStr">
        <is>
          <t xml:space="preserve">2025-12-28</t>
        </is>
      </c>
      <c r="C304" s="3" t="inlineStr">
        <is>
          <t xml:space="preserve">SKU-G</t>
        </is>
      </c>
      <c r="D304" s="3" t="inlineStr">
        <is>
          <t xml:space="preserve">Daily Reset Set</t>
        </is>
      </c>
      <c r="E304" s="6">
        <f>IF('Settings'!$B$11="Scenario",IFERROR(INDEX('Catalogue'!$E$3:$E$100,MATCH(C304,'Catalogue'!$B$3:$B$100,0)),F304),F304)</f>
        <v>69</v>
      </c>
      <c r="F304" s="8">
        <v>69</v>
      </c>
      <c r="G304" s="3">
        <v>1</v>
      </c>
      <c r="H304" s="6">
        <f>IF('Settings'!$B$11="Scenario",ROUND(E304*G304*IFERROR(SUMIF('Pricing &amp; promotions'!$A$6:$A$8,L304,'Pricing &amp; promotions'!$B$6:$B$8)/100,0),2),J304)</f>
        <v>6.9</v>
      </c>
      <c r="I304" s="6">
        <f>ROUND((E304*G304-H304)/(1+'Settings'!$B$6/100),2)</f>
        <v>51.32</v>
      </c>
      <c r="J304" s="8">
        <v>6.9</v>
      </c>
      <c r="K304" s="3" t="inlineStr">
        <is>
          <t xml:space="preserve">TRUE</t>
        </is>
      </c>
      <c r="L304" s="3" t="inlineStr">
        <is>
          <t xml:space="preserve">WELCOME10</t>
        </is>
      </c>
    </row>
    <row r="305">
      <c r="A305" s="3" t="inlineStr">
        <is>
          <t xml:space="preserve">#1216</t>
        </is>
      </c>
      <c r="B305" s="3" t="inlineStr">
        <is>
          <t xml:space="preserve">2025-12-29</t>
        </is>
      </c>
      <c r="C305" s="3" t="inlineStr">
        <is>
          <t xml:space="preserve">SKU-A</t>
        </is>
      </c>
      <c r="D305" s="3" t="inlineStr">
        <is>
          <t xml:space="preserve">Renewal Serum</t>
        </is>
      </c>
      <c r="E305" s="6">
        <f>IF('Settings'!$B$11="Scenario",IFERROR(INDEX('Catalogue'!$E$3:$E$100,MATCH(C305,'Catalogue'!$B$3:$B$100,0)),F305),F305)</f>
        <v>69.9</v>
      </c>
      <c r="F305" s="8">
        <v>64</v>
      </c>
      <c r="G305" s="3">
        <v>1</v>
      </c>
      <c r="H305" s="6">
        <f>IF('Settings'!$B$11="Scenario",ROUND(E305*G305*IFERROR(SUMIF('Pricing &amp; promotions'!$A$6:$A$8,L305,'Pricing &amp; promotions'!$B$6:$B$8)/100,0),2),J305)</f>
        <v>10.49</v>
      </c>
      <c r="I305" s="6">
        <f>ROUND((E305*G305-H305)/(1+'Settings'!$B$6/100),2)</f>
        <v>49.1</v>
      </c>
      <c r="J305" s="8">
        <v>9.6</v>
      </c>
      <c r="K305" s="3" t="inlineStr">
        <is>
          <t xml:space="preserve">TRUE</t>
        </is>
      </c>
      <c r="L305" s="3" t="inlineStr">
        <is>
          <t xml:space="preserve">SUMMER15</t>
        </is>
      </c>
    </row>
    <row r="306">
      <c r="A306" s="3" t="inlineStr">
        <is>
          <t xml:space="preserve">#1217</t>
        </is>
      </c>
      <c r="B306" s="3" t="inlineStr">
        <is>
          <t xml:space="preserve">2025-12-29</t>
        </is>
      </c>
      <c r="C306" s="3" t="inlineStr">
        <is>
          <t xml:space="preserve">SKU-A</t>
        </is>
      </c>
      <c r="D306" s="3" t="inlineStr">
        <is>
          <t xml:space="preserve">Renewal Serum</t>
        </is>
      </c>
      <c r="E306" s="6">
        <f>IF('Settings'!$B$11="Scenario",IFERROR(INDEX('Catalogue'!$E$3:$E$100,MATCH(C306,'Catalogue'!$B$3:$B$100,0)),F306),F306)</f>
        <v>69.9</v>
      </c>
      <c r="F306" s="8">
        <v>64</v>
      </c>
      <c r="G306" s="3">
        <v>1</v>
      </c>
      <c r="H306" s="6">
        <f>IF('Settings'!$B$11="Scenario",ROUND(E306*G306*IFERROR(SUMIF('Pricing &amp; promotions'!$A$6:$A$8,L306,'Pricing &amp; promotions'!$B$6:$B$8)/100,0),2),J306)</f>
        <v>10.49</v>
      </c>
      <c r="I306" s="6">
        <f>ROUND((E306*G306-H306)/(1+'Settings'!$B$6/100),2)</f>
        <v>49.1</v>
      </c>
      <c r="J306" s="8">
        <v>9.6</v>
      </c>
      <c r="K306" s="3" t="inlineStr">
        <is>
          <t xml:space="preserve">TRUE</t>
        </is>
      </c>
      <c r="L306" s="3" t="inlineStr">
        <is>
          <t xml:space="preserve">SUMMER15</t>
        </is>
      </c>
    </row>
    <row r="307">
      <c r="A307" s="3" t="inlineStr">
        <is>
          <t xml:space="preserve">#1217</t>
        </is>
      </c>
      <c r="B307" s="3" t="inlineStr">
        <is>
          <t xml:space="preserve">2025-12-29</t>
        </is>
      </c>
      <c r="C307" s="3" t="inlineStr">
        <is>
          <t xml:space="preserve">SKU-E</t>
        </is>
      </c>
      <c r="D307" s="3" t="inlineStr">
        <is>
          <t xml:space="preserve">Complete Ritual</t>
        </is>
      </c>
      <c r="E307" s="6">
        <f>IF('Settings'!$B$11="Scenario",IFERROR(INDEX('Catalogue'!$E$3:$E$100,MATCH(C307,'Catalogue'!$B$3:$B$100,0)),F307),F307)</f>
        <v>89</v>
      </c>
      <c r="F307" s="8">
        <v>89</v>
      </c>
      <c r="G307" s="3">
        <v>2</v>
      </c>
      <c r="H307" s="6">
        <f>IF('Settings'!$B$11="Scenario",ROUND(E307*G307*IFERROR(SUMIF('Pricing &amp; promotions'!$A$6:$A$8,L307,'Pricing &amp; promotions'!$B$6:$B$8)/100,0),2),J307)</f>
        <v>26.7</v>
      </c>
      <c r="I307" s="6">
        <f>ROUND((E307*G307-H307)/(1+'Settings'!$B$6/100),2)</f>
        <v>125.04</v>
      </c>
      <c r="J307" s="8">
        <v>26.7</v>
      </c>
      <c r="K307" s="3" t="inlineStr">
        <is>
          <t xml:space="preserve">TRUE</t>
        </is>
      </c>
      <c r="L307" s="3" t="inlineStr">
        <is>
          <t xml:space="preserve">SUMMER15</t>
        </is>
      </c>
    </row>
    <row r="308">
      <c r="A308" s="3" t="inlineStr">
        <is>
          <t xml:space="preserve">#1217</t>
        </is>
      </c>
      <c r="B308" s="3" t="inlineStr">
        <is>
          <t xml:space="preserve">2025-12-29</t>
        </is>
      </c>
      <c r="C308" s="3" t="inlineStr">
        <is>
          <t xml:space="preserve">SKU-C</t>
        </is>
      </c>
      <c r="D308" s="3" t="inlineStr">
        <is>
          <t xml:space="preserve">Contour Stone</t>
        </is>
      </c>
      <c r="E308" s="6">
        <f>IF('Settings'!$B$11="Scenario",IFERROR(INDEX('Catalogue'!$E$3:$E$100,MATCH(C308,'Catalogue'!$B$3:$B$100,0)),F308),F308)</f>
        <v>29</v>
      </c>
      <c r="F308" s="8">
        <v>29</v>
      </c>
      <c r="G308" s="3">
        <v>2</v>
      </c>
      <c r="H308" s="6">
        <f>IF('Settings'!$B$11="Scenario",ROUND(E308*G308*IFERROR(SUMIF('Pricing &amp; promotions'!$A$6:$A$8,L308,'Pricing &amp; promotions'!$B$6:$B$8)/100,0),2),J308)</f>
        <v>8.7</v>
      </c>
      <c r="I308" s="6">
        <f>ROUND((E308*G308-H308)/(1+'Settings'!$B$6/100),2)</f>
        <v>40.74</v>
      </c>
      <c r="J308" s="8">
        <v>8.7</v>
      </c>
      <c r="K308" s="3" t="inlineStr">
        <is>
          <t xml:space="preserve">TRUE</t>
        </is>
      </c>
      <c r="L308" s="3" t="inlineStr">
        <is>
          <t xml:space="preserve">SUMMER15</t>
        </is>
      </c>
    </row>
    <row r="309">
      <c r="A309" s="3" t="inlineStr">
        <is>
          <t xml:space="preserve">#1218</t>
        </is>
      </c>
      <c r="B309" s="3" t="inlineStr">
        <is>
          <t xml:space="preserve">2025-12-30</t>
        </is>
      </c>
      <c r="C309" s="3" t="inlineStr">
        <is>
          <t xml:space="preserve">SKU-E</t>
        </is>
      </c>
      <c r="D309" s="3" t="inlineStr">
        <is>
          <t xml:space="preserve">Complete Ritual</t>
        </is>
      </c>
      <c r="E309" s="6">
        <f>IF('Settings'!$B$11="Scenario",IFERROR(INDEX('Catalogue'!$E$3:$E$100,MATCH(C309,'Catalogue'!$B$3:$B$100,0)),F309),F309)</f>
        <v>89</v>
      </c>
      <c r="F309" s="8">
        <v>89</v>
      </c>
      <c r="G309" s="3">
        <v>1</v>
      </c>
      <c r="H309" s="6">
        <f>IF('Settings'!$B$11="Scenario",ROUND(E309*G309*IFERROR(SUMIF('Pricing &amp; promotions'!$A$6:$A$8,L309,'Pricing &amp; promotions'!$B$6:$B$8)/100,0),2),J309)</f>
        <v>8.9</v>
      </c>
      <c r="I309" s="6">
        <f>ROUND((E309*G309-H309)/(1+'Settings'!$B$6/100),2)</f>
        <v>66.2</v>
      </c>
      <c r="J309" s="8">
        <v>8.9</v>
      </c>
      <c r="K309" s="3" t="inlineStr">
        <is>
          <t xml:space="preserve">TRUE</t>
        </is>
      </c>
      <c r="L309" s="3" t="inlineStr">
        <is>
          <t xml:space="preserve">WELCOME10</t>
        </is>
      </c>
    </row>
    <row r="310">
      <c r="A310" s="3" t="inlineStr">
        <is>
          <t xml:space="preserve">#1219</t>
        </is>
      </c>
      <c r="B310" s="3" t="inlineStr">
        <is>
          <t xml:space="preserve">2025-12-30</t>
        </is>
      </c>
      <c r="C310" s="3" t="inlineStr">
        <is>
          <t xml:space="preserve">SKU-D</t>
        </is>
      </c>
      <c r="D310" s="3" t="inlineStr">
        <is>
          <t xml:space="preserve">Daily Duo</t>
        </is>
      </c>
      <c r="E310" s="6">
        <f>IF('Settings'!$B$11="Scenario",IFERROR(INDEX('Catalogue'!$E$3:$E$100,MATCH(C310,'Catalogue'!$B$3:$B$100,0)),F310),F310)</f>
        <v>79</v>
      </c>
      <c r="F310" s="8">
        <v>79</v>
      </c>
      <c r="G310" s="3">
        <v>1</v>
      </c>
      <c r="H310" s="6">
        <f>IF('Settings'!$B$11="Scenario",ROUND(E310*G310*IFERROR(SUMIF('Pricing &amp; promotions'!$A$6:$A$8,L310,'Pricing &amp; promotions'!$B$6:$B$8)/100,0),2),J310)</f>
        <v>7.9</v>
      </c>
      <c r="I310" s="6">
        <f>ROUND((E310*G310-H310)/(1+'Settings'!$B$6/100),2)</f>
        <v>58.76</v>
      </c>
      <c r="J310" s="8">
        <v>7.9</v>
      </c>
      <c r="K310" s="3" t="inlineStr">
        <is>
          <t xml:space="preserve">TRUE</t>
        </is>
      </c>
      <c r="L310" s="3" t="inlineStr">
        <is>
          <t xml:space="preserve">WELCOME10</t>
        </is>
      </c>
    </row>
    <row r="311">
      <c r="A311" s="3" t="inlineStr">
        <is>
          <t xml:space="preserve">#1220</t>
        </is>
      </c>
      <c r="B311" s="3" t="inlineStr">
        <is>
          <t xml:space="preserve">2025-12-30</t>
        </is>
      </c>
      <c r="C311" s="3" t="inlineStr">
        <is>
          <t xml:space="preserve">SKU-D</t>
        </is>
      </c>
      <c r="D311" s="3" t="inlineStr">
        <is>
          <t xml:space="preserve">Daily Duo</t>
        </is>
      </c>
      <c r="E311" s="6">
        <f>IF('Settings'!$B$11="Scenario",IFERROR(INDEX('Catalogue'!$E$3:$E$100,MATCH(C311,'Catalogue'!$B$3:$B$100,0)),F311),F311)</f>
        <v>79</v>
      </c>
      <c r="F311" s="8">
        <v>79</v>
      </c>
      <c r="G311" s="3">
        <v>1</v>
      </c>
      <c r="H311" s="6">
        <f>IF('Settings'!$B$11="Scenario",ROUND(E311*G311*IFERROR(SUMIF('Pricing &amp; promotions'!$A$6:$A$8,L311,'Pricing &amp; promotions'!$B$6:$B$8)/100,0),2),J311)</f>
        <v>0.0</v>
      </c>
      <c r="I311" s="6">
        <f>ROUND((E311*G311-H311)/(1+'Settings'!$B$6/100),2)</f>
        <v>65.29</v>
      </c>
      <c r="J311" s="8">
        <v>0.0</v>
      </c>
      <c r="K311" s="3" t="inlineStr">
        <is>
          <t xml:space="preserve">TRUE</t>
        </is>
      </c>
      <c r="L311" s="3"/>
    </row>
    <row r="312">
      <c r="A312" s="3" t="inlineStr">
        <is>
          <t xml:space="preserve">#1221</t>
        </is>
      </c>
      <c r="B312" s="3" t="inlineStr">
        <is>
          <t xml:space="preserve">2025-12-30</t>
        </is>
      </c>
      <c r="C312" s="3" t="inlineStr">
        <is>
          <t xml:space="preserve">SKU-A</t>
        </is>
      </c>
      <c r="D312" s="3" t="inlineStr">
        <is>
          <t xml:space="preserve">Renewal Serum</t>
        </is>
      </c>
      <c r="E312" s="6">
        <f>IF('Settings'!$B$11="Scenario",IFERROR(INDEX('Catalogue'!$E$3:$E$100,MATCH(C312,'Catalogue'!$B$3:$B$100,0)),F312),F312)</f>
        <v>69.9</v>
      </c>
      <c r="F312" s="8">
        <v>64</v>
      </c>
      <c r="G312" s="3">
        <v>1</v>
      </c>
      <c r="H312" s="6">
        <f>IF('Settings'!$B$11="Scenario",ROUND(E312*G312*IFERROR(SUMIF('Pricing &amp; promotions'!$A$6:$A$8,L312,'Pricing &amp; promotions'!$B$6:$B$8)/100,0),2),J312)</f>
        <v>6.99</v>
      </c>
      <c r="I312" s="6">
        <f>ROUND((E312*G312-H312)/(1+'Settings'!$B$6/100),2)</f>
        <v>51.99</v>
      </c>
      <c r="J312" s="8">
        <v>6.4</v>
      </c>
      <c r="K312" s="3" t="inlineStr">
        <is>
          <t xml:space="preserve">TRUE</t>
        </is>
      </c>
      <c r="L312" s="3" t="inlineStr">
        <is>
          <t xml:space="preserve">WELCOME10</t>
        </is>
      </c>
    </row>
    <row r="313">
      <c r="A313" s="3" t="inlineStr">
        <is>
          <t xml:space="preserve">#1222</t>
        </is>
      </c>
      <c r="B313" s="3" t="inlineStr">
        <is>
          <t xml:space="preserve">2025-12-30</t>
        </is>
      </c>
      <c r="C313" s="3" t="inlineStr">
        <is>
          <t xml:space="preserve">SKU-E</t>
        </is>
      </c>
      <c r="D313" s="3" t="inlineStr">
        <is>
          <t xml:space="preserve">Complete Ritual</t>
        </is>
      </c>
      <c r="E313" s="6">
        <f>IF('Settings'!$B$11="Scenario",IFERROR(INDEX('Catalogue'!$E$3:$E$100,MATCH(C313,'Catalogue'!$B$3:$B$100,0)),F313),F313)</f>
        <v>89</v>
      </c>
      <c r="F313" s="8">
        <v>89</v>
      </c>
      <c r="G313" s="3">
        <v>1</v>
      </c>
      <c r="H313" s="6">
        <f>IF('Settings'!$B$11="Scenario",ROUND(E313*G313*IFERROR(SUMIF('Pricing &amp; promotions'!$A$6:$A$8,L313,'Pricing &amp; promotions'!$B$6:$B$8)/100,0),2),J313)</f>
        <v>0.0</v>
      </c>
      <c r="I313" s="6">
        <f>ROUND((E313*G313-H313)/(1+'Settings'!$B$6/100),2)</f>
        <v>73.55</v>
      </c>
      <c r="J313" s="8">
        <v>0.0</v>
      </c>
      <c r="K313" s="3" t="inlineStr">
        <is>
          <t xml:space="preserve">TRUE</t>
        </is>
      </c>
      <c r="L313" s="3"/>
    </row>
    <row r="314">
      <c r="A314" s="3" t="inlineStr">
        <is>
          <t xml:space="preserve">#1223</t>
        </is>
      </c>
      <c r="B314" s="3" t="inlineStr">
        <is>
          <t xml:space="preserve">2025-12-31</t>
        </is>
      </c>
      <c r="C314" s="3" t="inlineStr">
        <is>
          <t xml:space="preserve">SKU-D</t>
        </is>
      </c>
      <c r="D314" s="3" t="inlineStr">
        <is>
          <t xml:space="preserve">Daily Duo</t>
        </is>
      </c>
      <c r="E314" s="6">
        <f>IF('Settings'!$B$11="Scenario",IFERROR(INDEX('Catalogue'!$E$3:$E$100,MATCH(C314,'Catalogue'!$B$3:$B$100,0)),F314),F314)</f>
        <v>79</v>
      </c>
      <c r="F314" s="8">
        <v>79</v>
      </c>
      <c r="G314" s="3">
        <v>1</v>
      </c>
      <c r="H314" s="6">
        <f>IF('Settings'!$B$11="Scenario",ROUND(E314*G314*IFERROR(SUMIF('Pricing &amp; promotions'!$A$6:$A$8,L314,'Pricing &amp; promotions'!$B$6:$B$8)/100,0),2),J314)</f>
        <v>7.9</v>
      </c>
      <c r="I314" s="6">
        <f>ROUND((E314*G314-H314)/(1+'Settings'!$B$6/100),2)</f>
        <v>58.76</v>
      </c>
      <c r="J314" s="8">
        <v>7.9</v>
      </c>
      <c r="K314" s="3" t="inlineStr">
        <is>
          <t xml:space="preserve">TRUE</t>
        </is>
      </c>
      <c r="L314" s="3" t="inlineStr">
        <is>
          <t xml:space="preserve">WELCOME10</t>
        </is>
      </c>
    </row>
    <row r="315">
      <c r="A315" s="3" t="inlineStr">
        <is>
          <t xml:space="preserve">#1224</t>
        </is>
      </c>
      <c r="B315" s="3" t="inlineStr">
        <is>
          <t xml:space="preserve">2025-12-31</t>
        </is>
      </c>
      <c r="C315" s="3" t="inlineStr">
        <is>
          <t xml:space="preserve">SKU-E</t>
        </is>
      </c>
      <c r="D315" s="3" t="inlineStr">
        <is>
          <t xml:space="preserve">Complete Ritual</t>
        </is>
      </c>
      <c r="E315" s="6">
        <f>IF('Settings'!$B$11="Scenario",IFERROR(INDEX('Catalogue'!$E$3:$E$100,MATCH(C315,'Catalogue'!$B$3:$B$100,0)),F315),F315)</f>
        <v>89</v>
      </c>
      <c r="F315" s="8">
        <v>89</v>
      </c>
      <c r="G315" s="3">
        <v>1</v>
      </c>
      <c r="H315" s="6">
        <f>IF('Settings'!$B$11="Scenario",ROUND(E315*G315*IFERROR(SUMIF('Pricing &amp; promotions'!$A$6:$A$8,L315,'Pricing &amp; promotions'!$B$6:$B$8)/100,0),2),J315)</f>
        <v>0.0</v>
      </c>
      <c r="I315" s="6">
        <f>ROUND((E315*G315-H315)/(1+'Settings'!$B$6/100),2)</f>
        <v>73.55</v>
      </c>
      <c r="J315" s="8">
        <v>0.0</v>
      </c>
      <c r="K315" s="3" t="inlineStr">
        <is>
          <t xml:space="preserve">TRUE</t>
        </is>
      </c>
      <c r="L315" s="3"/>
    </row>
    <row r="316">
      <c r="A316" s="3" t="inlineStr">
        <is>
          <t xml:space="preserve">#1225</t>
        </is>
      </c>
      <c r="B316" s="3" t="inlineStr">
        <is>
          <t xml:space="preserve">2025-12-31</t>
        </is>
      </c>
      <c r="C316" s="3" t="inlineStr">
        <is>
          <t xml:space="preserve">SKU-A</t>
        </is>
      </c>
      <c r="D316" s="3" t="inlineStr">
        <is>
          <t xml:space="preserve">Renewal Serum</t>
        </is>
      </c>
      <c r="E316" s="6">
        <f>IF('Settings'!$B$11="Scenario",IFERROR(INDEX('Catalogue'!$E$3:$E$100,MATCH(C316,'Catalogue'!$B$3:$B$100,0)),F316),F316)</f>
        <v>69.9</v>
      </c>
      <c r="F316" s="8">
        <v>64</v>
      </c>
      <c r="G316" s="3">
        <v>1</v>
      </c>
      <c r="H316" s="6">
        <f>IF('Settings'!$B$11="Scenario",ROUND(E316*G316*IFERROR(SUMIF('Pricing &amp; promotions'!$A$6:$A$8,L316,'Pricing &amp; promotions'!$B$6:$B$8)/100,0),2),J316)</f>
        <v>13.98</v>
      </c>
      <c r="I316" s="6">
        <f>ROUND((E316*G316-H316)/(1+'Settings'!$B$6/100),2)</f>
        <v>46.21</v>
      </c>
      <c r="J316" s="8">
        <v>12.8</v>
      </c>
      <c r="K316" s="3" t="inlineStr">
        <is>
          <t xml:space="preserve">TRUE</t>
        </is>
      </c>
      <c r="L316" s="3" t="inlineStr">
        <is>
          <t xml:space="preserve">VIP20</t>
        </is>
      </c>
    </row>
    <row r="317">
      <c r="A317" s="3" t="inlineStr">
        <is>
          <t xml:space="preserve">#1226</t>
        </is>
      </c>
      <c r="B317" s="3" t="inlineStr">
        <is>
          <t xml:space="preserve">2026-01-01</t>
        </is>
      </c>
      <c r="C317" s="3" t="inlineStr">
        <is>
          <t xml:space="preserve">SKU-E</t>
        </is>
      </c>
      <c r="D317" s="3" t="inlineStr">
        <is>
          <t xml:space="preserve">Complete Ritual</t>
        </is>
      </c>
      <c r="E317" s="6">
        <f>IF('Settings'!$B$11="Scenario",IFERROR(INDEX('Catalogue'!$E$3:$E$100,MATCH(C317,'Catalogue'!$B$3:$B$100,0)),F317),F317)</f>
        <v>89</v>
      </c>
      <c r="F317" s="8">
        <v>89</v>
      </c>
      <c r="G317" s="3">
        <v>1</v>
      </c>
      <c r="H317" s="6">
        <f>IF('Settings'!$B$11="Scenario",ROUND(E317*G317*IFERROR(SUMIF('Pricing &amp; promotions'!$A$6:$A$8,L317,'Pricing &amp; promotions'!$B$6:$B$8)/100,0),2),J317)</f>
        <v>8.9</v>
      </c>
      <c r="I317" s="6">
        <f>ROUND((E317*G317-H317)/(1+'Settings'!$B$6/100),2)</f>
        <v>66.2</v>
      </c>
      <c r="J317" s="8">
        <v>8.9</v>
      </c>
      <c r="K317" s="3" t="inlineStr">
        <is>
          <t xml:space="preserve">TRUE</t>
        </is>
      </c>
      <c r="L317" s="3" t="inlineStr">
        <is>
          <t xml:space="preserve">WELCOME10</t>
        </is>
      </c>
    </row>
    <row r="318">
      <c r="A318" s="3" t="inlineStr">
        <is>
          <t xml:space="preserve">#1227</t>
        </is>
      </c>
      <c r="B318" s="3" t="inlineStr">
        <is>
          <t xml:space="preserve">2026-01-02</t>
        </is>
      </c>
      <c r="C318" s="3" t="inlineStr">
        <is>
          <t xml:space="preserve">SKU-C</t>
        </is>
      </c>
      <c r="D318" s="3" t="inlineStr">
        <is>
          <t xml:space="preserve">Contour Stone</t>
        </is>
      </c>
      <c r="E318" s="6">
        <f>IF('Settings'!$B$11="Scenario",IFERROR(INDEX('Catalogue'!$E$3:$E$100,MATCH(C318,'Catalogue'!$B$3:$B$100,0)),F318),F318)</f>
        <v>29</v>
      </c>
      <c r="F318" s="8">
        <v>29</v>
      </c>
      <c r="G318" s="3">
        <v>1</v>
      </c>
      <c r="H318" s="6">
        <f>IF('Settings'!$B$11="Scenario",ROUND(E318*G318*IFERROR(SUMIF('Pricing &amp; promotions'!$A$6:$A$8,L318,'Pricing &amp; promotions'!$B$6:$B$8)/100,0),2),J318)</f>
        <v>0.0</v>
      </c>
      <c r="I318" s="6">
        <f>ROUND((E318*G318-H318)/(1+'Settings'!$B$6/100),2)</f>
        <v>23.97</v>
      </c>
      <c r="J318" s="8">
        <v>0.0</v>
      </c>
      <c r="K318" s="3" t="inlineStr">
        <is>
          <t xml:space="preserve">TRUE</t>
        </is>
      </c>
      <c r="L318" s="3"/>
    </row>
    <row r="319">
      <c r="A319" s="3" t="inlineStr">
        <is>
          <t xml:space="preserve">#1228</t>
        </is>
      </c>
      <c r="B319" s="3" t="inlineStr">
        <is>
          <t xml:space="preserve">2026-01-02</t>
        </is>
      </c>
      <c r="C319" s="3" t="inlineStr">
        <is>
          <t xml:space="preserve">SKU-D</t>
        </is>
      </c>
      <c r="D319" s="3" t="inlineStr">
        <is>
          <t xml:space="preserve">Daily Duo</t>
        </is>
      </c>
      <c r="E319" s="6">
        <f>IF('Settings'!$B$11="Scenario",IFERROR(INDEX('Catalogue'!$E$3:$E$100,MATCH(C319,'Catalogue'!$B$3:$B$100,0)),F319),F319)</f>
        <v>79</v>
      </c>
      <c r="F319" s="8">
        <v>79</v>
      </c>
      <c r="G319" s="3">
        <v>1</v>
      </c>
      <c r="H319" s="6">
        <f>IF('Settings'!$B$11="Scenario",ROUND(E319*G319*IFERROR(SUMIF('Pricing &amp; promotions'!$A$6:$A$8,L319,'Pricing &amp; promotions'!$B$6:$B$8)/100,0),2),J319)</f>
        <v>7.9</v>
      </c>
      <c r="I319" s="6">
        <f>ROUND((E319*G319-H319)/(1+'Settings'!$B$6/100),2)</f>
        <v>58.76</v>
      </c>
      <c r="J319" s="8">
        <v>7.9</v>
      </c>
      <c r="K319" s="3" t="inlineStr">
        <is>
          <t xml:space="preserve">TRUE</t>
        </is>
      </c>
      <c r="L319" s="3" t="inlineStr">
        <is>
          <t xml:space="preserve">WELCOME10</t>
        </is>
      </c>
    </row>
    <row r="320">
      <c r="A320" s="3" t="inlineStr">
        <is>
          <t xml:space="preserve">#1229</t>
        </is>
      </c>
      <c r="B320" s="3" t="inlineStr">
        <is>
          <t xml:space="preserve">2026-01-03</t>
        </is>
      </c>
      <c r="C320" s="3" t="inlineStr">
        <is>
          <t xml:space="preserve">SKU-C</t>
        </is>
      </c>
      <c r="D320" s="3" t="inlineStr">
        <is>
          <t xml:space="preserve">Contour Stone</t>
        </is>
      </c>
      <c r="E320" s="6">
        <f>IF('Settings'!$B$11="Scenario",IFERROR(INDEX('Catalogue'!$E$3:$E$100,MATCH(C320,'Catalogue'!$B$3:$B$100,0)),F320),F320)</f>
        <v>29</v>
      </c>
      <c r="F320" s="8">
        <v>29</v>
      </c>
      <c r="G320" s="3">
        <v>1</v>
      </c>
      <c r="H320" s="6">
        <f>IF('Settings'!$B$11="Scenario",ROUND(E320*G320*IFERROR(SUMIF('Pricing &amp; promotions'!$A$6:$A$8,L320,'Pricing &amp; promotions'!$B$6:$B$8)/100,0),2),J320)</f>
        <v>2.9</v>
      </c>
      <c r="I320" s="6">
        <f>ROUND((E320*G320-H320)/(1+'Settings'!$B$6/100),2)</f>
        <v>21.57</v>
      </c>
      <c r="J320" s="8">
        <v>2.9</v>
      </c>
      <c r="K320" s="3" t="inlineStr">
        <is>
          <t xml:space="preserve">TRUE</t>
        </is>
      </c>
      <c r="L320" s="3" t="inlineStr">
        <is>
          <t xml:space="preserve">WELCOME10</t>
        </is>
      </c>
    </row>
    <row r="321">
      <c r="A321" s="3" t="inlineStr">
        <is>
          <t xml:space="preserve">#1229</t>
        </is>
      </c>
      <c r="B321" s="3" t="inlineStr">
        <is>
          <t xml:space="preserve">2026-01-03</t>
        </is>
      </c>
      <c r="C321" s="3" t="inlineStr">
        <is>
          <t xml:space="preserve">SKU-A</t>
        </is>
      </c>
      <c r="D321" s="3" t="inlineStr">
        <is>
          <t xml:space="preserve">Renewal Serum</t>
        </is>
      </c>
      <c r="E321" s="6">
        <f>IF('Settings'!$B$11="Scenario",IFERROR(INDEX('Catalogue'!$E$3:$E$100,MATCH(C321,'Catalogue'!$B$3:$B$100,0)),F321),F321)</f>
        <v>69.9</v>
      </c>
      <c r="F321" s="8">
        <v>69.9</v>
      </c>
      <c r="G321" s="3">
        <v>1</v>
      </c>
      <c r="H321" s="6">
        <f>IF('Settings'!$B$11="Scenario",ROUND(E321*G321*IFERROR(SUMIF('Pricing &amp; promotions'!$A$6:$A$8,L321,'Pricing &amp; promotions'!$B$6:$B$8)/100,0),2),J321)</f>
        <v>6.99</v>
      </c>
      <c r="I321" s="6">
        <f>ROUND((E321*G321-H321)/(1+'Settings'!$B$6/100),2)</f>
        <v>51.99</v>
      </c>
      <c r="J321" s="8">
        <v>6.99</v>
      </c>
      <c r="K321" s="3" t="inlineStr">
        <is>
          <t xml:space="preserve">TRUE</t>
        </is>
      </c>
      <c r="L321" s="3" t="inlineStr">
        <is>
          <t xml:space="preserve">WELCOME10</t>
        </is>
      </c>
    </row>
    <row r="322">
      <c r="A322" s="3" t="inlineStr">
        <is>
          <t xml:space="preserve">#1230</t>
        </is>
      </c>
      <c r="B322" s="3" t="inlineStr">
        <is>
          <t xml:space="preserve">2026-01-04</t>
        </is>
      </c>
      <c r="C322" s="3" t="inlineStr">
        <is>
          <t xml:space="preserve">SKU-A</t>
        </is>
      </c>
      <c r="D322" s="3" t="inlineStr">
        <is>
          <t xml:space="preserve">Renewal Serum</t>
        </is>
      </c>
      <c r="E322" s="6">
        <f>IF('Settings'!$B$11="Scenario",IFERROR(INDEX('Catalogue'!$E$3:$E$100,MATCH(C322,'Catalogue'!$B$3:$B$100,0)),F322),F322)</f>
        <v>69.9</v>
      </c>
      <c r="F322" s="8">
        <v>69.9</v>
      </c>
      <c r="G322" s="3">
        <v>1</v>
      </c>
      <c r="H322" s="6">
        <f>IF('Settings'!$B$11="Scenario",ROUND(E322*G322*IFERROR(SUMIF('Pricing &amp; promotions'!$A$6:$A$8,L322,'Pricing &amp; promotions'!$B$6:$B$8)/100,0),2),J322)</f>
        <v>0.0</v>
      </c>
      <c r="I322" s="6">
        <f>ROUND((E322*G322-H322)/(1+'Settings'!$B$6/100),2)</f>
        <v>57.77</v>
      </c>
      <c r="J322" s="8">
        <v>0.0</v>
      </c>
      <c r="K322" s="3" t="inlineStr">
        <is>
          <t xml:space="preserve">TRUE</t>
        </is>
      </c>
      <c r="L322" s="3"/>
    </row>
    <row r="323">
      <c r="A323" s="3" t="inlineStr">
        <is>
          <t xml:space="preserve">#1231</t>
        </is>
      </c>
      <c r="B323" s="3" t="inlineStr">
        <is>
          <t xml:space="preserve">2026-01-04</t>
        </is>
      </c>
      <c r="C323" s="3" t="inlineStr">
        <is>
          <t xml:space="preserve">SKU-E</t>
        </is>
      </c>
      <c r="D323" s="3" t="inlineStr">
        <is>
          <t xml:space="preserve">Complete Ritual</t>
        </is>
      </c>
      <c r="E323" s="6">
        <f>IF('Settings'!$B$11="Scenario",IFERROR(INDEX('Catalogue'!$E$3:$E$100,MATCH(C323,'Catalogue'!$B$3:$B$100,0)),F323),F323)</f>
        <v>89</v>
      </c>
      <c r="F323" s="8">
        <v>89</v>
      </c>
      <c r="G323" s="3">
        <v>1</v>
      </c>
      <c r="H323" s="6">
        <f>IF('Settings'!$B$11="Scenario",ROUND(E323*G323*IFERROR(SUMIF('Pricing &amp; promotions'!$A$6:$A$8,L323,'Pricing &amp; promotions'!$B$6:$B$8)/100,0),2),J323)</f>
        <v>8.9</v>
      </c>
      <c r="I323" s="6">
        <f>ROUND((E323*G323-H323)/(1+'Settings'!$B$6/100),2)</f>
        <v>66.2</v>
      </c>
      <c r="J323" s="8">
        <v>8.9</v>
      </c>
      <c r="K323" s="3" t="inlineStr">
        <is>
          <t xml:space="preserve">TRUE</t>
        </is>
      </c>
      <c r="L323" s="3" t="inlineStr">
        <is>
          <t xml:space="preserve">WELCOME10</t>
        </is>
      </c>
    </row>
    <row r="324">
      <c r="A324" s="3" t="inlineStr">
        <is>
          <t xml:space="preserve">#1232</t>
        </is>
      </c>
      <c r="B324" s="3" t="inlineStr">
        <is>
          <t xml:space="preserve">2026-01-05</t>
        </is>
      </c>
      <c r="C324" s="3" t="inlineStr">
        <is>
          <t xml:space="preserve">SKU-E</t>
        </is>
      </c>
      <c r="D324" s="3" t="inlineStr">
        <is>
          <t xml:space="preserve">Complete Ritual</t>
        </is>
      </c>
      <c r="E324" s="6">
        <f>IF('Settings'!$B$11="Scenario",IFERROR(INDEX('Catalogue'!$E$3:$E$100,MATCH(C324,'Catalogue'!$B$3:$B$100,0)),F324),F324)</f>
        <v>89</v>
      </c>
      <c r="F324" s="8">
        <v>89</v>
      </c>
      <c r="G324" s="3">
        <v>1</v>
      </c>
      <c r="H324" s="6">
        <f>IF('Settings'!$B$11="Scenario",ROUND(E324*G324*IFERROR(SUMIF('Pricing &amp; promotions'!$A$6:$A$8,L324,'Pricing &amp; promotions'!$B$6:$B$8)/100,0),2),J324)</f>
        <v>0.0</v>
      </c>
      <c r="I324" s="6">
        <f>ROUND((E324*G324-H324)/(1+'Settings'!$B$6/100),2)</f>
        <v>73.55</v>
      </c>
      <c r="J324" s="8">
        <v>0.0</v>
      </c>
      <c r="K324" s="3" t="inlineStr">
        <is>
          <t xml:space="preserve">TRUE</t>
        </is>
      </c>
      <c r="L324" s="3"/>
    </row>
    <row r="325">
      <c r="A325" s="3" t="inlineStr">
        <is>
          <t xml:space="preserve">#1233</t>
        </is>
      </c>
      <c r="B325" s="3" t="inlineStr">
        <is>
          <t xml:space="preserve">2026-01-06</t>
        </is>
      </c>
      <c r="C325" s="3" t="inlineStr">
        <is>
          <t xml:space="preserve">SKU-D</t>
        </is>
      </c>
      <c r="D325" s="3" t="inlineStr">
        <is>
          <t xml:space="preserve">Daily Duo</t>
        </is>
      </c>
      <c r="E325" s="6">
        <f>IF('Settings'!$B$11="Scenario",IFERROR(INDEX('Catalogue'!$E$3:$E$100,MATCH(C325,'Catalogue'!$B$3:$B$100,0)),F325),F325)</f>
        <v>79</v>
      </c>
      <c r="F325" s="8">
        <v>79</v>
      </c>
      <c r="G325" s="3">
        <v>1</v>
      </c>
      <c r="H325" s="6">
        <f>IF('Settings'!$B$11="Scenario",ROUND(E325*G325*IFERROR(SUMIF('Pricing &amp; promotions'!$A$6:$A$8,L325,'Pricing &amp; promotions'!$B$6:$B$8)/100,0),2),J325)</f>
        <v>0.0</v>
      </c>
      <c r="I325" s="6">
        <f>ROUND((E325*G325-H325)/(1+'Settings'!$B$6/100),2)</f>
        <v>65.29</v>
      </c>
      <c r="J325" s="8">
        <v>0.0</v>
      </c>
      <c r="K325" s="3" t="inlineStr">
        <is>
          <t xml:space="preserve">TRUE</t>
        </is>
      </c>
      <c r="L325" s="3"/>
    </row>
    <row r="326">
      <c r="A326" s="3" t="inlineStr">
        <is>
          <t xml:space="preserve">#1234</t>
        </is>
      </c>
      <c r="B326" s="3" t="inlineStr">
        <is>
          <t xml:space="preserve">2026-01-06</t>
        </is>
      </c>
      <c r="C326" s="3" t="inlineStr">
        <is>
          <t xml:space="preserve">SKU-G</t>
        </is>
      </c>
      <c r="D326" s="3" t="inlineStr">
        <is>
          <t xml:space="preserve">Daily Reset Set</t>
        </is>
      </c>
      <c r="E326" s="6">
        <f>IF('Settings'!$B$11="Scenario",IFERROR(INDEX('Catalogue'!$E$3:$E$100,MATCH(C326,'Catalogue'!$B$3:$B$100,0)),F326),F326)</f>
        <v>69</v>
      </c>
      <c r="F326" s="8">
        <v>69</v>
      </c>
      <c r="G326" s="3">
        <v>1</v>
      </c>
      <c r="H326" s="6">
        <f>IF('Settings'!$B$11="Scenario",ROUND(E326*G326*IFERROR(SUMIF('Pricing &amp; promotions'!$A$6:$A$8,L326,'Pricing &amp; promotions'!$B$6:$B$8)/100,0),2),J326)</f>
        <v>0.0</v>
      </c>
      <c r="I326" s="6">
        <f>ROUND((E326*G326-H326)/(1+'Settings'!$B$6/100),2)</f>
        <v>57.02</v>
      </c>
      <c r="J326" s="8">
        <v>0.0</v>
      </c>
      <c r="K326" s="3" t="inlineStr">
        <is>
          <t xml:space="preserve">TRUE</t>
        </is>
      </c>
      <c r="L326" s="3"/>
    </row>
    <row r="327">
      <c r="A327" s="3" t="inlineStr">
        <is>
          <t xml:space="preserve">#1234</t>
        </is>
      </c>
      <c r="B327" s="3" t="inlineStr">
        <is>
          <t xml:space="preserve">2026-01-06</t>
        </is>
      </c>
      <c r="C327" s="3" t="inlineStr">
        <is>
          <t xml:space="preserve">SKU-F</t>
        </is>
      </c>
      <c r="D327" s="3" t="inlineStr">
        <is>
          <t xml:space="preserve">Cloud Cleanser</t>
        </is>
      </c>
      <c r="E327" s="6">
        <f>IF('Settings'!$B$11="Scenario",IFERROR(INDEX('Catalogue'!$E$3:$E$100,MATCH(C327,'Catalogue'!$B$3:$B$100,0)),F327),F327)</f>
        <v>34</v>
      </c>
      <c r="F327" s="8">
        <v>34</v>
      </c>
      <c r="G327" s="3">
        <v>1</v>
      </c>
      <c r="H327" s="6">
        <f>IF('Settings'!$B$11="Scenario",ROUND(E327*G327*IFERROR(SUMIF('Pricing &amp; promotions'!$A$6:$A$8,L327,'Pricing &amp; promotions'!$B$6:$B$8)/100,0),2),J327)</f>
        <v>0.0</v>
      </c>
      <c r="I327" s="6">
        <f>ROUND((E327*G327-H327)/(1+'Settings'!$B$6/100),2)</f>
        <v>28.1</v>
      </c>
      <c r="J327" s="8">
        <v>0.0</v>
      </c>
      <c r="K327" s="3" t="inlineStr">
        <is>
          <t xml:space="preserve">TRUE</t>
        </is>
      </c>
      <c r="L327" s="3"/>
    </row>
    <row r="328">
      <c r="A328" s="3" t="inlineStr">
        <is>
          <t xml:space="preserve">#1235</t>
        </is>
      </c>
      <c r="B328" s="3" t="inlineStr">
        <is>
          <t xml:space="preserve">2026-01-06</t>
        </is>
      </c>
      <c r="C328" s="3" t="inlineStr">
        <is>
          <t xml:space="preserve">SKU-E</t>
        </is>
      </c>
      <c r="D328" s="3" t="inlineStr">
        <is>
          <t xml:space="preserve">Complete Ritual</t>
        </is>
      </c>
      <c r="E328" s="6">
        <f>IF('Settings'!$B$11="Scenario",IFERROR(INDEX('Catalogue'!$E$3:$E$100,MATCH(C328,'Catalogue'!$B$3:$B$100,0)),F328),F328)</f>
        <v>89</v>
      </c>
      <c r="F328" s="8">
        <v>89</v>
      </c>
      <c r="G328" s="3">
        <v>1</v>
      </c>
      <c r="H328" s="6">
        <f>IF('Settings'!$B$11="Scenario",ROUND(E328*G328*IFERROR(SUMIF('Pricing &amp; promotions'!$A$6:$A$8,L328,'Pricing &amp; promotions'!$B$6:$B$8)/100,0),2),J328)</f>
        <v>8.9</v>
      </c>
      <c r="I328" s="6">
        <f>ROUND((E328*G328-H328)/(1+'Settings'!$B$6/100),2)</f>
        <v>66.2</v>
      </c>
      <c r="J328" s="8">
        <v>8.9</v>
      </c>
      <c r="K328" s="3" t="inlineStr">
        <is>
          <t xml:space="preserve">TRUE</t>
        </is>
      </c>
      <c r="L328" s="3" t="inlineStr">
        <is>
          <t xml:space="preserve">WELCOME10</t>
        </is>
      </c>
    </row>
    <row r="329">
      <c r="A329" s="3" t="inlineStr">
        <is>
          <t xml:space="preserve">#1236</t>
        </is>
      </c>
      <c r="B329" s="3" t="inlineStr">
        <is>
          <t xml:space="preserve">2026-01-08</t>
        </is>
      </c>
      <c r="C329" s="3" t="inlineStr">
        <is>
          <t xml:space="preserve">SKU-D</t>
        </is>
      </c>
      <c r="D329" s="3" t="inlineStr">
        <is>
          <t xml:space="preserve">Daily Duo</t>
        </is>
      </c>
      <c r="E329" s="6">
        <f>IF('Settings'!$B$11="Scenario",IFERROR(INDEX('Catalogue'!$E$3:$E$100,MATCH(C329,'Catalogue'!$B$3:$B$100,0)),F329),F329)</f>
        <v>79</v>
      </c>
      <c r="F329" s="8">
        <v>79</v>
      </c>
      <c r="G329" s="3">
        <v>1</v>
      </c>
      <c r="H329" s="6">
        <f>IF('Settings'!$B$11="Scenario",ROUND(E329*G329*IFERROR(SUMIF('Pricing &amp; promotions'!$A$6:$A$8,L329,'Pricing &amp; promotions'!$B$6:$B$8)/100,0),2),J329)</f>
        <v>7.9</v>
      </c>
      <c r="I329" s="6">
        <f>ROUND((E329*G329-H329)/(1+'Settings'!$B$6/100),2)</f>
        <v>58.76</v>
      </c>
      <c r="J329" s="8">
        <v>7.9</v>
      </c>
      <c r="K329" s="3" t="inlineStr">
        <is>
          <t xml:space="preserve">TRUE</t>
        </is>
      </c>
      <c r="L329" s="3" t="inlineStr">
        <is>
          <t xml:space="preserve">WELCOME10</t>
        </is>
      </c>
    </row>
    <row r="330">
      <c r="A330" s="3" t="inlineStr">
        <is>
          <t xml:space="preserve">#1237</t>
        </is>
      </c>
      <c r="B330" s="3" t="inlineStr">
        <is>
          <t xml:space="preserve">2026-01-09</t>
        </is>
      </c>
      <c r="C330" s="3" t="inlineStr">
        <is>
          <t xml:space="preserve">SKU-A</t>
        </is>
      </c>
      <c r="D330" s="3" t="inlineStr">
        <is>
          <t xml:space="preserve">Renewal Serum</t>
        </is>
      </c>
      <c r="E330" s="6">
        <f>IF('Settings'!$B$11="Scenario",IFERROR(INDEX('Catalogue'!$E$3:$E$100,MATCH(C330,'Catalogue'!$B$3:$B$100,0)),F330),F330)</f>
        <v>69.9</v>
      </c>
      <c r="F330" s="8">
        <v>69.9</v>
      </c>
      <c r="G330" s="3">
        <v>1</v>
      </c>
      <c r="H330" s="6">
        <f>IF('Settings'!$B$11="Scenario",ROUND(E330*G330*IFERROR(SUMIF('Pricing &amp; promotions'!$A$6:$A$8,L330,'Pricing &amp; promotions'!$B$6:$B$8)/100,0),2),J330)</f>
        <v>10.49</v>
      </c>
      <c r="I330" s="6">
        <f>ROUND((E330*G330-H330)/(1+'Settings'!$B$6/100),2)</f>
        <v>49.1</v>
      </c>
      <c r="J330" s="8">
        <v>10.49</v>
      </c>
      <c r="K330" s="3" t="inlineStr">
        <is>
          <t xml:space="preserve">TRUE</t>
        </is>
      </c>
      <c r="L330" s="3" t="inlineStr">
        <is>
          <t xml:space="preserve">SUMMER15</t>
        </is>
      </c>
    </row>
    <row r="331">
      <c r="A331" s="3" t="inlineStr">
        <is>
          <t xml:space="preserve">#1238</t>
        </is>
      </c>
      <c r="B331" s="3" t="inlineStr">
        <is>
          <t xml:space="preserve">2026-01-11</t>
        </is>
      </c>
      <c r="C331" s="3" t="inlineStr">
        <is>
          <t xml:space="preserve">SKU-A</t>
        </is>
      </c>
      <c r="D331" s="3" t="inlineStr">
        <is>
          <t xml:space="preserve">Renewal Serum</t>
        </is>
      </c>
      <c r="E331" s="6">
        <f>IF('Settings'!$B$11="Scenario",IFERROR(INDEX('Catalogue'!$E$3:$E$100,MATCH(C331,'Catalogue'!$B$3:$B$100,0)),F331),F331)</f>
        <v>69.9</v>
      </c>
      <c r="F331" s="8">
        <v>69.9</v>
      </c>
      <c r="G331" s="3">
        <v>2</v>
      </c>
      <c r="H331" s="6">
        <f>IF('Settings'!$B$11="Scenario",ROUND(E331*G331*IFERROR(SUMIF('Pricing &amp; promotions'!$A$6:$A$8,L331,'Pricing &amp; promotions'!$B$6:$B$8)/100,0),2),J331)</f>
        <v>0.0</v>
      </c>
      <c r="I331" s="6">
        <f>ROUND((E331*G331-H331)/(1+'Settings'!$B$6/100),2)</f>
        <v>115.54</v>
      </c>
      <c r="J331" s="8">
        <v>0.0</v>
      </c>
      <c r="K331" s="3" t="inlineStr">
        <is>
          <t xml:space="preserve">TRUE</t>
        </is>
      </c>
      <c r="L331" s="3"/>
    </row>
    <row r="332">
      <c r="A332" s="3" t="inlineStr">
        <is>
          <t xml:space="preserve">#1239</t>
        </is>
      </c>
      <c r="B332" s="3" t="inlineStr">
        <is>
          <t xml:space="preserve">2026-01-11</t>
        </is>
      </c>
      <c r="C332" s="3" t="inlineStr">
        <is>
          <t xml:space="preserve">SKU-A</t>
        </is>
      </c>
      <c r="D332" s="3" t="inlineStr">
        <is>
          <t xml:space="preserve">Renewal Serum</t>
        </is>
      </c>
      <c r="E332" s="6">
        <f>IF('Settings'!$B$11="Scenario",IFERROR(INDEX('Catalogue'!$E$3:$E$100,MATCH(C332,'Catalogue'!$B$3:$B$100,0)),F332),F332)</f>
        <v>69.9</v>
      </c>
      <c r="F332" s="8">
        <v>69.9</v>
      </c>
      <c r="G332" s="3">
        <v>1</v>
      </c>
      <c r="H332" s="6">
        <f>IF('Settings'!$B$11="Scenario",ROUND(E332*G332*IFERROR(SUMIF('Pricing &amp; promotions'!$A$6:$A$8,L332,'Pricing &amp; promotions'!$B$6:$B$8)/100,0),2),J332)</f>
        <v>0.0</v>
      </c>
      <c r="I332" s="6">
        <f>ROUND((E332*G332-H332)/(1+'Settings'!$B$6/100),2)</f>
        <v>57.77</v>
      </c>
      <c r="J332" s="8">
        <v>0.0</v>
      </c>
      <c r="K332" s="3" t="inlineStr">
        <is>
          <t xml:space="preserve">TRUE</t>
        </is>
      </c>
      <c r="L332" s="3"/>
    </row>
    <row r="333">
      <c r="A333" s="3" t="inlineStr">
        <is>
          <t xml:space="preserve">#1240</t>
        </is>
      </c>
      <c r="B333" s="3" t="inlineStr">
        <is>
          <t xml:space="preserve">2026-01-13</t>
        </is>
      </c>
      <c r="C333" s="3" t="inlineStr">
        <is>
          <t xml:space="preserve">SKU-G</t>
        </is>
      </c>
      <c r="D333" s="3" t="inlineStr">
        <is>
          <t xml:space="preserve">Daily Reset Set</t>
        </is>
      </c>
      <c r="E333" s="6">
        <f>IF('Settings'!$B$11="Scenario",IFERROR(INDEX('Catalogue'!$E$3:$E$100,MATCH(C333,'Catalogue'!$B$3:$B$100,0)),F333),F333)</f>
        <v>69</v>
      </c>
      <c r="F333" s="8">
        <v>69</v>
      </c>
      <c r="G333" s="3">
        <v>1</v>
      </c>
      <c r="H333" s="6">
        <f>IF('Settings'!$B$11="Scenario",ROUND(E333*G333*IFERROR(SUMIF('Pricing &amp; promotions'!$A$6:$A$8,L333,'Pricing &amp; promotions'!$B$6:$B$8)/100,0),2),J333)</f>
        <v>6.9</v>
      </c>
      <c r="I333" s="6">
        <f>ROUND((E333*G333-H333)/(1+'Settings'!$B$6/100),2)</f>
        <v>51.32</v>
      </c>
      <c r="J333" s="8">
        <v>6.9</v>
      </c>
      <c r="K333" s="3" t="inlineStr">
        <is>
          <t xml:space="preserve">TRUE</t>
        </is>
      </c>
      <c r="L333" s="3" t="inlineStr">
        <is>
          <t xml:space="preserve">WELCOME10</t>
        </is>
      </c>
    </row>
    <row r="334">
      <c r="A334" s="3" t="inlineStr">
        <is>
          <t xml:space="preserve">#1241</t>
        </is>
      </c>
      <c r="B334" s="3" t="inlineStr">
        <is>
          <t xml:space="preserve">2026-01-13</t>
        </is>
      </c>
      <c r="C334" s="3" t="inlineStr">
        <is>
          <t xml:space="preserve">SKU-E</t>
        </is>
      </c>
      <c r="D334" s="3" t="inlineStr">
        <is>
          <t xml:space="preserve">Complete Ritual</t>
        </is>
      </c>
      <c r="E334" s="6">
        <f>IF('Settings'!$B$11="Scenario",IFERROR(INDEX('Catalogue'!$E$3:$E$100,MATCH(C334,'Catalogue'!$B$3:$B$100,0)),F334),F334)</f>
        <v>89</v>
      </c>
      <c r="F334" s="8">
        <v>89</v>
      </c>
      <c r="G334" s="3">
        <v>1</v>
      </c>
      <c r="H334" s="6">
        <f>IF('Settings'!$B$11="Scenario",ROUND(E334*G334*IFERROR(SUMIF('Pricing &amp; promotions'!$A$6:$A$8,L334,'Pricing &amp; promotions'!$B$6:$B$8)/100,0),2),J334)</f>
        <v>0.0</v>
      </c>
      <c r="I334" s="6">
        <f>ROUND((E334*G334-H334)/(1+'Settings'!$B$6/100),2)</f>
        <v>73.55</v>
      </c>
      <c r="J334" s="8">
        <v>0.0</v>
      </c>
      <c r="K334" s="3" t="inlineStr">
        <is>
          <t xml:space="preserve">TRUE</t>
        </is>
      </c>
      <c r="L334" s="3"/>
    </row>
    <row r="335">
      <c r="A335" s="3" t="inlineStr">
        <is>
          <t xml:space="preserve">#1241</t>
        </is>
      </c>
      <c r="B335" s="3" t="inlineStr">
        <is>
          <t xml:space="preserve">2026-01-13</t>
        </is>
      </c>
      <c r="C335" s="3" t="inlineStr">
        <is>
          <t xml:space="preserve">SKU-D</t>
        </is>
      </c>
      <c r="D335" s="3" t="inlineStr">
        <is>
          <t xml:space="preserve">Daily Duo</t>
        </is>
      </c>
      <c r="E335" s="6">
        <f>IF('Settings'!$B$11="Scenario",IFERROR(INDEX('Catalogue'!$E$3:$E$100,MATCH(C335,'Catalogue'!$B$3:$B$100,0)),F335),F335)</f>
        <v>79</v>
      </c>
      <c r="F335" s="8">
        <v>79</v>
      </c>
      <c r="G335" s="3">
        <v>1</v>
      </c>
      <c r="H335" s="6">
        <f>IF('Settings'!$B$11="Scenario",ROUND(E335*G335*IFERROR(SUMIF('Pricing &amp; promotions'!$A$6:$A$8,L335,'Pricing &amp; promotions'!$B$6:$B$8)/100,0),2),J335)</f>
        <v>0.0</v>
      </c>
      <c r="I335" s="6">
        <f>ROUND((E335*G335-H335)/(1+'Settings'!$B$6/100),2)</f>
        <v>65.29</v>
      </c>
      <c r="J335" s="8">
        <v>0.0</v>
      </c>
      <c r="K335" s="3" t="inlineStr">
        <is>
          <t xml:space="preserve">TRUE</t>
        </is>
      </c>
      <c r="L335" s="3"/>
    </row>
    <row r="336">
      <c r="A336" s="3" t="inlineStr">
        <is>
          <t xml:space="preserve">#1241</t>
        </is>
      </c>
      <c r="B336" s="3" t="inlineStr">
        <is>
          <t xml:space="preserve">2026-01-13</t>
        </is>
      </c>
      <c r="C336" s="3" t="inlineStr">
        <is>
          <t xml:space="preserve">SKU-G</t>
        </is>
      </c>
      <c r="D336" s="3" t="inlineStr">
        <is>
          <t xml:space="preserve">Daily Reset Set</t>
        </is>
      </c>
      <c r="E336" s="6">
        <f>IF('Settings'!$B$11="Scenario",IFERROR(INDEX('Catalogue'!$E$3:$E$100,MATCH(C336,'Catalogue'!$B$3:$B$100,0)),F336),F336)</f>
        <v>69</v>
      </c>
      <c r="F336" s="8">
        <v>69</v>
      </c>
      <c r="G336" s="3">
        <v>1</v>
      </c>
      <c r="H336" s="6">
        <f>IF('Settings'!$B$11="Scenario",ROUND(E336*G336*IFERROR(SUMIF('Pricing &amp; promotions'!$A$6:$A$8,L336,'Pricing &amp; promotions'!$B$6:$B$8)/100,0),2),J336)</f>
        <v>0.0</v>
      </c>
      <c r="I336" s="6">
        <f>ROUND((E336*G336-H336)/(1+'Settings'!$B$6/100),2)</f>
        <v>57.02</v>
      </c>
      <c r="J336" s="8">
        <v>0.0</v>
      </c>
      <c r="K336" s="3" t="inlineStr">
        <is>
          <t xml:space="preserve">TRUE</t>
        </is>
      </c>
      <c r="L336" s="3"/>
    </row>
    <row r="337">
      <c r="A337" s="3" t="inlineStr">
        <is>
          <t xml:space="preserve">#1242</t>
        </is>
      </c>
      <c r="B337" s="3" t="inlineStr">
        <is>
          <t xml:space="preserve">2026-01-13</t>
        </is>
      </c>
      <c r="C337" s="3" t="inlineStr">
        <is>
          <t xml:space="preserve">SKU-E</t>
        </is>
      </c>
      <c r="D337" s="3" t="inlineStr">
        <is>
          <t xml:space="preserve">Complete Ritual</t>
        </is>
      </c>
      <c r="E337" s="6">
        <f>IF('Settings'!$B$11="Scenario",IFERROR(INDEX('Catalogue'!$E$3:$E$100,MATCH(C337,'Catalogue'!$B$3:$B$100,0)),F337),F337)</f>
        <v>89</v>
      </c>
      <c r="F337" s="8">
        <v>89</v>
      </c>
      <c r="G337" s="3">
        <v>1</v>
      </c>
      <c r="H337" s="6">
        <f>IF('Settings'!$B$11="Scenario",ROUND(E337*G337*IFERROR(SUMIF('Pricing &amp; promotions'!$A$6:$A$8,L337,'Pricing &amp; promotions'!$B$6:$B$8)/100,0),2),J337)</f>
        <v>8.9</v>
      </c>
      <c r="I337" s="6">
        <f>ROUND((E337*G337-H337)/(1+'Settings'!$B$6/100),2)</f>
        <v>66.2</v>
      </c>
      <c r="J337" s="8">
        <v>8.9</v>
      </c>
      <c r="K337" s="3" t="inlineStr">
        <is>
          <t xml:space="preserve">TRUE</t>
        </is>
      </c>
      <c r="L337" s="3" t="inlineStr">
        <is>
          <t xml:space="preserve">WELCOME10</t>
        </is>
      </c>
    </row>
    <row r="338">
      <c r="A338" s="3" t="inlineStr">
        <is>
          <t xml:space="preserve">#1243</t>
        </is>
      </c>
      <c r="B338" s="3" t="inlineStr">
        <is>
          <t xml:space="preserve">2026-01-16</t>
        </is>
      </c>
      <c r="C338" s="3" t="inlineStr">
        <is>
          <t xml:space="preserve">SKU-E</t>
        </is>
      </c>
      <c r="D338" s="3" t="inlineStr">
        <is>
          <t xml:space="preserve">Complete Ritual</t>
        </is>
      </c>
      <c r="E338" s="6">
        <f>IF('Settings'!$B$11="Scenario",IFERROR(INDEX('Catalogue'!$E$3:$E$100,MATCH(C338,'Catalogue'!$B$3:$B$100,0)),F338),F338)</f>
        <v>89</v>
      </c>
      <c r="F338" s="8">
        <v>89</v>
      </c>
      <c r="G338" s="3">
        <v>2</v>
      </c>
      <c r="H338" s="6">
        <f>IF('Settings'!$B$11="Scenario",ROUND(E338*G338*IFERROR(SUMIF('Pricing &amp; promotions'!$A$6:$A$8,L338,'Pricing &amp; promotions'!$B$6:$B$8)/100,0),2),J338)</f>
        <v>0.0</v>
      </c>
      <c r="I338" s="6">
        <f>ROUND((E338*G338-H338)/(1+'Settings'!$B$6/100),2)</f>
        <v>147.11</v>
      </c>
      <c r="J338" s="8">
        <v>0.0</v>
      </c>
      <c r="K338" s="3" t="inlineStr">
        <is>
          <t xml:space="preserve">TRUE</t>
        </is>
      </c>
      <c r="L338" s="3"/>
    </row>
    <row r="339">
      <c r="A339" s="3" t="inlineStr">
        <is>
          <t xml:space="preserve">#1243</t>
        </is>
      </c>
      <c r="B339" s="3" t="inlineStr">
        <is>
          <t xml:space="preserve">2026-01-16</t>
        </is>
      </c>
      <c r="C339" s="3" t="inlineStr">
        <is>
          <t xml:space="preserve">SKU-D</t>
        </is>
      </c>
      <c r="D339" s="3" t="inlineStr">
        <is>
          <t xml:space="preserve">Daily Duo</t>
        </is>
      </c>
      <c r="E339" s="6">
        <f>IF('Settings'!$B$11="Scenario",IFERROR(INDEX('Catalogue'!$E$3:$E$100,MATCH(C339,'Catalogue'!$B$3:$B$100,0)),F339),F339)</f>
        <v>79</v>
      </c>
      <c r="F339" s="8">
        <v>79</v>
      </c>
      <c r="G339" s="3">
        <v>1</v>
      </c>
      <c r="H339" s="6">
        <f>IF('Settings'!$B$11="Scenario",ROUND(E339*G339*IFERROR(SUMIF('Pricing &amp; promotions'!$A$6:$A$8,L339,'Pricing &amp; promotions'!$B$6:$B$8)/100,0),2),J339)</f>
        <v>0.0</v>
      </c>
      <c r="I339" s="6">
        <f>ROUND((E339*G339-H339)/(1+'Settings'!$B$6/100),2)</f>
        <v>65.29</v>
      </c>
      <c r="J339" s="8">
        <v>0.0</v>
      </c>
      <c r="K339" s="3" t="inlineStr">
        <is>
          <t xml:space="preserve">TRUE</t>
        </is>
      </c>
      <c r="L339" s="3"/>
    </row>
    <row r="340">
      <c r="A340" s="3" t="inlineStr">
        <is>
          <t xml:space="preserve">#1244</t>
        </is>
      </c>
      <c r="B340" s="3" t="inlineStr">
        <is>
          <t xml:space="preserve">2026-01-16</t>
        </is>
      </c>
      <c r="C340" s="3" t="inlineStr">
        <is>
          <t xml:space="preserve">SKU-A</t>
        </is>
      </c>
      <c r="D340" s="3" t="inlineStr">
        <is>
          <t xml:space="preserve">Renewal Serum</t>
        </is>
      </c>
      <c r="E340" s="6">
        <f>IF('Settings'!$B$11="Scenario",IFERROR(INDEX('Catalogue'!$E$3:$E$100,MATCH(C340,'Catalogue'!$B$3:$B$100,0)),F340),F340)</f>
        <v>69.9</v>
      </c>
      <c r="F340" s="8">
        <v>69.9</v>
      </c>
      <c r="G340" s="3">
        <v>1</v>
      </c>
      <c r="H340" s="6">
        <f>IF('Settings'!$B$11="Scenario",ROUND(E340*G340*IFERROR(SUMIF('Pricing &amp; promotions'!$A$6:$A$8,L340,'Pricing &amp; promotions'!$B$6:$B$8)/100,0),2),J340)</f>
        <v>0.0</v>
      </c>
      <c r="I340" s="6">
        <f>ROUND((E340*G340-H340)/(1+'Settings'!$B$6/100),2)</f>
        <v>57.77</v>
      </c>
      <c r="J340" s="8">
        <v>0.0</v>
      </c>
      <c r="K340" s="3" t="inlineStr">
        <is>
          <t xml:space="preserve">TRUE</t>
        </is>
      </c>
      <c r="L340" s="3"/>
    </row>
    <row r="341">
      <c r="A341" s="3" t="inlineStr">
        <is>
          <t xml:space="preserve">#1244</t>
        </is>
      </c>
      <c r="B341" s="3" t="inlineStr">
        <is>
          <t xml:space="preserve">2026-01-16</t>
        </is>
      </c>
      <c r="C341" s="3" t="inlineStr">
        <is>
          <t xml:space="preserve">SKU-G</t>
        </is>
      </c>
      <c r="D341" s="3" t="inlineStr">
        <is>
          <t xml:space="preserve">Daily Reset Set</t>
        </is>
      </c>
      <c r="E341" s="6">
        <f>IF('Settings'!$B$11="Scenario",IFERROR(INDEX('Catalogue'!$E$3:$E$100,MATCH(C341,'Catalogue'!$B$3:$B$100,0)),F341),F341)</f>
        <v>69</v>
      </c>
      <c r="F341" s="8">
        <v>69</v>
      </c>
      <c r="G341" s="3">
        <v>1</v>
      </c>
      <c r="H341" s="6">
        <f>IF('Settings'!$B$11="Scenario",ROUND(E341*G341*IFERROR(SUMIF('Pricing &amp; promotions'!$A$6:$A$8,L341,'Pricing &amp; promotions'!$B$6:$B$8)/100,0),2),J341)</f>
        <v>0.0</v>
      </c>
      <c r="I341" s="6">
        <f>ROUND((E341*G341-H341)/(1+'Settings'!$B$6/100),2)</f>
        <v>57.02</v>
      </c>
      <c r="J341" s="8">
        <v>0.0</v>
      </c>
      <c r="K341" s="3" t="inlineStr">
        <is>
          <t xml:space="preserve">TRUE</t>
        </is>
      </c>
      <c r="L341" s="3"/>
    </row>
    <row r="342">
      <c r="A342" s="3" t="inlineStr">
        <is>
          <t xml:space="preserve">#1245</t>
        </is>
      </c>
      <c r="B342" s="3" t="inlineStr">
        <is>
          <t xml:space="preserve">2026-01-17</t>
        </is>
      </c>
      <c r="C342" s="3" t="inlineStr">
        <is>
          <t xml:space="preserve">SKU-E</t>
        </is>
      </c>
      <c r="D342" s="3" t="inlineStr">
        <is>
          <t xml:space="preserve">Complete Ritual</t>
        </is>
      </c>
      <c r="E342" s="6">
        <f>IF('Settings'!$B$11="Scenario",IFERROR(INDEX('Catalogue'!$E$3:$E$100,MATCH(C342,'Catalogue'!$B$3:$B$100,0)),F342),F342)</f>
        <v>89</v>
      </c>
      <c r="F342" s="8">
        <v>89</v>
      </c>
      <c r="G342" s="3">
        <v>1</v>
      </c>
      <c r="H342" s="6">
        <f>IF('Settings'!$B$11="Scenario",ROUND(E342*G342*IFERROR(SUMIF('Pricing &amp; promotions'!$A$6:$A$8,L342,'Pricing &amp; promotions'!$B$6:$B$8)/100,0),2),J342)</f>
        <v>0.0</v>
      </c>
      <c r="I342" s="6">
        <f>ROUND((E342*G342-H342)/(1+'Settings'!$B$6/100),2)</f>
        <v>73.55</v>
      </c>
      <c r="J342" s="8">
        <v>0.0</v>
      </c>
      <c r="K342" s="3" t="inlineStr">
        <is>
          <t xml:space="preserve">TRUE</t>
        </is>
      </c>
      <c r="L342" s="3"/>
    </row>
    <row r="343">
      <c r="A343" s="3" t="inlineStr">
        <is>
          <t xml:space="preserve">#1246</t>
        </is>
      </c>
      <c r="B343" s="3" t="inlineStr">
        <is>
          <t xml:space="preserve">2026-01-18</t>
        </is>
      </c>
      <c r="C343" s="3" t="inlineStr">
        <is>
          <t xml:space="preserve">SKU-D</t>
        </is>
      </c>
      <c r="D343" s="3" t="inlineStr">
        <is>
          <t xml:space="preserve">Daily Duo</t>
        </is>
      </c>
      <c r="E343" s="6">
        <f>IF('Settings'!$B$11="Scenario",IFERROR(INDEX('Catalogue'!$E$3:$E$100,MATCH(C343,'Catalogue'!$B$3:$B$100,0)),F343),F343)</f>
        <v>79</v>
      </c>
      <c r="F343" s="8">
        <v>79</v>
      </c>
      <c r="G343" s="3">
        <v>2</v>
      </c>
      <c r="H343" s="6">
        <f>IF('Settings'!$B$11="Scenario",ROUND(E343*G343*IFERROR(SUMIF('Pricing &amp; promotions'!$A$6:$A$8,L343,'Pricing &amp; promotions'!$B$6:$B$8)/100,0),2),J343)</f>
        <v>0.0</v>
      </c>
      <c r="I343" s="6">
        <f>ROUND((E343*G343-H343)/(1+'Settings'!$B$6/100),2)</f>
        <v>130.58</v>
      </c>
      <c r="J343" s="8">
        <v>0.0</v>
      </c>
      <c r="K343" s="3" t="inlineStr">
        <is>
          <t xml:space="preserve">TRUE</t>
        </is>
      </c>
      <c r="L343" s="3"/>
    </row>
    <row r="344">
      <c r="A344" s="3" t="inlineStr">
        <is>
          <t xml:space="preserve">#1246</t>
        </is>
      </c>
      <c r="B344" s="3" t="inlineStr">
        <is>
          <t xml:space="preserve">2026-01-18</t>
        </is>
      </c>
      <c r="C344" s="3" t="inlineStr">
        <is>
          <t xml:space="preserve">SKU-E</t>
        </is>
      </c>
      <c r="D344" s="3" t="inlineStr">
        <is>
          <t xml:space="preserve">Complete Ritual</t>
        </is>
      </c>
      <c r="E344" s="6">
        <f>IF('Settings'!$B$11="Scenario",IFERROR(INDEX('Catalogue'!$E$3:$E$100,MATCH(C344,'Catalogue'!$B$3:$B$100,0)),F344),F344)</f>
        <v>89</v>
      </c>
      <c r="F344" s="8">
        <v>89</v>
      </c>
      <c r="G344" s="3">
        <v>1</v>
      </c>
      <c r="H344" s="6">
        <f>IF('Settings'!$B$11="Scenario",ROUND(E344*G344*IFERROR(SUMIF('Pricing &amp; promotions'!$A$6:$A$8,L344,'Pricing &amp; promotions'!$B$6:$B$8)/100,0),2),J344)</f>
        <v>0.0</v>
      </c>
      <c r="I344" s="6">
        <f>ROUND((E344*G344-H344)/(1+'Settings'!$B$6/100),2)</f>
        <v>73.55</v>
      </c>
      <c r="J344" s="8">
        <v>0.0</v>
      </c>
      <c r="K344" s="3" t="inlineStr">
        <is>
          <t xml:space="preserve">TRUE</t>
        </is>
      </c>
      <c r="L344" s="3"/>
    </row>
    <row r="345">
      <c r="A345" s="3" t="inlineStr">
        <is>
          <t xml:space="preserve">#1247</t>
        </is>
      </c>
      <c r="B345" s="3" t="inlineStr">
        <is>
          <t xml:space="preserve">2026-01-19</t>
        </is>
      </c>
      <c r="C345" s="3" t="inlineStr">
        <is>
          <t xml:space="preserve">SKU-B</t>
        </is>
      </c>
      <c r="D345" s="3" t="inlineStr">
        <is>
          <t xml:space="preserve">Barrier Balm</t>
        </is>
      </c>
      <c r="E345" s="6">
        <f>IF('Settings'!$B$11="Scenario",IFERROR(INDEX('Catalogue'!$E$3:$E$100,MATCH(C345,'Catalogue'!$B$3:$B$100,0)),F345),F345)</f>
        <v>19</v>
      </c>
      <c r="F345" s="8">
        <v>18</v>
      </c>
      <c r="G345" s="3">
        <v>2</v>
      </c>
      <c r="H345" s="6">
        <f>IF('Settings'!$B$11="Scenario",ROUND(E345*G345*IFERROR(SUMIF('Pricing &amp; promotions'!$A$6:$A$8,L345,'Pricing &amp; promotions'!$B$6:$B$8)/100,0),2),J345)</f>
        <v>3.8</v>
      </c>
      <c r="I345" s="6">
        <f>ROUND((E345*G345-H345)/(1+'Settings'!$B$6/100),2)</f>
        <v>28.26</v>
      </c>
      <c r="J345" s="8">
        <v>3.6</v>
      </c>
      <c r="K345" s="3" t="inlineStr">
        <is>
          <t xml:space="preserve">TRUE</t>
        </is>
      </c>
      <c r="L345" s="3" t="inlineStr">
        <is>
          <t xml:space="preserve">WELCOME10</t>
        </is>
      </c>
    </row>
    <row r="346">
      <c r="A346" s="3" t="inlineStr">
        <is>
          <t xml:space="preserve">#1247</t>
        </is>
      </c>
      <c r="B346" s="3" t="inlineStr">
        <is>
          <t xml:space="preserve">2026-01-19</t>
        </is>
      </c>
      <c r="C346" s="3" t="inlineStr">
        <is>
          <t xml:space="preserve">SKU-A</t>
        </is>
      </c>
      <c r="D346" s="3" t="inlineStr">
        <is>
          <t xml:space="preserve">Renewal Serum</t>
        </is>
      </c>
      <c r="E346" s="6">
        <f>IF('Settings'!$B$11="Scenario",IFERROR(INDEX('Catalogue'!$E$3:$E$100,MATCH(C346,'Catalogue'!$B$3:$B$100,0)),F346),F346)</f>
        <v>69.9</v>
      </c>
      <c r="F346" s="8">
        <v>69.9</v>
      </c>
      <c r="G346" s="3">
        <v>1</v>
      </c>
      <c r="H346" s="6">
        <f>IF('Settings'!$B$11="Scenario",ROUND(E346*G346*IFERROR(SUMIF('Pricing &amp; promotions'!$A$6:$A$8,L346,'Pricing &amp; promotions'!$B$6:$B$8)/100,0),2),J346)</f>
        <v>6.99</v>
      </c>
      <c r="I346" s="6">
        <f>ROUND((E346*G346-H346)/(1+'Settings'!$B$6/100),2)</f>
        <v>51.99</v>
      </c>
      <c r="J346" s="8">
        <v>6.99</v>
      </c>
      <c r="K346" s="3" t="inlineStr">
        <is>
          <t xml:space="preserve">TRUE</t>
        </is>
      </c>
      <c r="L346" s="3" t="inlineStr">
        <is>
          <t xml:space="preserve">WELCOME10</t>
        </is>
      </c>
    </row>
    <row r="347">
      <c r="A347" s="3" t="inlineStr">
        <is>
          <t xml:space="preserve">#1248</t>
        </is>
      </c>
      <c r="B347" s="3" t="inlineStr">
        <is>
          <t xml:space="preserve">2026-01-19</t>
        </is>
      </c>
      <c r="C347" s="3" t="inlineStr">
        <is>
          <t xml:space="preserve">SKU-A</t>
        </is>
      </c>
      <c r="D347" s="3" t="inlineStr">
        <is>
          <t xml:space="preserve">Renewal Serum</t>
        </is>
      </c>
      <c r="E347" s="6">
        <f>IF('Settings'!$B$11="Scenario",IFERROR(INDEX('Catalogue'!$E$3:$E$100,MATCH(C347,'Catalogue'!$B$3:$B$100,0)),F347),F347)</f>
        <v>69.9</v>
      </c>
      <c r="F347" s="8">
        <v>69.9</v>
      </c>
      <c r="G347" s="3">
        <v>1</v>
      </c>
      <c r="H347" s="6">
        <f>IF('Settings'!$B$11="Scenario",ROUND(E347*G347*IFERROR(SUMIF('Pricing &amp; promotions'!$A$6:$A$8,L347,'Pricing &amp; promotions'!$B$6:$B$8)/100,0),2),J347)</f>
        <v>6.99</v>
      </c>
      <c r="I347" s="6">
        <f>ROUND((E347*G347-H347)/(1+'Settings'!$B$6/100),2)</f>
        <v>51.99</v>
      </c>
      <c r="J347" s="8">
        <v>6.99</v>
      </c>
      <c r="K347" s="3" t="inlineStr">
        <is>
          <t xml:space="preserve">TRUE</t>
        </is>
      </c>
      <c r="L347" s="3" t="inlineStr">
        <is>
          <t xml:space="preserve">WELCOME10</t>
        </is>
      </c>
    </row>
    <row r="348">
      <c r="A348" s="3" t="inlineStr">
        <is>
          <t xml:space="preserve">#1249</t>
        </is>
      </c>
      <c r="B348" s="3" t="inlineStr">
        <is>
          <t xml:space="preserve">2026-01-19</t>
        </is>
      </c>
      <c r="C348" s="3" t="inlineStr">
        <is>
          <t xml:space="preserve">SKU-E</t>
        </is>
      </c>
      <c r="D348" s="3" t="inlineStr">
        <is>
          <t xml:space="preserve">Complete Ritual</t>
        </is>
      </c>
      <c r="E348" s="6">
        <f>IF('Settings'!$B$11="Scenario",IFERROR(INDEX('Catalogue'!$E$3:$E$100,MATCH(C348,'Catalogue'!$B$3:$B$100,0)),F348),F348)</f>
        <v>89</v>
      </c>
      <c r="F348" s="8">
        <v>89</v>
      </c>
      <c r="G348" s="3">
        <v>1</v>
      </c>
      <c r="H348" s="6">
        <f>IF('Settings'!$B$11="Scenario",ROUND(E348*G348*IFERROR(SUMIF('Pricing &amp; promotions'!$A$6:$A$8,L348,'Pricing &amp; promotions'!$B$6:$B$8)/100,0),2),J348)</f>
        <v>8.9</v>
      </c>
      <c r="I348" s="6">
        <f>ROUND((E348*G348-H348)/(1+'Settings'!$B$6/100),2)</f>
        <v>66.2</v>
      </c>
      <c r="J348" s="8">
        <v>8.9</v>
      </c>
      <c r="K348" s="3" t="inlineStr">
        <is>
          <t xml:space="preserve">TRUE</t>
        </is>
      </c>
      <c r="L348" s="3" t="inlineStr">
        <is>
          <t xml:space="preserve">WELCOME10</t>
        </is>
      </c>
    </row>
    <row r="349">
      <c r="A349" s="3" t="inlineStr">
        <is>
          <t xml:space="preserve">#1250</t>
        </is>
      </c>
      <c r="B349" s="3" t="inlineStr">
        <is>
          <t xml:space="preserve">2026-01-20</t>
        </is>
      </c>
      <c r="C349" s="3" t="inlineStr">
        <is>
          <t xml:space="preserve">SKU-A</t>
        </is>
      </c>
      <c r="D349" s="3" t="inlineStr">
        <is>
          <t xml:space="preserve">Renewal Serum</t>
        </is>
      </c>
      <c r="E349" s="6">
        <f>IF('Settings'!$B$11="Scenario",IFERROR(INDEX('Catalogue'!$E$3:$E$100,MATCH(C349,'Catalogue'!$B$3:$B$100,0)),F349),F349)</f>
        <v>69.9</v>
      </c>
      <c r="F349" s="8">
        <v>69.9</v>
      </c>
      <c r="G349" s="3">
        <v>1</v>
      </c>
      <c r="H349" s="6">
        <f>IF('Settings'!$B$11="Scenario",ROUND(E349*G349*IFERROR(SUMIF('Pricing &amp; promotions'!$A$6:$A$8,L349,'Pricing &amp; promotions'!$B$6:$B$8)/100,0),2),J349)</f>
        <v>0.0</v>
      </c>
      <c r="I349" s="6">
        <f>ROUND((E349*G349-H349)/(1+'Settings'!$B$6/100),2)</f>
        <v>57.77</v>
      </c>
      <c r="J349" s="8">
        <v>0.0</v>
      </c>
      <c r="K349" s="3" t="inlineStr">
        <is>
          <t xml:space="preserve">TRUE</t>
        </is>
      </c>
      <c r="L349" s="3"/>
    </row>
    <row r="350">
      <c r="A350" s="3" t="inlineStr">
        <is>
          <t xml:space="preserve">#1251</t>
        </is>
      </c>
      <c r="B350" s="3" t="inlineStr">
        <is>
          <t xml:space="preserve">2026-01-21</t>
        </is>
      </c>
      <c r="C350" s="3" t="inlineStr">
        <is>
          <t xml:space="preserve">SKU-A</t>
        </is>
      </c>
      <c r="D350" s="3" t="inlineStr">
        <is>
          <t xml:space="preserve">Renewal Serum</t>
        </is>
      </c>
      <c r="E350" s="6">
        <f>IF('Settings'!$B$11="Scenario",IFERROR(INDEX('Catalogue'!$E$3:$E$100,MATCH(C350,'Catalogue'!$B$3:$B$100,0)),F350),F350)</f>
        <v>69.9</v>
      </c>
      <c r="F350" s="8">
        <v>69.9</v>
      </c>
      <c r="G350" s="3">
        <v>2</v>
      </c>
      <c r="H350" s="6">
        <f>IF('Settings'!$B$11="Scenario",ROUND(E350*G350*IFERROR(SUMIF('Pricing &amp; promotions'!$A$6:$A$8,L350,'Pricing &amp; promotions'!$B$6:$B$8)/100,0),2),J350)</f>
        <v>0.0</v>
      </c>
      <c r="I350" s="6">
        <f>ROUND((E350*G350-H350)/(1+'Settings'!$B$6/100),2)</f>
        <v>115.54</v>
      </c>
      <c r="J350" s="8">
        <v>0.0</v>
      </c>
      <c r="K350" s="3" t="inlineStr">
        <is>
          <t xml:space="preserve">TRUE</t>
        </is>
      </c>
      <c r="L350" s="3"/>
    </row>
    <row r="351">
      <c r="A351" s="3" t="inlineStr">
        <is>
          <t xml:space="preserve">#1252</t>
        </is>
      </c>
      <c r="B351" s="3" t="inlineStr">
        <is>
          <t xml:space="preserve">2026-01-21</t>
        </is>
      </c>
      <c r="C351" s="3" t="inlineStr">
        <is>
          <t xml:space="preserve">SKU-B</t>
        </is>
      </c>
      <c r="D351" s="3" t="inlineStr">
        <is>
          <t xml:space="preserve">Barrier Balm</t>
        </is>
      </c>
      <c r="E351" s="6">
        <f>IF('Settings'!$B$11="Scenario",IFERROR(INDEX('Catalogue'!$E$3:$E$100,MATCH(C351,'Catalogue'!$B$3:$B$100,0)),F351),F351)</f>
        <v>19</v>
      </c>
      <c r="F351" s="8">
        <v>18</v>
      </c>
      <c r="G351" s="3">
        <v>1</v>
      </c>
      <c r="H351" s="6">
        <f>IF('Settings'!$B$11="Scenario",ROUND(E351*G351*IFERROR(SUMIF('Pricing &amp; promotions'!$A$6:$A$8,L351,'Pricing &amp; promotions'!$B$6:$B$8)/100,0),2),J351)</f>
        <v>0.0</v>
      </c>
      <c r="I351" s="6">
        <f>ROUND((E351*G351-H351)/(1+'Settings'!$B$6/100),2)</f>
        <v>15.7</v>
      </c>
      <c r="J351" s="8">
        <v>0.0</v>
      </c>
      <c r="K351" s="3" t="inlineStr">
        <is>
          <t xml:space="preserve">TRUE</t>
        </is>
      </c>
      <c r="L351" s="3"/>
    </row>
    <row r="352">
      <c r="A352" s="3" t="inlineStr">
        <is>
          <t xml:space="preserve">#1253</t>
        </is>
      </c>
      <c r="B352" s="3" t="inlineStr">
        <is>
          <t xml:space="preserve">2026-01-22</t>
        </is>
      </c>
      <c r="C352" s="3" t="inlineStr">
        <is>
          <t xml:space="preserve">SKU-E</t>
        </is>
      </c>
      <c r="D352" s="3" t="inlineStr">
        <is>
          <t xml:space="preserve">Complete Ritual</t>
        </is>
      </c>
      <c r="E352" s="6">
        <f>IF('Settings'!$B$11="Scenario",IFERROR(INDEX('Catalogue'!$E$3:$E$100,MATCH(C352,'Catalogue'!$B$3:$B$100,0)),F352),F352)</f>
        <v>89</v>
      </c>
      <c r="F352" s="8">
        <v>89</v>
      </c>
      <c r="G352" s="3">
        <v>1</v>
      </c>
      <c r="H352" s="6">
        <f>IF('Settings'!$B$11="Scenario",ROUND(E352*G352*IFERROR(SUMIF('Pricing &amp; promotions'!$A$6:$A$8,L352,'Pricing &amp; promotions'!$B$6:$B$8)/100,0),2),J352)</f>
        <v>0.0</v>
      </c>
      <c r="I352" s="6">
        <f>ROUND((E352*G352-H352)/(1+'Settings'!$B$6/100),2)</f>
        <v>73.55</v>
      </c>
      <c r="J352" s="8">
        <v>0.0</v>
      </c>
      <c r="K352" s="3" t="inlineStr">
        <is>
          <t xml:space="preserve">TRUE</t>
        </is>
      </c>
      <c r="L352" s="3"/>
    </row>
    <row r="353">
      <c r="A353" s="3" t="inlineStr">
        <is>
          <t xml:space="preserve">#1254</t>
        </is>
      </c>
      <c r="B353" s="3" t="inlineStr">
        <is>
          <t xml:space="preserve">2026-01-22</t>
        </is>
      </c>
      <c r="C353" s="3" t="inlineStr">
        <is>
          <t xml:space="preserve">SKU-C</t>
        </is>
      </c>
      <c r="D353" s="3" t="inlineStr">
        <is>
          <t xml:space="preserve">Contour Stone</t>
        </is>
      </c>
      <c r="E353" s="6">
        <f>IF('Settings'!$B$11="Scenario",IFERROR(INDEX('Catalogue'!$E$3:$E$100,MATCH(C353,'Catalogue'!$B$3:$B$100,0)),F353),F353)</f>
        <v>29</v>
      </c>
      <c r="F353" s="8">
        <v>29</v>
      </c>
      <c r="G353" s="3">
        <v>2</v>
      </c>
      <c r="H353" s="6">
        <f>IF('Settings'!$B$11="Scenario",ROUND(E353*G353*IFERROR(SUMIF('Pricing &amp; promotions'!$A$6:$A$8,L353,'Pricing &amp; promotions'!$B$6:$B$8)/100,0),2),J353)</f>
        <v>0.0</v>
      </c>
      <c r="I353" s="6">
        <f>ROUND((E353*G353-H353)/(1+'Settings'!$B$6/100),2)</f>
        <v>47.93</v>
      </c>
      <c r="J353" s="8">
        <v>0.0</v>
      </c>
      <c r="K353" s="3" t="inlineStr">
        <is>
          <t xml:space="preserve">TRUE</t>
        </is>
      </c>
      <c r="L353" s="3"/>
    </row>
    <row r="354">
      <c r="A354" s="3" t="inlineStr">
        <is>
          <t xml:space="preserve">#1255</t>
        </is>
      </c>
      <c r="B354" s="3" t="inlineStr">
        <is>
          <t xml:space="preserve">2026-01-23</t>
        </is>
      </c>
      <c r="C354" s="3" t="inlineStr">
        <is>
          <t xml:space="preserve">SKU-B</t>
        </is>
      </c>
      <c r="D354" s="3" t="inlineStr">
        <is>
          <t xml:space="preserve">Barrier Balm</t>
        </is>
      </c>
      <c r="E354" s="6">
        <f>IF('Settings'!$B$11="Scenario",IFERROR(INDEX('Catalogue'!$E$3:$E$100,MATCH(C354,'Catalogue'!$B$3:$B$100,0)),F354),F354)</f>
        <v>19</v>
      </c>
      <c r="F354" s="8">
        <v>18</v>
      </c>
      <c r="G354" s="3">
        <v>1</v>
      </c>
      <c r="H354" s="6">
        <f>IF('Settings'!$B$11="Scenario",ROUND(E354*G354*IFERROR(SUMIF('Pricing &amp; promotions'!$A$6:$A$8,L354,'Pricing &amp; promotions'!$B$6:$B$8)/100,0),2),J354)</f>
        <v>0.0</v>
      </c>
      <c r="I354" s="6">
        <f>ROUND((E354*G354-H354)/(1+'Settings'!$B$6/100),2)</f>
        <v>15.7</v>
      </c>
      <c r="J354" s="8">
        <v>0.0</v>
      </c>
      <c r="K354" s="3" t="inlineStr">
        <is>
          <t xml:space="preserve">TRUE</t>
        </is>
      </c>
      <c r="L354" s="3"/>
    </row>
    <row r="355">
      <c r="A355" s="3" t="inlineStr">
        <is>
          <t xml:space="preserve">#1256</t>
        </is>
      </c>
      <c r="B355" s="3" t="inlineStr">
        <is>
          <t xml:space="preserve">2026-01-24</t>
        </is>
      </c>
      <c r="C355" s="3" t="inlineStr">
        <is>
          <t xml:space="preserve">SKU-A</t>
        </is>
      </c>
      <c r="D355" s="3" t="inlineStr">
        <is>
          <t xml:space="preserve">Renewal Serum</t>
        </is>
      </c>
      <c r="E355" s="6">
        <f>IF('Settings'!$B$11="Scenario",IFERROR(INDEX('Catalogue'!$E$3:$E$100,MATCH(C355,'Catalogue'!$B$3:$B$100,0)),F355),F355)</f>
        <v>69.9</v>
      </c>
      <c r="F355" s="8">
        <v>69.9</v>
      </c>
      <c r="G355" s="3">
        <v>1</v>
      </c>
      <c r="H355" s="6">
        <f>IF('Settings'!$B$11="Scenario",ROUND(E355*G355*IFERROR(SUMIF('Pricing &amp; promotions'!$A$6:$A$8,L355,'Pricing &amp; promotions'!$B$6:$B$8)/100,0),2),J355)</f>
        <v>10.49</v>
      </c>
      <c r="I355" s="6">
        <f>ROUND((E355*G355-H355)/(1+'Settings'!$B$6/100),2)</f>
        <v>49.1</v>
      </c>
      <c r="J355" s="8">
        <v>10.49</v>
      </c>
      <c r="K355" s="3" t="inlineStr">
        <is>
          <t xml:space="preserve">TRUE</t>
        </is>
      </c>
      <c r="L355" s="3" t="inlineStr">
        <is>
          <t xml:space="preserve">SUMMER15</t>
        </is>
      </c>
    </row>
    <row r="356">
      <c r="A356" s="3" t="inlineStr">
        <is>
          <t xml:space="preserve">#1257</t>
        </is>
      </c>
      <c r="B356" s="3" t="inlineStr">
        <is>
          <t xml:space="preserve">2026-01-24</t>
        </is>
      </c>
      <c r="C356" s="3" t="inlineStr">
        <is>
          <t xml:space="preserve">SKU-A</t>
        </is>
      </c>
      <c r="D356" s="3" t="inlineStr">
        <is>
          <t xml:space="preserve">Renewal Serum</t>
        </is>
      </c>
      <c r="E356" s="6">
        <f>IF('Settings'!$B$11="Scenario",IFERROR(INDEX('Catalogue'!$E$3:$E$100,MATCH(C356,'Catalogue'!$B$3:$B$100,0)),F356),F356)</f>
        <v>69.9</v>
      </c>
      <c r="F356" s="8">
        <v>69.9</v>
      </c>
      <c r="G356" s="3">
        <v>1</v>
      </c>
      <c r="H356" s="6">
        <f>IF('Settings'!$B$11="Scenario",ROUND(E356*G356*IFERROR(SUMIF('Pricing &amp; promotions'!$A$6:$A$8,L356,'Pricing &amp; promotions'!$B$6:$B$8)/100,0),2),J356)</f>
        <v>13.98</v>
      </c>
      <c r="I356" s="6">
        <f>ROUND((E356*G356-H356)/(1+'Settings'!$B$6/100),2)</f>
        <v>46.21</v>
      </c>
      <c r="J356" s="8">
        <v>13.98</v>
      </c>
      <c r="K356" s="3" t="inlineStr">
        <is>
          <t xml:space="preserve">TRUE</t>
        </is>
      </c>
      <c r="L356" s="3" t="inlineStr">
        <is>
          <t xml:space="preserve">VIP20</t>
        </is>
      </c>
    </row>
    <row r="357">
      <c r="A357" s="3" t="inlineStr">
        <is>
          <t xml:space="preserve">#1258</t>
        </is>
      </c>
      <c r="B357" s="3" t="inlineStr">
        <is>
          <t xml:space="preserve">2026-01-25</t>
        </is>
      </c>
      <c r="C357" s="3" t="inlineStr">
        <is>
          <t xml:space="preserve">SKU-B</t>
        </is>
      </c>
      <c r="D357" s="3" t="inlineStr">
        <is>
          <t xml:space="preserve">Barrier Balm</t>
        </is>
      </c>
      <c r="E357" s="6">
        <f>IF('Settings'!$B$11="Scenario",IFERROR(INDEX('Catalogue'!$E$3:$E$100,MATCH(C357,'Catalogue'!$B$3:$B$100,0)),F357),F357)</f>
        <v>19</v>
      </c>
      <c r="F357" s="8">
        <v>18</v>
      </c>
      <c r="G357" s="3">
        <v>1</v>
      </c>
      <c r="H357" s="6">
        <f>IF('Settings'!$B$11="Scenario",ROUND(E357*G357*IFERROR(SUMIF('Pricing &amp; promotions'!$A$6:$A$8,L357,'Pricing &amp; promotions'!$B$6:$B$8)/100,0),2),J357)</f>
        <v>0.0</v>
      </c>
      <c r="I357" s="6">
        <f>ROUND((E357*G357-H357)/(1+'Settings'!$B$6/100),2)</f>
        <v>15.7</v>
      </c>
      <c r="J357" s="8">
        <v>0.0</v>
      </c>
      <c r="K357" s="3" t="inlineStr">
        <is>
          <t xml:space="preserve">TRUE</t>
        </is>
      </c>
      <c r="L357" s="3"/>
    </row>
    <row r="358">
      <c r="A358" s="3" t="inlineStr">
        <is>
          <t xml:space="preserve">#1259</t>
        </is>
      </c>
      <c r="B358" s="3" t="inlineStr">
        <is>
          <t xml:space="preserve">2026-01-25</t>
        </is>
      </c>
      <c r="C358" s="3" t="inlineStr">
        <is>
          <t xml:space="preserve">SKU-B</t>
        </is>
      </c>
      <c r="D358" s="3" t="inlineStr">
        <is>
          <t xml:space="preserve">Barrier Balm</t>
        </is>
      </c>
      <c r="E358" s="6">
        <f>IF('Settings'!$B$11="Scenario",IFERROR(INDEX('Catalogue'!$E$3:$E$100,MATCH(C358,'Catalogue'!$B$3:$B$100,0)),F358),F358)</f>
        <v>19</v>
      </c>
      <c r="F358" s="8">
        <v>18</v>
      </c>
      <c r="G358" s="3">
        <v>1</v>
      </c>
      <c r="H358" s="6">
        <f>IF('Settings'!$B$11="Scenario",ROUND(E358*G358*IFERROR(SUMIF('Pricing &amp; promotions'!$A$6:$A$8,L358,'Pricing &amp; promotions'!$B$6:$B$8)/100,0),2),J358)</f>
        <v>0.0</v>
      </c>
      <c r="I358" s="6">
        <f>ROUND((E358*G358-H358)/(1+'Settings'!$B$6/100),2)</f>
        <v>15.7</v>
      </c>
      <c r="J358" s="8">
        <v>0.0</v>
      </c>
      <c r="K358" s="3" t="inlineStr">
        <is>
          <t xml:space="preserve">TRUE</t>
        </is>
      </c>
      <c r="L358" s="3"/>
    </row>
    <row r="359">
      <c r="A359" s="3" t="inlineStr">
        <is>
          <t xml:space="preserve">#1260</t>
        </is>
      </c>
      <c r="B359" s="3" t="inlineStr">
        <is>
          <t xml:space="preserve">2026-01-26</t>
        </is>
      </c>
      <c r="C359" s="3" t="inlineStr">
        <is>
          <t xml:space="preserve">SKU-G</t>
        </is>
      </c>
      <c r="D359" s="3" t="inlineStr">
        <is>
          <t xml:space="preserve">Daily Reset Set</t>
        </is>
      </c>
      <c r="E359" s="6">
        <f>IF('Settings'!$B$11="Scenario",IFERROR(INDEX('Catalogue'!$E$3:$E$100,MATCH(C359,'Catalogue'!$B$3:$B$100,0)),F359),F359)</f>
        <v>69</v>
      </c>
      <c r="F359" s="8">
        <v>69</v>
      </c>
      <c r="G359" s="3">
        <v>1</v>
      </c>
      <c r="H359" s="6">
        <f>IF('Settings'!$B$11="Scenario",ROUND(E359*G359*IFERROR(SUMIF('Pricing &amp; promotions'!$A$6:$A$8,L359,'Pricing &amp; promotions'!$B$6:$B$8)/100,0),2),J359)</f>
        <v>0.0</v>
      </c>
      <c r="I359" s="6">
        <f>ROUND((E359*G359-H359)/(1+'Settings'!$B$6/100),2)</f>
        <v>57.02</v>
      </c>
      <c r="J359" s="8">
        <v>0.0</v>
      </c>
      <c r="K359" s="3" t="inlineStr">
        <is>
          <t xml:space="preserve">TRUE</t>
        </is>
      </c>
      <c r="L359" s="3"/>
    </row>
    <row r="360">
      <c r="A360" s="3" t="inlineStr">
        <is>
          <t xml:space="preserve">#1260</t>
        </is>
      </c>
      <c r="B360" s="3" t="inlineStr">
        <is>
          <t xml:space="preserve">2026-01-26</t>
        </is>
      </c>
      <c r="C360" s="3" t="inlineStr">
        <is>
          <t xml:space="preserve">SKU-A</t>
        </is>
      </c>
      <c r="D360" s="3" t="inlineStr">
        <is>
          <t xml:space="preserve">Renewal Serum</t>
        </is>
      </c>
      <c r="E360" s="6">
        <f>IF('Settings'!$B$11="Scenario",IFERROR(INDEX('Catalogue'!$E$3:$E$100,MATCH(C360,'Catalogue'!$B$3:$B$100,0)),F360),F360)</f>
        <v>69.9</v>
      </c>
      <c r="F360" s="8">
        <v>69.9</v>
      </c>
      <c r="G360" s="3">
        <v>1</v>
      </c>
      <c r="H360" s="6">
        <f>IF('Settings'!$B$11="Scenario",ROUND(E360*G360*IFERROR(SUMIF('Pricing &amp; promotions'!$A$6:$A$8,L360,'Pricing &amp; promotions'!$B$6:$B$8)/100,0),2),J360)</f>
        <v>0.0</v>
      </c>
      <c r="I360" s="6">
        <f>ROUND((E360*G360-H360)/(1+'Settings'!$B$6/100),2)</f>
        <v>57.77</v>
      </c>
      <c r="J360" s="8">
        <v>0.0</v>
      </c>
      <c r="K360" s="3" t="inlineStr">
        <is>
          <t xml:space="preserve">TRUE</t>
        </is>
      </c>
      <c r="L360" s="3"/>
    </row>
    <row r="361">
      <c r="A361" s="3" t="inlineStr">
        <is>
          <t xml:space="preserve">#1261</t>
        </is>
      </c>
      <c r="B361" s="3" t="inlineStr">
        <is>
          <t xml:space="preserve">2026-01-26</t>
        </is>
      </c>
      <c r="C361" s="3" t="inlineStr">
        <is>
          <t xml:space="preserve">SKU-D</t>
        </is>
      </c>
      <c r="D361" s="3" t="inlineStr">
        <is>
          <t xml:space="preserve">Daily Duo</t>
        </is>
      </c>
      <c r="E361" s="6">
        <f>IF('Settings'!$B$11="Scenario",IFERROR(INDEX('Catalogue'!$E$3:$E$100,MATCH(C361,'Catalogue'!$B$3:$B$100,0)),F361),F361)</f>
        <v>79</v>
      </c>
      <c r="F361" s="8">
        <v>79</v>
      </c>
      <c r="G361" s="3">
        <v>1</v>
      </c>
      <c r="H361" s="6">
        <f>IF('Settings'!$B$11="Scenario",ROUND(E361*G361*IFERROR(SUMIF('Pricing &amp; promotions'!$A$6:$A$8,L361,'Pricing &amp; promotions'!$B$6:$B$8)/100,0),2),J361)</f>
        <v>11.85</v>
      </c>
      <c r="I361" s="6">
        <f>ROUND((E361*G361-H361)/(1+'Settings'!$B$6/100),2)</f>
        <v>55.5</v>
      </c>
      <c r="J361" s="8">
        <v>11.85</v>
      </c>
      <c r="K361" s="3" t="inlineStr">
        <is>
          <t xml:space="preserve">TRUE</t>
        </is>
      </c>
      <c r="L361" s="3" t="inlineStr">
        <is>
          <t xml:space="preserve">SUMMER15</t>
        </is>
      </c>
    </row>
    <row r="362">
      <c r="A362" s="3" t="inlineStr">
        <is>
          <t xml:space="preserve">#1262</t>
        </is>
      </c>
      <c r="B362" s="3" t="inlineStr">
        <is>
          <t xml:space="preserve">2026-01-27</t>
        </is>
      </c>
      <c r="C362" s="3" t="inlineStr">
        <is>
          <t xml:space="preserve">SKU-E</t>
        </is>
      </c>
      <c r="D362" s="3" t="inlineStr">
        <is>
          <t xml:space="preserve">Complete Ritual</t>
        </is>
      </c>
      <c r="E362" s="6">
        <f>IF('Settings'!$B$11="Scenario",IFERROR(INDEX('Catalogue'!$E$3:$E$100,MATCH(C362,'Catalogue'!$B$3:$B$100,0)),F362),F362)</f>
        <v>89</v>
      </c>
      <c r="F362" s="8">
        <v>89</v>
      </c>
      <c r="G362" s="3">
        <v>2</v>
      </c>
      <c r="H362" s="6">
        <f>IF('Settings'!$B$11="Scenario",ROUND(E362*G362*IFERROR(SUMIF('Pricing &amp; promotions'!$A$6:$A$8,L362,'Pricing &amp; promotions'!$B$6:$B$8)/100,0),2),J362)</f>
        <v>17.8</v>
      </c>
      <c r="I362" s="6">
        <f>ROUND((E362*G362-H362)/(1+'Settings'!$B$6/100),2)</f>
        <v>132.4</v>
      </c>
      <c r="J362" s="8">
        <v>17.8</v>
      </c>
      <c r="K362" s="3" t="inlineStr">
        <is>
          <t xml:space="preserve">TRUE</t>
        </is>
      </c>
      <c r="L362" s="3" t="inlineStr">
        <is>
          <t xml:space="preserve">WELCOME10</t>
        </is>
      </c>
    </row>
    <row r="363">
      <c r="A363" s="3" t="inlineStr">
        <is>
          <t xml:space="preserve">#1263</t>
        </is>
      </c>
      <c r="B363" s="3" t="inlineStr">
        <is>
          <t xml:space="preserve">2026-01-27</t>
        </is>
      </c>
      <c r="C363" s="3" t="inlineStr">
        <is>
          <t xml:space="preserve">SKU-A</t>
        </is>
      </c>
      <c r="D363" s="3" t="inlineStr">
        <is>
          <t xml:space="preserve">Renewal Serum</t>
        </is>
      </c>
      <c r="E363" s="6">
        <f>IF('Settings'!$B$11="Scenario",IFERROR(INDEX('Catalogue'!$E$3:$E$100,MATCH(C363,'Catalogue'!$B$3:$B$100,0)),F363),F363)</f>
        <v>69.9</v>
      </c>
      <c r="F363" s="8">
        <v>69.9</v>
      </c>
      <c r="G363" s="3">
        <v>1</v>
      </c>
      <c r="H363" s="6">
        <f>IF('Settings'!$B$11="Scenario",ROUND(E363*G363*IFERROR(SUMIF('Pricing &amp; promotions'!$A$6:$A$8,L363,'Pricing &amp; promotions'!$B$6:$B$8)/100,0),2),J363)</f>
        <v>10.49</v>
      </c>
      <c r="I363" s="6">
        <f>ROUND((E363*G363-H363)/(1+'Settings'!$B$6/100),2)</f>
        <v>49.1</v>
      </c>
      <c r="J363" s="8">
        <v>10.49</v>
      </c>
      <c r="K363" s="3" t="inlineStr">
        <is>
          <t xml:space="preserve">TRUE</t>
        </is>
      </c>
      <c r="L363" s="3" t="inlineStr">
        <is>
          <t xml:space="preserve">SUMMER15</t>
        </is>
      </c>
    </row>
    <row r="364">
      <c r="A364" s="3" t="inlineStr">
        <is>
          <t xml:space="preserve">#1264</t>
        </is>
      </c>
      <c r="B364" s="3" t="inlineStr">
        <is>
          <t xml:space="preserve">2026-01-28</t>
        </is>
      </c>
      <c r="C364" s="3" t="inlineStr">
        <is>
          <t xml:space="preserve">SKU-A</t>
        </is>
      </c>
      <c r="D364" s="3" t="inlineStr">
        <is>
          <t xml:space="preserve">Renewal Serum</t>
        </is>
      </c>
      <c r="E364" s="6">
        <f>IF('Settings'!$B$11="Scenario",IFERROR(INDEX('Catalogue'!$E$3:$E$100,MATCH(C364,'Catalogue'!$B$3:$B$100,0)),F364),F364)</f>
        <v>69.9</v>
      </c>
      <c r="F364" s="8">
        <v>69.9</v>
      </c>
      <c r="G364" s="3">
        <v>1</v>
      </c>
      <c r="H364" s="6">
        <f>IF('Settings'!$B$11="Scenario",ROUND(E364*G364*IFERROR(SUMIF('Pricing &amp; promotions'!$A$6:$A$8,L364,'Pricing &amp; promotions'!$B$6:$B$8)/100,0),2),J364)</f>
        <v>0.0</v>
      </c>
      <c r="I364" s="6">
        <f>ROUND((E364*G364-H364)/(1+'Settings'!$B$6/100),2)</f>
        <v>57.77</v>
      </c>
      <c r="J364" s="8">
        <v>0.0</v>
      </c>
      <c r="K364" s="3" t="inlineStr">
        <is>
          <t xml:space="preserve">TRUE</t>
        </is>
      </c>
      <c r="L364" s="3"/>
    </row>
    <row r="365">
      <c r="A365" s="3" t="inlineStr">
        <is>
          <t xml:space="preserve">#1264</t>
        </is>
      </c>
      <c r="B365" s="3" t="inlineStr">
        <is>
          <t xml:space="preserve">2026-01-28</t>
        </is>
      </c>
      <c r="C365" s="3" t="inlineStr">
        <is>
          <t xml:space="preserve">SKU-D</t>
        </is>
      </c>
      <c r="D365" s="3" t="inlineStr">
        <is>
          <t xml:space="preserve">Daily Duo</t>
        </is>
      </c>
      <c r="E365" s="6">
        <f>IF('Settings'!$B$11="Scenario",IFERROR(INDEX('Catalogue'!$E$3:$E$100,MATCH(C365,'Catalogue'!$B$3:$B$100,0)),F365),F365)</f>
        <v>79</v>
      </c>
      <c r="F365" s="8">
        <v>79</v>
      </c>
      <c r="G365" s="3">
        <v>1</v>
      </c>
      <c r="H365" s="6">
        <f>IF('Settings'!$B$11="Scenario",ROUND(E365*G365*IFERROR(SUMIF('Pricing &amp; promotions'!$A$6:$A$8,L365,'Pricing &amp; promotions'!$B$6:$B$8)/100,0),2),J365)</f>
        <v>0.0</v>
      </c>
      <c r="I365" s="6">
        <f>ROUND((E365*G365-H365)/(1+'Settings'!$B$6/100),2)</f>
        <v>65.29</v>
      </c>
      <c r="J365" s="8">
        <v>0.0</v>
      </c>
      <c r="K365" s="3" t="inlineStr">
        <is>
          <t xml:space="preserve">TRUE</t>
        </is>
      </c>
      <c r="L365" s="3"/>
    </row>
    <row r="366">
      <c r="A366" s="3" t="inlineStr">
        <is>
          <t xml:space="preserve">#1265</t>
        </is>
      </c>
      <c r="B366" s="3" t="inlineStr">
        <is>
          <t xml:space="preserve">2026-01-28</t>
        </is>
      </c>
      <c r="C366" s="3" t="inlineStr">
        <is>
          <t xml:space="preserve">SKU-D</t>
        </is>
      </c>
      <c r="D366" s="3" t="inlineStr">
        <is>
          <t xml:space="preserve">Daily Duo</t>
        </is>
      </c>
      <c r="E366" s="6">
        <f>IF('Settings'!$B$11="Scenario",IFERROR(INDEX('Catalogue'!$E$3:$E$100,MATCH(C366,'Catalogue'!$B$3:$B$100,0)),F366),F366)</f>
        <v>79</v>
      </c>
      <c r="F366" s="8">
        <v>79</v>
      </c>
      <c r="G366" s="3">
        <v>2</v>
      </c>
      <c r="H366" s="6">
        <f>IF('Settings'!$B$11="Scenario",ROUND(E366*G366*IFERROR(SUMIF('Pricing &amp; promotions'!$A$6:$A$8,L366,'Pricing &amp; promotions'!$B$6:$B$8)/100,0),2),J366)</f>
        <v>0.0</v>
      </c>
      <c r="I366" s="6">
        <f>ROUND((E366*G366-H366)/(1+'Settings'!$B$6/100),2)</f>
        <v>130.58</v>
      </c>
      <c r="J366" s="8">
        <v>0.0</v>
      </c>
      <c r="K366" s="3" t="inlineStr">
        <is>
          <t xml:space="preserve">TRUE</t>
        </is>
      </c>
      <c r="L366" s="3"/>
    </row>
    <row r="367">
      <c r="A367" s="3" t="inlineStr">
        <is>
          <t xml:space="preserve">#1266</t>
        </is>
      </c>
      <c r="B367" s="3" t="inlineStr">
        <is>
          <t xml:space="preserve">2026-01-30</t>
        </is>
      </c>
      <c r="C367" s="3" t="inlineStr">
        <is>
          <t xml:space="preserve">SKU-G</t>
        </is>
      </c>
      <c r="D367" s="3" t="inlineStr">
        <is>
          <t xml:space="preserve">Daily Reset Set</t>
        </is>
      </c>
      <c r="E367" s="6">
        <f>IF('Settings'!$B$11="Scenario",IFERROR(INDEX('Catalogue'!$E$3:$E$100,MATCH(C367,'Catalogue'!$B$3:$B$100,0)),F367),F367)</f>
        <v>69</v>
      </c>
      <c r="F367" s="8">
        <v>69</v>
      </c>
      <c r="G367" s="3">
        <v>1</v>
      </c>
      <c r="H367" s="6">
        <f>IF('Settings'!$B$11="Scenario",ROUND(E367*G367*IFERROR(SUMIF('Pricing &amp; promotions'!$A$6:$A$8,L367,'Pricing &amp; promotions'!$B$6:$B$8)/100,0),2),J367)</f>
        <v>13.8</v>
      </c>
      <c r="I367" s="6">
        <f>ROUND((E367*G367-H367)/(1+'Settings'!$B$6/100),2)</f>
        <v>45.62</v>
      </c>
      <c r="J367" s="8">
        <v>13.8</v>
      </c>
      <c r="K367" s="3" t="inlineStr">
        <is>
          <t xml:space="preserve">TRUE</t>
        </is>
      </c>
      <c r="L367" s="3" t="inlineStr">
        <is>
          <t xml:space="preserve">VIP20</t>
        </is>
      </c>
    </row>
    <row r="368">
      <c r="A368" s="3" t="inlineStr">
        <is>
          <t xml:space="preserve">#1267</t>
        </is>
      </c>
      <c r="B368" s="3" t="inlineStr">
        <is>
          <t xml:space="preserve">2026-01-30</t>
        </is>
      </c>
      <c r="C368" s="3" t="inlineStr">
        <is>
          <t xml:space="preserve">SKU-D</t>
        </is>
      </c>
      <c r="D368" s="3" t="inlineStr">
        <is>
          <t xml:space="preserve">Daily Duo</t>
        </is>
      </c>
      <c r="E368" s="6">
        <f>IF('Settings'!$B$11="Scenario",IFERROR(INDEX('Catalogue'!$E$3:$E$100,MATCH(C368,'Catalogue'!$B$3:$B$100,0)),F368),F368)</f>
        <v>79</v>
      </c>
      <c r="F368" s="8">
        <v>79</v>
      </c>
      <c r="G368" s="3">
        <v>1</v>
      </c>
      <c r="H368" s="6">
        <f>IF('Settings'!$B$11="Scenario",ROUND(E368*G368*IFERROR(SUMIF('Pricing &amp; promotions'!$A$6:$A$8,L368,'Pricing &amp; promotions'!$B$6:$B$8)/100,0),2),J368)</f>
        <v>7.9</v>
      </c>
      <c r="I368" s="6">
        <f>ROUND((E368*G368-H368)/(1+'Settings'!$B$6/100),2)</f>
        <v>58.76</v>
      </c>
      <c r="J368" s="8">
        <v>7.9</v>
      </c>
      <c r="K368" s="3" t="inlineStr">
        <is>
          <t xml:space="preserve">TRUE</t>
        </is>
      </c>
      <c r="L368" s="3" t="inlineStr">
        <is>
          <t xml:space="preserve">WELCOME10</t>
        </is>
      </c>
    </row>
    <row r="369">
      <c r="A369" s="3" t="inlineStr">
        <is>
          <t xml:space="preserve">#1267</t>
        </is>
      </c>
      <c r="B369" s="3" t="inlineStr">
        <is>
          <t xml:space="preserve">2026-01-30</t>
        </is>
      </c>
      <c r="C369" s="3" t="inlineStr">
        <is>
          <t xml:space="preserve">SKU-G</t>
        </is>
      </c>
      <c r="D369" s="3" t="inlineStr">
        <is>
          <t xml:space="preserve">Daily Reset Set</t>
        </is>
      </c>
      <c r="E369" s="6">
        <f>IF('Settings'!$B$11="Scenario",IFERROR(INDEX('Catalogue'!$E$3:$E$100,MATCH(C369,'Catalogue'!$B$3:$B$100,0)),F369),F369)</f>
        <v>69</v>
      </c>
      <c r="F369" s="8">
        <v>69</v>
      </c>
      <c r="G369" s="3">
        <v>2</v>
      </c>
      <c r="H369" s="6">
        <f>IF('Settings'!$B$11="Scenario",ROUND(E369*G369*IFERROR(SUMIF('Pricing &amp; promotions'!$A$6:$A$8,L369,'Pricing &amp; promotions'!$B$6:$B$8)/100,0),2),J369)</f>
        <v>13.8</v>
      </c>
      <c r="I369" s="6">
        <f>ROUND((E369*G369-H369)/(1+'Settings'!$B$6/100),2)</f>
        <v>102.64</v>
      </c>
      <c r="J369" s="8">
        <v>13.8</v>
      </c>
      <c r="K369" s="3" t="inlineStr">
        <is>
          <t xml:space="preserve">TRUE</t>
        </is>
      </c>
      <c r="L369" s="3" t="inlineStr">
        <is>
          <t xml:space="preserve">WELCOME10</t>
        </is>
      </c>
    </row>
    <row r="370">
      <c r="A370" s="3" t="inlineStr">
        <is>
          <t xml:space="preserve">#1268</t>
        </is>
      </c>
      <c r="B370" s="3" t="inlineStr">
        <is>
          <t xml:space="preserve">2026-01-31</t>
        </is>
      </c>
      <c r="C370" s="3" t="inlineStr">
        <is>
          <t xml:space="preserve">SKU-A</t>
        </is>
      </c>
      <c r="D370" s="3" t="inlineStr">
        <is>
          <t xml:space="preserve">Renewal Serum</t>
        </is>
      </c>
      <c r="E370" s="6">
        <f>IF('Settings'!$B$11="Scenario",IFERROR(INDEX('Catalogue'!$E$3:$E$100,MATCH(C370,'Catalogue'!$B$3:$B$100,0)),F370),F370)</f>
        <v>69.9</v>
      </c>
      <c r="F370" s="8">
        <v>69.9</v>
      </c>
      <c r="G370" s="3">
        <v>1</v>
      </c>
      <c r="H370" s="6">
        <f>IF('Settings'!$B$11="Scenario",ROUND(E370*G370*IFERROR(SUMIF('Pricing &amp; promotions'!$A$6:$A$8,L370,'Pricing &amp; promotions'!$B$6:$B$8)/100,0),2),J370)</f>
        <v>13.98</v>
      </c>
      <c r="I370" s="6">
        <f>ROUND((E370*G370-H370)/(1+'Settings'!$B$6/100),2)</f>
        <v>46.21</v>
      </c>
      <c r="J370" s="8">
        <v>13.98</v>
      </c>
      <c r="K370" s="3" t="inlineStr">
        <is>
          <t xml:space="preserve">TRUE</t>
        </is>
      </c>
      <c r="L370" s="3" t="inlineStr">
        <is>
          <t xml:space="preserve">VIP20</t>
        </is>
      </c>
    </row>
    <row r="371">
      <c r="A371" s="3" t="inlineStr">
        <is>
          <t xml:space="preserve">#1269</t>
        </is>
      </c>
      <c r="B371" s="3" t="inlineStr">
        <is>
          <t xml:space="preserve">2026-01-31</t>
        </is>
      </c>
      <c r="C371" s="3" t="inlineStr">
        <is>
          <t xml:space="preserve">SKU-D</t>
        </is>
      </c>
      <c r="D371" s="3" t="inlineStr">
        <is>
          <t xml:space="preserve">Daily Duo</t>
        </is>
      </c>
      <c r="E371" s="6">
        <f>IF('Settings'!$B$11="Scenario",IFERROR(INDEX('Catalogue'!$E$3:$E$100,MATCH(C371,'Catalogue'!$B$3:$B$100,0)),F371),F371)</f>
        <v>79</v>
      </c>
      <c r="F371" s="8">
        <v>79</v>
      </c>
      <c r="G371" s="3">
        <v>1</v>
      </c>
      <c r="H371" s="6">
        <f>IF('Settings'!$B$11="Scenario",ROUND(E371*G371*IFERROR(SUMIF('Pricing &amp; promotions'!$A$6:$A$8,L371,'Pricing &amp; promotions'!$B$6:$B$8)/100,0),2),J371)</f>
        <v>0.0</v>
      </c>
      <c r="I371" s="6">
        <f>ROUND((E371*G371-H371)/(1+'Settings'!$B$6/100),2)</f>
        <v>65.29</v>
      </c>
      <c r="J371" s="8">
        <v>0.0</v>
      </c>
      <c r="K371" s="3" t="inlineStr">
        <is>
          <t xml:space="preserve">TRUE</t>
        </is>
      </c>
      <c r="L371" s="3"/>
    </row>
    <row r="372">
      <c r="A372" s="3" t="inlineStr">
        <is>
          <t xml:space="preserve">#1270</t>
        </is>
      </c>
      <c r="B372" s="3" t="inlineStr">
        <is>
          <t xml:space="preserve">2026-01-31</t>
        </is>
      </c>
      <c r="C372" s="3" t="inlineStr">
        <is>
          <t xml:space="preserve">SKU-B</t>
        </is>
      </c>
      <c r="D372" s="3" t="inlineStr">
        <is>
          <t xml:space="preserve">Barrier Balm</t>
        </is>
      </c>
      <c r="E372" s="6">
        <f>IF('Settings'!$B$11="Scenario",IFERROR(INDEX('Catalogue'!$E$3:$E$100,MATCH(C372,'Catalogue'!$B$3:$B$100,0)),F372),F372)</f>
        <v>19</v>
      </c>
      <c r="F372" s="8">
        <v>18</v>
      </c>
      <c r="G372" s="3">
        <v>1</v>
      </c>
      <c r="H372" s="6">
        <f>IF('Settings'!$B$11="Scenario",ROUND(E372*G372*IFERROR(SUMIF('Pricing &amp; promotions'!$A$6:$A$8,L372,'Pricing &amp; promotions'!$B$6:$B$8)/100,0),2),J372)</f>
        <v>0.0</v>
      </c>
      <c r="I372" s="6">
        <f>ROUND((E372*G372-H372)/(1+'Settings'!$B$6/100),2)</f>
        <v>15.7</v>
      </c>
      <c r="J372" s="8">
        <v>0.0</v>
      </c>
      <c r="K372" s="3" t="inlineStr">
        <is>
          <t xml:space="preserve">TRUE</t>
        </is>
      </c>
      <c r="L372" s="3"/>
    </row>
    <row r="373">
      <c r="A373" s="3" t="inlineStr">
        <is>
          <t xml:space="preserve">#1271</t>
        </is>
      </c>
      <c r="B373" s="3" t="inlineStr">
        <is>
          <t xml:space="preserve">2026-02-02</t>
        </is>
      </c>
      <c r="C373" s="3" t="inlineStr">
        <is>
          <t xml:space="preserve">SKU-B</t>
        </is>
      </c>
      <c r="D373" s="3" t="inlineStr">
        <is>
          <t xml:space="preserve">Barrier Balm</t>
        </is>
      </c>
      <c r="E373" s="6">
        <f>IF('Settings'!$B$11="Scenario",IFERROR(INDEX('Catalogue'!$E$3:$E$100,MATCH(C373,'Catalogue'!$B$3:$B$100,0)),F373),F373)</f>
        <v>19</v>
      </c>
      <c r="F373" s="8">
        <v>18</v>
      </c>
      <c r="G373" s="3">
        <v>1</v>
      </c>
      <c r="H373" s="6">
        <f>IF('Settings'!$B$11="Scenario",ROUND(E373*G373*IFERROR(SUMIF('Pricing &amp; promotions'!$A$6:$A$8,L373,'Pricing &amp; promotions'!$B$6:$B$8)/100,0),2),J373)</f>
        <v>0.0</v>
      </c>
      <c r="I373" s="6">
        <f>ROUND((E373*G373-H373)/(1+'Settings'!$B$6/100),2)</f>
        <v>15.7</v>
      </c>
      <c r="J373" s="8">
        <v>0.0</v>
      </c>
      <c r="K373" s="3" t="inlineStr">
        <is>
          <t xml:space="preserve">TRUE</t>
        </is>
      </c>
      <c r="L373" s="3"/>
    </row>
    <row r="374">
      <c r="A374" s="3" t="inlineStr">
        <is>
          <t xml:space="preserve">#1272</t>
        </is>
      </c>
      <c r="B374" s="3" t="inlineStr">
        <is>
          <t xml:space="preserve">2026-02-02</t>
        </is>
      </c>
      <c r="C374" s="3" t="inlineStr">
        <is>
          <t xml:space="preserve">SKU-D</t>
        </is>
      </c>
      <c r="D374" s="3" t="inlineStr">
        <is>
          <t xml:space="preserve">Daily Duo</t>
        </is>
      </c>
      <c r="E374" s="6">
        <f>IF('Settings'!$B$11="Scenario",IFERROR(INDEX('Catalogue'!$E$3:$E$100,MATCH(C374,'Catalogue'!$B$3:$B$100,0)),F374),F374)</f>
        <v>79</v>
      </c>
      <c r="F374" s="8">
        <v>79</v>
      </c>
      <c r="G374" s="3">
        <v>1</v>
      </c>
      <c r="H374" s="6">
        <f>IF('Settings'!$B$11="Scenario",ROUND(E374*G374*IFERROR(SUMIF('Pricing &amp; promotions'!$A$6:$A$8,L374,'Pricing &amp; promotions'!$B$6:$B$8)/100,0),2),J374)</f>
        <v>7.9</v>
      </c>
      <c r="I374" s="6">
        <f>ROUND((E374*G374-H374)/(1+'Settings'!$B$6/100),2)</f>
        <v>58.76</v>
      </c>
      <c r="J374" s="8">
        <v>7.9</v>
      </c>
      <c r="K374" s="3" t="inlineStr">
        <is>
          <t xml:space="preserve">TRUE</t>
        </is>
      </c>
      <c r="L374" s="3" t="inlineStr">
        <is>
          <t xml:space="preserve">WELCOME10</t>
        </is>
      </c>
    </row>
    <row r="375">
      <c r="A375" s="3" t="inlineStr">
        <is>
          <t xml:space="preserve">#1273</t>
        </is>
      </c>
      <c r="B375" s="3" t="inlineStr">
        <is>
          <t xml:space="preserve">2026-02-03</t>
        </is>
      </c>
      <c r="C375" s="3" t="inlineStr">
        <is>
          <t xml:space="preserve">SKU-E</t>
        </is>
      </c>
      <c r="D375" s="3" t="inlineStr">
        <is>
          <t xml:space="preserve">Complete Ritual</t>
        </is>
      </c>
      <c r="E375" s="6">
        <f>IF('Settings'!$B$11="Scenario",IFERROR(INDEX('Catalogue'!$E$3:$E$100,MATCH(C375,'Catalogue'!$B$3:$B$100,0)),F375),F375)</f>
        <v>89</v>
      </c>
      <c r="F375" s="8">
        <v>89</v>
      </c>
      <c r="G375" s="3">
        <v>1</v>
      </c>
      <c r="H375" s="6">
        <f>IF('Settings'!$B$11="Scenario",ROUND(E375*G375*IFERROR(SUMIF('Pricing &amp; promotions'!$A$6:$A$8,L375,'Pricing &amp; promotions'!$B$6:$B$8)/100,0),2),J375)</f>
        <v>0.0</v>
      </c>
      <c r="I375" s="6">
        <f>ROUND((E375*G375-H375)/(1+'Settings'!$B$6/100),2)</f>
        <v>73.55</v>
      </c>
      <c r="J375" s="8">
        <v>0.0</v>
      </c>
      <c r="K375" s="3" t="inlineStr">
        <is>
          <t xml:space="preserve">TRUE</t>
        </is>
      </c>
      <c r="L375" s="3"/>
    </row>
    <row r="376">
      <c r="A376" s="3" t="inlineStr">
        <is>
          <t xml:space="preserve">#1274</t>
        </is>
      </c>
      <c r="B376" s="3" t="inlineStr">
        <is>
          <t xml:space="preserve">2026-02-04</t>
        </is>
      </c>
      <c r="C376" s="3" t="inlineStr">
        <is>
          <t xml:space="preserve">SKU-C</t>
        </is>
      </c>
      <c r="D376" s="3" t="inlineStr">
        <is>
          <t xml:space="preserve">Contour Stone</t>
        </is>
      </c>
      <c r="E376" s="6">
        <f>IF('Settings'!$B$11="Scenario",IFERROR(INDEX('Catalogue'!$E$3:$E$100,MATCH(C376,'Catalogue'!$B$3:$B$100,0)),F376),F376)</f>
        <v>29</v>
      </c>
      <c r="F376" s="8">
        <v>29</v>
      </c>
      <c r="G376" s="3">
        <v>2</v>
      </c>
      <c r="H376" s="6">
        <f>IF('Settings'!$B$11="Scenario",ROUND(E376*G376*IFERROR(SUMIF('Pricing &amp; promotions'!$A$6:$A$8,L376,'Pricing &amp; promotions'!$B$6:$B$8)/100,0),2),J376)</f>
        <v>5.8</v>
      </c>
      <c r="I376" s="6">
        <f>ROUND((E376*G376-H376)/(1+'Settings'!$B$6/100),2)</f>
        <v>43.14</v>
      </c>
      <c r="J376" s="8">
        <v>5.8</v>
      </c>
      <c r="K376" s="3" t="inlineStr">
        <is>
          <t xml:space="preserve">TRUE</t>
        </is>
      </c>
      <c r="L376" s="3" t="inlineStr">
        <is>
          <t xml:space="preserve">WELCOME10</t>
        </is>
      </c>
    </row>
    <row r="377">
      <c r="A377" s="3" t="inlineStr">
        <is>
          <t xml:space="preserve">#1275</t>
        </is>
      </c>
      <c r="B377" s="3" t="inlineStr">
        <is>
          <t xml:space="preserve">2026-02-05</t>
        </is>
      </c>
      <c r="C377" s="3" t="inlineStr">
        <is>
          <t xml:space="preserve">SKU-D</t>
        </is>
      </c>
      <c r="D377" s="3" t="inlineStr">
        <is>
          <t xml:space="preserve">Daily Duo</t>
        </is>
      </c>
      <c r="E377" s="6">
        <f>IF('Settings'!$B$11="Scenario",IFERROR(INDEX('Catalogue'!$E$3:$E$100,MATCH(C377,'Catalogue'!$B$3:$B$100,0)),F377),F377)</f>
        <v>79</v>
      </c>
      <c r="F377" s="8">
        <v>79</v>
      </c>
      <c r="G377" s="3">
        <v>1</v>
      </c>
      <c r="H377" s="6">
        <f>IF('Settings'!$B$11="Scenario",ROUND(E377*G377*IFERROR(SUMIF('Pricing &amp; promotions'!$A$6:$A$8,L377,'Pricing &amp; promotions'!$B$6:$B$8)/100,0),2),J377)</f>
        <v>0.0</v>
      </c>
      <c r="I377" s="6">
        <f>ROUND((E377*G377-H377)/(1+'Settings'!$B$6/100),2)</f>
        <v>65.29</v>
      </c>
      <c r="J377" s="8">
        <v>0.0</v>
      </c>
      <c r="K377" s="3" t="inlineStr">
        <is>
          <t xml:space="preserve">TRUE</t>
        </is>
      </c>
      <c r="L377" s="3"/>
    </row>
    <row r="378">
      <c r="A378" s="3" t="inlineStr">
        <is>
          <t xml:space="preserve">#1275</t>
        </is>
      </c>
      <c r="B378" s="3" t="inlineStr">
        <is>
          <t xml:space="preserve">2026-02-05</t>
        </is>
      </c>
      <c r="C378" s="3" t="inlineStr">
        <is>
          <t xml:space="preserve">SKU-B</t>
        </is>
      </c>
      <c r="D378" s="3" t="inlineStr">
        <is>
          <t xml:space="preserve">Barrier Balm</t>
        </is>
      </c>
      <c r="E378" s="6">
        <f>IF('Settings'!$B$11="Scenario",IFERROR(INDEX('Catalogue'!$E$3:$E$100,MATCH(C378,'Catalogue'!$B$3:$B$100,0)),F378),F378)</f>
        <v>19</v>
      </c>
      <c r="F378" s="8">
        <v>18</v>
      </c>
      <c r="G378" s="3">
        <v>1</v>
      </c>
      <c r="H378" s="6">
        <f>IF('Settings'!$B$11="Scenario",ROUND(E378*G378*IFERROR(SUMIF('Pricing &amp; promotions'!$A$6:$A$8,L378,'Pricing &amp; promotions'!$B$6:$B$8)/100,0),2),J378)</f>
        <v>0.0</v>
      </c>
      <c r="I378" s="6">
        <f>ROUND((E378*G378-H378)/(1+'Settings'!$B$6/100),2)</f>
        <v>15.7</v>
      </c>
      <c r="J378" s="8">
        <v>0.0</v>
      </c>
      <c r="K378" s="3" t="inlineStr">
        <is>
          <t xml:space="preserve">TRUE</t>
        </is>
      </c>
      <c r="L378" s="3"/>
    </row>
    <row r="379">
      <c r="A379" s="3" t="inlineStr">
        <is>
          <t xml:space="preserve">#1275</t>
        </is>
      </c>
      <c r="B379" s="3" t="inlineStr">
        <is>
          <t xml:space="preserve">2026-02-05</t>
        </is>
      </c>
      <c r="C379" s="3" t="inlineStr">
        <is>
          <t xml:space="preserve">SKU-A</t>
        </is>
      </c>
      <c r="D379" s="3" t="inlineStr">
        <is>
          <t xml:space="preserve">Renewal Serum</t>
        </is>
      </c>
      <c r="E379" s="6">
        <f>IF('Settings'!$B$11="Scenario",IFERROR(INDEX('Catalogue'!$E$3:$E$100,MATCH(C379,'Catalogue'!$B$3:$B$100,0)),F379),F379)</f>
        <v>69.9</v>
      </c>
      <c r="F379" s="8">
        <v>69.9</v>
      </c>
      <c r="G379" s="3">
        <v>1</v>
      </c>
      <c r="H379" s="6">
        <f>IF('Settings'!$B$11="Scenario",ROUND(E379*G379*IFERROR(SUMIF('Pricing &amp; promotions'!$A$6:$A$8,L379,'Pricing &amp; promotions'!$B$6:$B$8)/100,0),2),J379)</f>
        <v>0.0</v>
      </c>
      <c r="I379" s="6">
        <f>ROUND((E379*G379-H379)/(1+'Settings'!$B$6/100),2)</f>
        <v>57.77</v>
      </c>
      <c r="J379" s="8">
        <v>0.0</v>
      </c>
      <c r="K379" s="3" t="inlineStr">
        <is>
          <t xml:space="preserve">TRUE</t>
        </is>
      </c>
      <c r="L379" s="3"/>
    </row>
    <row r="380">
      <c r="A380" s="3" t="inlineStr">
        <is>
          <t xml:space="preserve">#1276</t>
        </is>
      </c>
      <c r="B380" s="3" t="inlineStr">
        <is>
          <t xml:space="preserve">2026-02-05</t>
        </is>
      </c>
      <c r="C380" s="3" t="inlineStr">
        <is>
          <t xml:space="preserve">SKU-C</t>
        </is>
      </c>
      <c r="D380" s="3" t="inlineStr">
        <is>
          <t xml:space="preserve">Contour Stone</t>
        </is>
      </c>
      <c r="E380" s="6">
        <f>IF('Settings'!$B$11="Scenario",IFERROR(INDEX('Catalogue'!$E$3:$E$100,MATCH(C380,'Catalogue'!$B$3:$B$100,0)),F380),F380)</f>
        <v>29</v>
      </c>
      <c r="F380" s="8">
        <v>29</v>
      </c>
      <c r="G380" s="3">
        <v>1</v>
      </c>
      <c r="H380" s="6">
        <f>IF('Settings'!$B$11="Scenario",ROUND(E380*G380*IFERROR(SUMIF('Pricing &amp; promotions'!$A$6:$A$8,L380,'Pricing &amp; promotions'!$B$6:$B$8)/100,0),2),J380)</f>
        <v>0.0</v>
      </c>
      <c r="I380" s="6">
        <f>ROUND((E380*G380-H380)/(1+'Settings'!$B$6/100),2)</f>
        <v>23.97</v>
      </c>
      <c r="J380" s="8">
        <v>0.0</v>
      </c>
      <c r="K380" s="3" t="inlineStr">
        <is>
          <t xml:space="preserve">TRUE</t>
        </is>
      </c>
      <c r="L380" s="3"/>
    </row>
    <row r="381">
      <c r="A381" s="3" t="inlineStr">
        <is>
          <t xml:space="preserve">#1277</t>
        </is>
      </c>
      <c r="B381" s="3" t="inlineStr">
        <is>
          <t xml:space="preserve">2026-02-06</t>
        </is>
      </c>
      <c r="C381" s="3" t="inlineStr">
        <is>
          <t xml:space="preserve">SKU-F</t>
        </is>
      </c>
      <c r="D381" s="3" t="inlineStr">
        <is>
          <t xml:space="preserve">Cloud Cleanser</t>
        </is>
      </c>
      <c r="E381" s="6">
        <f>IF('Settings'!$B$11="Scenario",IFERROR(INDEX('Catalogue'!$E$3:$E$100,MATCH(C381,'Catalogue'!$B$3:$B$100,0)),F381),F381)</f>
        <v>34</v>
      </c>
      <c r="F381" s="8">
        <v>34</v>
      </c>
      <c r="G381" s="3">
        <v>1</v>
      </c>
      <c r="H381" s="6">
        <f>IF('Settings'!$B$11="Scenario",ROUND(E381*G381*IFERROR(SUMIF('Pricing &amp; promotions'!$A$6:$A$8,L381,'Pricing &amp; promotions'!$B$6:$B$8)/100,0),2),J381)</f>
        <v>6.8</v>
      </c>
      <c r="I381" s="6">
        <f>ROUND((E381*G381-H381)/(1+'Settings'!$B$6/100),2)</f>
        <v>22.48</v>
      </c>
      <c r="J381" s="8">
        <v>6.8</v>
      </c>
      <c r="K381" s="3" t="inlineStr">
        <is>
          <t xml:space="preserve">TRUE</t>
        </is>
      </c>
      <c r="L381" s="3" t="inlineStr">
        <is>
          <t xml:space="preserve">VIP20</t>
        </is>
      </c>
    </row>
    <row r="382">
      <c r="A382" s="3" t="inlineStr">
        <is>
          <t xml:space="preserve">#1278</t>
        </is>
      </c>
      <c r="B382" s="3" t="inlineStr">
        <is>
          <t xml:space="preserve">2026-02-07</t>
        </is>
      </c>
      <c r="C382" s="3" t="inlineStr">
        <is>
          <t xml:space="preserve">SKU-E</t>
        </is>
      </c>
      <c r="D382" s="3" t="inlineStr">
        <is>
          <t xml:space="preserve">Complete Ritual</t>
        </is>
      </c>
      <c r="E382" s="6">
        <f>IF('Settings'!$B$11="Scenario",IFERROR(INDEX('Catalogue'!$E$3:$E$100,MATCH(C382,'Catalogue'!$B$3:$B$100,0)),F382),F382)</f>
        <v>89</v>
      </c>
      <c r="F382" s="8">
        <v>89</v>
      </c>
      <c r="G382" s="3">
        <v>1</v>
      </c>
      <c r="H382" s="6">
        <f>IF('Settings'!$B$11="Scenario",ROUND(E382*G382*IFERROR(SUMIF('Pricing &amp; promotions'!$A$6:$A$8,L382,'Pricing &amp; promotions'!$B$6:$B$8)/100,0),2),J382)</f>
        <v>0.0</v>
      </c>
      <c r="I382" s="6">
        <f>ROUND((E382*G382-H382)/(1+'Settings'!$B$6/100),2)</f>
        <v>73.55</v>
      </c>
      <c r="J382" s="8">
        <v>0.0</v>
      </c>
      <c r="K382" s="3" t="inlineStr">
        <is>
          <t xml:space="preserve">TRUE</t>
        </is>
      </c>
      <c r="L382" s="3"/>
    </row>
    <row r="383">
      <c r="A383" s="3" t="inlineStr">
        <is>
          <t xml:space="preserve">#1279</t>
        </is>
      </c>
      <c r="B383" s="3" t="inlineStr">
        <is>
          <t xml:space="preserve">2026-02-07</t>
        </is>
      </c>
      <c r="C383" s="3" t="inlineStr">
        <is>
          <t xml:space="preserve">SKU-E</t>
        </is>
      </c>
      <c r="D383" s="3" t="inlineStr">
        <is>
          <t xml:space="preserve">Complete Ritual</t>
        </is>
      </c>
      <c r="E383" s="6">
        <f>IF('Settings'!$B$11="Scenario",IFERROR(INDEX('Catalogue'!$E$3:$E$100,MATCH(C383,'Catalogue'!$B$3:$B$100,0)),F383),F383)</f>
        <v>89</v>
      </c>
      <c r="F383" s="8">
        <v>89</v>
      </c>
      <c r="G383" s="3">
        <v>1</v>
      </c>
      <c r="H383" s="6">
        <f>IF('Settings'!$B$11="Scenario",ROUND(E383*G383*IFERROR(SUMIF('Pricing &amp; promotions'!$A$6:$A$8,L383,'Pricing &amp; promotions'!$B$6:$B$8)/100,0),2),J383)</f>
        <v>13.35</v>
      </c>
      <c r="I383" s="6">
        <f>ROUND((E383*G383-H383)/(1+'Settings'!$B$6/100),2)</f>
        <v>62.52</v>
      </c>
      <c r="J383" s="8">
        <v>13.35</v>
      </c>
      <c r="K383" s="3" t="inlineStr">
        <is>
          <t xml:space="preserve">TRUE</t>
        </is>
      </c>
      <c r="L383" s="3" t="inlineStr">
        <is>
          <t xml:space="preserve">SUMMER15</t>
        </is>
      </c>
    </row>
    <row r="384">
      <c r="A384" s="3" t="inlineStr">
        <is>
          <t xml:space="preserve">#1280</t>
        </is>
      </c>
      <c r="B384" s="3" t="inlineStr">
        <is>
          <t xml:space="preserve">2026-02-08</t>
        </is>
      </c>
      <c r="C384" s="3" t="inlineStr">
        <is>
          <t xml:space="preserve">SKU-A</t>
        </is>
      </c>
      <c r="D384" s="3" t="inlineStr">
        <is>
          <t xml:space="preserve">Renewal Serum</t>
        </is>
      </c>
      <c r="E384" s="6">
        <f>IF('Settings'!$B$11="Scenario",IFERROR(INDEX('Catalogue'!$E$3:$E$100,MATCH(C384,'Catalogue'!$B$3:$B$100,0)),F384),F384)</f>
        <v>69.9</v>
      </c>
      <c r="F384" s="8">
        <v>69.9</v>
      </c>
      <c r="G384" s="3">
        <v>1</v>
      </c>
      <c r="H384" s="6">
        <f>IF('Settings'!$B$11="Scenario",ROUND(E384*G384*IFERROR(SUMIF('Pricing &amp; promotions'!$A$6:$A$8,L384,'Pricing &amp; promotions'!$B$6:$B$8)/100,0),2),J384)</f>
        <v>0.0</v>
      </c>
      <c r="I384" s="6">
        <f>ROUND((E384*G384-H384)/(1+'Settings'!$B$6/100),2)</f>
        <v>57.77</v>
      </c>
      <c r="J384" s="8">
        <v>0.0</v>
      </c>
      <c r="K384" s="3" t="inlineStr">
        <is>
          <t xml:space="preserve">TRUE</t>
        </is>
      </c>
      <c r="L384" s="3"/>
    </row>
    <row r="385">
      <c r="A385" s="3" t="inlineStr">
        <is>
          <t xml:space="preserve">#1281</t>
        </is>
      </c>
      <c r="B385" s="3" t="inlineStr">
        <is>
          <t xml:space="preserve">2026-02-08</t>
        </is>
      </c>
      <c r="C385" s="3" t="inlineStr">
        <is>
          <t xml:space="preserve">SKU-C</t>
        </is>
      </c>
      <c r="D385" s="3" t="inlineStr">
        <is>
          <t xml:space="preserve">Contour Stone</t>
        </is>
      </c>
      <c r="E385" s="6">
        <f>IF('Settings'!$B$11="Scenario",IFERROR(INDEX('Catalogue'!$E$3:$E$100,MATCH(C385,'Catalogue'!$B$3:$B$100,0)),F385),F385)</f>
        <v>29</v>
      </c>
      <c r="F385" s="8">
        <v>29</v>
      </c>
      <c r="G385" s="3">
        <v>1</v>
      </c>
      <c r="H385" s="6">
        <f>IF('Settings'!$B$11="Scenario",ROUND(E385*G385*IFERROR(SUMIF('Pricing &amp; promotions'!$A$6:$A$8,L385,'Pricing &amp; promotions'!$B$6:$B$8)/100,0),2),J385)</f>
        <v>2.9</v>
      </c>
      <c r="I385" s="6">
        <f>ROUND((E385*G385-H385)/(1+'Settings'!$B$6/100),2)</f>
        <v>21.57</v>
      </c>
      <c r="J385" s="8">
        <v>2.9</v>
      </c>
      <c r="K385" s="3" t="inlineStr">
        <is>
          <t xml:space="preserve">TRUE</t>
        </is>
      </c>
      <c r="L385" s="3" t="inlineStr">
        <is>
          <t xml:space="preserve">WELCOME10</t>
        </is>
      </c>
    </row>
    <row r="386">
      <c r="A386" s="3" t="inlineStr">
        <is>
          <t xml:space="preserve">#1281</t>
        </is>
      </c>
      <c r="B386" s="3" t="inlineStr">
        <is>
          <t xml:space="preserve">2026-02-08</t>
        </is>
      </c>
      <c r="C386" s="3" t="inlineStr">
        <is>
          <t xml:space="preserve">SKU-G</t>
        </is>
      </c>
      <c r="D386" s="3" t="inlineStr">
        <is>
          <t xml:space="preserve">Daily Reset Set</t>
        </is>
      </c>
      <c r="E386" s="6">
        <f>IF('Settings'!$B$11="Scenario",IFERROR(INDEX('Catalogue'!$E$3:$E$100,MATCH(C386,'Catalogue'!$B$3:$B$100,0)),F386),F386)</f>
        <v>69</v>
      </c>
      <c r="F386" s="8">
        <v>69</v>
      </c>
      <c r="G386" s="3">
        <v>1</v>
      </c>
      <c r="H386" s="6">
        <f>IF('Settings'!$B$11="Scenario",ROUND(E386*G386*IFERROR(SUMIF('Pricing &amp; promotions'!$A$6:$A$8,L386,'Pricing &amp; promotions'!$B$6:$B$8)/100,0),2),J386)</f>
        <v>6.9</v>
      </c>
      <c r="I386" s="6">
        <f>ROUND((E386*G386-H386)/(1+'Settings'!$B$6/100),2)</f>
        <v>51.32</v>
      </c>
      <c r="J386" s="8">
        <v>6.9</v>
      </c>
      <c r="K386" s="3" t="inlineStr">
        <is>
          <t xml:space="preserve">TRUE</t>
        </is>
      </c>
      <c r="L386" s="3" t="inlineStr">
        <is>
          <t xml:space="preserve">WELCOME10</t>
        </is>
      </c>
    </row>
    <row r="387">
      <c r="A387" s="3" t="inlineStr">
        <is>
          <t xml:space="preserve">#1282</t>
        </is>
      </c>
      <c r="B387" s="3" t="inlineStr">
        <is>
          <t xml:space="preserve">2026-02-08</t>
        </is>
      </c>
      <c r="C387" s="3" t="inlineStr">
        <is>
          <t xml:space="preserve">SKU-B</t>
        </is>
      </c>
      <c r="D387" s="3" t="inlineStr">
        <is>
          <t xml:space="preserve">Barrier Balm</t>
        </is>
      </c>
      <c r="E387" s="6">
        <f>IF('Settings'!$B$11="Scenario",IFERROR(INDEX('Catalogue'!$E$3:$E$100,MATCH(C387,'Catalogue'!$B$3:$B$100,0)),F387),F387)</f>
        <v>19</v>
      </c>
      <c r="F387" s="8">
        <v>18</v>
      </c>
      <c r="G387" s="3">
        <v>1</v>
      </c>
      <c r="H387" s="6">
        <f>IF('Settings'!$B$11="Scenario",ROUND(E387*G387*IFERROR(SUMIF('Pricing &amp; promotions'!$A$6:$A$8,L387,'Pricing &amp; promotions'!$B$6:$B$8)/100,0),2),J387)</f>
        <v>0.0</v>
      </c>
      <c r="I387" s="6">
        <f>ROUND((E387*G387-H387)/(1+'Settings'!$B$6/100),2)</f>
        <v>15.7</v>
      </c>
      <c r="J387" s="8">
        <v>0.0</v>
      </c>
      <c r="K387" s="3" t="inlineStr">
        <is>
          <t xml:space="preserve">TRUE</t>
        </is>
      </c>
      <c r="L387" s="3"/>
    </row>
    <row r="388">
      <c r="A388" s="3" t="inlineStr">
        <is>
          <t xml:space="preserve">#1283</t>
        </is>
      </c>
      <c r="B388" s="3" t="inlineStr">
        <is>
          <t xml:space="preserve">2026-02-09</t>
        </is>
      </c>
      <c r="C388" s="3" t="inlineStr">
        <is>
          <t xml:space="preserve">SKU-C</t>
        </is>
      </c>
      <c r="D388" s="3" t="inlineStr">
        <is>
          <t xml:space="preserve">Contour Stone</t>
        </is>
      </c>
      <c r="E388" s="6">
        <f>IF('Settings'!$B$11="Scenario",IFERROR(INDEX('Catalogue'!$E$3:$E$100,MATCH(C388,'Catalogue'!$B$3:$B$100,0)),F388),F388)</f>
        <v>29</v>
      </c>
      <c r="F388" s="8">
        <v>29</v>
      </c>
      <c r="G388" s="3">
        <v>1</v>
      </c>
      <c r="H388" s="6">
        <f>IF('Settings'!$B$11="Scenario",ROUND(E388*G388*IFERROR(SUMIF('Pricing &amp; promotions'!$A$6:$A$8,L388,'Pricing &amp; promotions'!$B$6:$B$8)/100,0),2),J388)</f>
        <v>0.0</v>
      </c>
      <c r="I388" s="6">
        <f>ROUND((E388*G388-H388)/(1+'Settings'!$B$6/100),2)</f>
        <v>23.97</v>
      </c>
      <c r="J388" s="8">
        <v>0.0</v>
      </c>
      <c r="K388" s="3" t="inlineStr">
        <is>
          <t xml:space="preserve">TRUE</t>
        </is>
      </c>
      <c r="L388" s="3"/>
    </row>
    <row r="389">
      <c r="A389" s="3" t="inlineStr">
        <is>
          <t xml:space="preserve">#1283</t>
        </is>
      </c>
      <c r="B389" s="3" t="inlineStr">
        <is>
          <t xml:space="preserve">2026-02-09</t>
        </is>
      </c>
      <c r="C389" s="3" t="inlineStr">
        <is>
          <t xml:space="preserve">SKU-A</t>
        </is>
      </c>
      <c r="D389" s="3" t="inlineStr">
        <is>
          <t xml:space="preserve">Renewal Serum</t>
        </is>
      </c>
      <c r="E389" s="6">
        <f>IF('Settings'!$B$11="Scenario",IFERROR(INDEX('Catalogue'!$E$3:$E$100,MATCH(C389,'Catalogue'!$B$3:$B$100,0)),F389),F389)</f>
        <v>69.9</v>
      </c>
      <c r="F389" s="8">
        <v>69.9</v>
      </c>
      <c r="G389" s="3">
        <v>1</v>
      </c>
      <c r="H389" s="6">
        <f>IF('Settings'!$B$11="Scenario",ROUND(E389*G389*IFERROR(SUMIF('Pricing &amp; promotions'!$A$6:$A$8,L389,'Pricing &amp; promotions'!$B$6:$B$8)/100,0),2),J389)</f>
        <v>0.0</v>
      </c>
      <c r="I389" s="6">
        <f>ROUND((E389*G389-H389)/(1+'Settings'!$B$6/100),2)</f>
        <v>57.77</v>
      </c>
      <c r="J389" s="8">
        <v>0.0</v>
      </c>
      <c r="K389" s="3" t="inlineStr">
        <is>
          <t xml:space="preserve">TRUE</t>
        </is>
      </c>
      <c r="L389" s="3"/>
    </row>
    <row r="390">
      <c r="A390" s="3" t="inlineStr">
        <is>
          <t xml:space="preserve">#1284</t>
        </is>
      </c>
      <c r="B390" s="3" t="inlineStr">
        <is>
          <t xml:space="preserve">2026-02-09</t>
        </is>
      </c>
      <c r="C390" s="3" t="inlineStr">
        <is>
          <t xml:space="preserve">SKU-A</t>
        </is>
      </c>
      <c r="D390" s="3" t="inlineStr">
        <is>
          <t xml:space="preserve">Renewal Serum</t>
        </is>
      </c>
      <c r="E390" s="6">
        <f>IF('Settings'!$B$11="Scenario",IFERROR(INDEX('Catalogue'!$E$3:$E$100,MATCH(C390,'Catalogue'!$B$3:$B$100,0)),F390),F390)</f>
        <v>69.9</v>
      </c>
      <c r="F390" s="8">
        <v>69.9</v>
      </c>
      <c r="G390" s="3">
        <v>1</v>
      </c>
      <c r="H390" s="6">
        <f>IF('Settings'!$B$11="Scenario",ROUND(E390*G390*IFERROR(SUMIF('Pricing &amp; promotions'!$A$6:$A$8,L390,'Pricing &amp; promotions'!$B$6:$B$8)/100,0),2),J390)</f>
        <v>0.0</v>
      </c>
      <c r="I390" s="6">
        <f>ROUND((E390*G390-H390)/(1+'Settings'!$B$6/100),2)</f>
        <v>57.77</v>
      </c>
      <c r="J390" s="8">
        <v>0.0</v>
      </c>
      <c r="K390" s="3" t="inlineStr">
        <is>
          <t xml:space="preserve">TRUE</t>
        </is>
      </c>
      <c r="L390" s="3"/>
    </row>
    <row r="391">
      <c r="A391" s="3" t="inlineStr">
        <is>
          <t xml:space="preserve">#1284</t>
        </is>
      </c>
      <c r="B391" s="3" t="inlineStr">
        <is>
          <t xml:space="preserve">2026-02-09</t>
        </is>
      </c>
      <c r="C391" s="3" t="inlineStr">
        <is>
          <t xml:space="preserve">SKU-E</t>
        </is>
      </c>
      <c r="D391" s="3" t="inlineStr">
        <is>
          <t xml:space="preserve">Complete Ritual</t>
        </is>
      </c>
      <c r="E391" s="6">
        <f>IF('Settings'!$B$11="Scenario",IFERROR(INDEX('Catalogue'!$E$3:$E$100,MATCH(C391,'Catalogue'!$B$3:$B$100,0)),F391),F391)</f>
        <v>89</v>
      </c>
      <c r="F391" s="8">
        <v>89</v>
      </c>
      <c r="G391" s="3">
        <v>1</v>
      </c>
      <c r="H391" s="6">
        <f>IF('Settings'!$B$11="Scenario",ROUND(E391*G391*IFERROR(SUMIF('Pricing &amp; promotions'!$A$6:$A$8,L391,'Pricing &amp; promotions'!$B$6:$B$8)/100,0),2),J391)</f>
        <v>0.0</v>
      </c>
      <c r="I391" s="6">
        <f>ROUND((E391*G391-H391)/(1+'Settings'!$B$6/100),2)</f>
        <v>73.55</v>
      </c>
      <c r="J391" s="8">
        <v>0.0</v>
      </c>
      <c r="K391" s="3" t="inlineStr">
        <is>
          <t xml:space="preserve">TRUE</t>
        </is>
      </c>
      <c r="L391" s="3"/>
    </row>
    <row r="392">
      <c r="A392" s="3" t="inlineStr">
        <is>
          <t xml:space="preserve">#1285</t>
        </is>
      </c>
      <c r="B392" s="3" t="inlineStr">
        <is>
          <t xml:space="preserve">2026-02-10</t>
        </is>
      </c>
      <c r="C392" s="3" t="inlineStr">
        <is>
          <t xml:space="preserve">SKU-E</t>
        </is>
      </c>
      <c r="D392" s="3" t="inlineStr">
        <is>
          <t xml:space="preserve">Complete Ritual</t>
        </is>
      </c>
      <c r="E392" s="6">
        <f>IF('Settings'!$B$11="Scenario",IFERROR(INDEX('Catalogue'!$E$3:$E$100,MATCH(C392,'Catalogue'!$B$3:$B$100,0)),F392),F392)</f>
        <v>89</v>
      </c>
      <c r="F392" s="8">
        <v>89</v>
      </c>
      <c r="G392" s="3">
        <v>1</v>
      </c>
      <c r="H392" s="6">
        <f>IF('Settings'!$B$11="Scenario",ROUND(E392*G392*IFERROR(SUMIF('Pricing &amp; promotions'!$A$6:$A$8,L392,'Pricing &amp; promotions'!$B$6:$B$8)/100,0),2),J392)</f>
        <v>13.35</v>
      </c>
      <c r="I392" s="6">
        <f>ROUND((E392*G392-H392)/(1+'Settings'!$B$6/100),2)</f>
        <v>62.52</v>
      </c>
      <c r="J392" s="8">
        <v>13.35</v>
      </c>
      <c r="K392" s="3" t="inlineStr">
        <is>
          <t xml:space="preserve">TRUE</t>
        </is>
      </c>
      <c r="L392" s="3" t="inlineStr">
        <is>
          <t xml:space="preserve">SUMMER15</t>
        </is>
      </c>
    </row>
    <row r="393">
      <c r="A393" s="3" t="inlineStr">
        <is>
          <t xml:space="preserve">#1286</t>
        </is>
      </c>
      <c r="B393" s="3" t="inlineStr">
        <is>
          <t xml:space="preserve">2026-02-10</t>
        </is>
      </c>
      <c r="C393" s="3" t="inlineStr">
        <is>
          <t xml:space="preserve">SKU-A</t>
        </is>
      </c>
      <c r="D393" s="3" t="inlineStr">
        <is>
          <t xml:space="preserve">Renewal Serum</t>
        </is>
      </c>
      <c r="E393" s="6">
        <f>IF('Settings'!$B$11="Scenario",IFERROR(INDEX('Catalogue'!$E$3:$E$100,MATCH(C393,'Catalogue'!$B$3:$B$100,0)),F393),F393)</f>
        <v>69.9</v>
      </c>
      <c r="F393" s="8">
        <v>69.9</v>
      </c>
      <c r="G393" s="3">
        <v>1</v>
      </c>
      <c r="H393" s="6">
        <f>IF('Settings'!$B$11="Scenario",ROUND(E393*G393*IFERROR(SUMIF('Pricing &amp; promotions'!$A$6:$A$8,L393,'Pricing &amp; promotions'!$B$6:$B$8)/100,0),2),J393)</f>
        <v>0.0</v>
      </c>
      <c r="I393" s="6">
        <f>ROUND((E393*G393-H393)/(1+'Settings'!$B$6/100),2)</f>
        <v>57.77</v>
      </c>
      <c r="J393" s="8">
        <v>0.0</v>
      </c>
      <c r="K393" s="3" t="inlineStr">
        <is>
          <t xml:space="preserve">TRUE</t>
        </is>
      </c>
      <c r="L393" s="3"/>
    </row>
    <row r="394">
      <c r="A394" s="3" t="inlineStr">
        <is>
          <t xml:space="preserve">#1287</t>
        </is>
      </c>
      <c r="B394" s="3" t="inlineStr">
        <is>
          <t xml:space="preserve">2026-02-10</t>
        </is>
      </c>
      <c r="C394" s="3" t="inlineStr">
        <is>
          <t xml:space="preserve">SKU-A</t>
        </is>
      </c>
      <c r="D394" s="3" t="inlineStr">
        <is>
          <t xml:space="preserve">Renewal Serum</t>
        </is>
      </c>
      <c r="E394" s="6">
        <f>IF('Settings'!$B$11="Scenario",IFERROR(INDEX('Catalogue'!$E$3:$E$100,MATCH(C394,'Catalogue'!$B$3:$B$100,0)),F394),F394)</f>
        <v>69.9</v>
      </c>
      <c r="F394" s="8">
        <v>69.9</v>
      </c>
      <c r="G394" s="3">
        <v>1</v>
      </c>
      <c r="H394" s="6">
        <f>IF('Settings'!$B$11="Scenario",ROUND(E394*G394*IFERROR(SUMIF('Pricing &amp; promotions'!$A$6:$A$8,L394,'Pricing &amp; promotions'!$B$6:$B$8)/100,0),2),J394)</f>
        <v>0.0</v>
      </c>
      <c r="I394" s="6">
        <f>ROUND((E394*G394-H394)/(1+'Settings'!$B$6/100),2)</f>
        <v>57.77</v>
      </c>
      <c r="J394" s="8">
        <v>0.0</v>
      </c>
      <c r="K394" s="3" t="inlineStr">
        <is>
          <t xml:space="preserve">TRUE</t>
        </is>
      </c>
      <c r="L394" s="3"/>
    </row>
    <row r="395">
      <c r="A395" s="3" t="inlineStr">
        <is>
          <t xml:space="preserve">#1288</t>
        </is>
      </c>
      <c r="B395" s="3" t="inlineStr">
        <is>
          <t xml:space="preserve">2026-02-11</t>
        </is>
      </c>
      <c r="C395" s="3" t="inlineStr">
        <is>
          <t xml:space="preserve">SKU-G</t>
        </is>
      </c>
      <c r="D395" s="3" t="inlineStr">
        <is>
          <t xml:space="preserve">Daily Reset Set</t>
        </is>
      </c>
      <c r="E395" s="6">
        <f>IF('Settings'!$B$11="Scenario",IFERROR(INDEX('Catalogue'!$E$3:$E$100,MATCH(C395,'Catalogue'!$B$3:$B$100,0)),F395),F395)</f>
        <v>69</v>
      </c>
      <c r="F395" s="8">
        <v>69</v>
      </c>
      <c r="G395" s="3">
        <v>1</v>
      </c>
      <c r="H395" s="6">
        <f>IF('Settings'!$B$11="Scenario",ROUND(E395*G395*IFERROR(SUMIF('Pricing &amp; promotions'!$A$6:$A$8,L395,'Pricing &amp; promotions'!$B$6:$B$8)/100,0),2),J395)</f>
        <v>6.9</v>
      </c>
      <c r="I395" s="6">
        <f>ROUND((E395*G395-H395)/(1+'Settings'!$B$6/100),2)</f>
        <v>51.32</v>
      </c>
      <c r="J395" s="8">
        <v>6.9</v>
      </c>
      <c r="K395" s="3" t="inlineStr">
        <is>
          <t xml:space="preserve">TRUE</t>
        </is>
      </c>
      <c r="L395" s="3" t="inlineStr">
        <is>
          <t xml:space="preserve">WELCOME10</t>
        </is>
      </c>
    </row>
    <row r="396">
      <c r="A396" s="3" t="inlineStr">
        <is>
          <t xml:space="preserve">#1288</t>
        </is>
      </c>
      <c r="B396" s="3" t="inlineStr">
        <is>
          <t xml:space="preserve">2026-02-11</t>
        </is>
      </c>
      <c r="C396" s="3" t="inlineStr">
        <is>
          <t xml:space="preserve">SKU-D</t>
        </is>
      </c>
      <c r="D396" s="3" t="inlineStr">
        <is>
          <t xml:space="preserve">Daily Duo</t>
        </is>
      </c>
      <c r="E396" s="6">
        <f>IF('Settings'!$B$11="Scenario",IFERROR(INDEX('Catalogue'!$E$3:$E$100,MATCH(C396,'Catalogue'!$B$3:$B$100,0)),F396),F396)</f>
        <v>79</v>
      </c>
      <c r="F396" s="8">
        <v>79</v>
      </c>
      <c r="G396" s="3">
        <v>1</v>
      </c>
      <c r="H396" s="6">
        <f>IF('Settings'!$B$11="Scenario",ROUND(E396*G396*IFERROR(SUMIF('Pricing &amp; promotions'!$A$6:$A$8,L396,'Pricing &amp; promotions'!$B$6:$B$8)/100,0),2),J396)</f>
        <v>7.9</v>
      </c>
      <c r="I396" s="6">
        <f>ROUND((E396*G396-H396)/(1+'Settings'!$B$6/100),2)</f>
        <v>58.76</v>
      </c>
      <c r="J396" s="8">
        <v>7.9</v>
      </c>
      <c r="K396" s="3" t="inlineStr">
        <is>
          <t xml:space="preserve">TRUE</t>
        </is>
      </c>
      <c r="L396" s="3" t="inlineStr">
        <is>
          <t xml:space="preserve">WELCOME10</t>
        </is>
      </c>
    </row>
    <row r="397">
      <c r="A397" s="3" t="inlineStr">
        <is>
          <t xml:space="preserve">#1289</t>
        </is>
      </c>
      <c r="B397" s="3" t="inlineStr">
        <is>
          <t xml:space="preserve">2026-02-11</t>
        </is>
      </c>
      <c r="C397" s="3" t="inlineStr">
        <is>
          <t xml:space="preserve">SKU-B</t>
        </is>
      </c>
      <c r="D397" s="3" t="inlineStr">
        <is>
          <t xml:space="preserve">Barrier Balm</t>
        </is>
      </c>
      <c r="E397" s="6">
        <f>IF('Settings'!$B$11="Scenario",IFERROR(INDEX('Catalogue'!$E$3:$E$100,MATCH(C397,'Catalogue'!$B$3:$B$100,0)),F397),F397)</f>
        <v>19</v>
      </c>
      <c r="F397" s="8">
        <v>18</v>
      </c>
      <c r="G397" s="3">
        <v>1</v>
      </c>
      <c r="H397" s="6">
        <f>IF('Settings'!$B$11="Scenario",ROUND(E397*G397*IFERROR(SUMIF('Pricing &amp; promotions'!$A$6:$A$8,L397,'Pricing &amp; promotions'!$B$6:$B$8)/100,0),2),J397)</f>
        <v>1.9</v>
      </c>
      <c r="I397" s="6">
        <f>ROUND((E397*G397-H397)/(1+'Settings'!$B$6/100),2)</f>
        <v>14.13</v>
      </c>
      <c r="J397" s="8">
        <v>1.8</v>
      </c>
      <c r="K397" s="3" t="inlineStr">
        <is>
          <t xml:space="preserve">TRUE</t>
        </is>
      </c>
      <c r="L397" s="3" t="inlineStr">
        <is>
          <t xml:space="preserve">WELCOME10</t>
        </is>
      </c>
    </row>
    <row r="398">
      <c r="A398" s="3" t="inlineStr">
        <is>
          <t xml:space="preserve">#1290</t>
        </is>
      </c>
      <c r="B398" s="3" t="inlineStr">
        <is>
          <t xml:space="preserve">2026-02-12</t>
        </is>
      </c>
      <c r="C398" s="3" t="inlineStr">
        <is>
          <t xml:space="preserve">SKU-G</t>
        </is>
      </c>
      <c r="D398" s="3" t="inlineStr">
        <is>
          <t xml:space="preserve">Daily Reset Set</t>
        </is>
      </c>
      <c r="E398" s="6">
        <f>IF('Settings'!$B$11="Scenario",IFERROR(INDEX('Catalogue'!$E$3:$E$100,MATCH(C398,'Catalogue'!$B$3:$B$100,0)),F398),F398)</f>
        <v>69</v>
      </c>
      <c r="F398" s="8">
        <v>69</v>
      </c>
      <c r="G398" s="3">
        <v>1</v>
      </c>
      <c r="H398" s="6">
        <f>IF('Settings'!$B$11="Scenario",ROUND(E398*G398*IFERROR(SUMIF('Pricing &amp; promotions'!$A$6:$A$8,L398,'Pricing &amp; promotions'!$B$6:$B$8)/100,0),2),J398)</f>
        <v>0.0</v>
      </c>
      <c r="I398" s="6">
        <f>ROUND((E398*G398-H398)/(1+'Settings'!$B$6/100),2)</f>
        <v>57.02</v>
      </c>
      <c r="J398" s="8">
        <v>0.0</v>
      </c>
      <c r="K398" s="3" t="inlineStr">
        <is>
          <t xml:space="preserve">TRUE</t>
        </is>
      </c>
      <c r="L398" s="3"/>
    </row>
    <row r="399">
      <c r="A399" s="3" t="inlineStr">
        <is>
          <t xml:space="preserve">#1290</t>
        </is>
      </c>
      <c r="B399" s="3" t="inlineStr">
        <is>
          <t xml:space="preserve">2026-02-12</t>
        </is>
      </c>
      <c r="C399" s="3" t="inlineStr">
        <is>
          <t xml:space="preserve">SKU-A</t>
        </is>
      </c>
      <c r="D399" s="3" t="inlineStr">
        <is>
          <t xml:space="preserve">Renewal Serum</t>
        </is>
      </c>
      <c r="E399" s="6">
        <f>IF('Settings'!$B$11="Scenario",IFERROR(INDEX('Catalogue'!$E$3:$E$100,MATCH(C399,'Catalogue'!$B$3:$B$100,0)),F399),F399)</f>
        <v>69.9</v>
      </c>
      <c r="F399" s="8">
        <v>69.9</v>
      </c>
      <c r="G399" s="3">
        <v>2</v>
      </c>
      <c r="H399" s="6">
        <f>IF('Settings'!$B$11="Scenario",ROUND(E399*G399*IFERROR(SUMIF('Pricing &amp; promotions'!$A$6:$A$8,L399,'Pricing &amp; promotions'!$B$6:$B$8)/100,0),2),J399)</f>
        <v>0.0</v>
      </c>
      <c r="I399" s="6">
        <f>ROUND((E399*G399-H399)/(1+'Settings'!$B$6/100),2)</f>
        <v>115.54</v>
      </c>
      <c r="J399" s="8">
        <v>0.0</v>
      </c>
      <c r="K399" s="3" t="inlineStr">
        <is>
          <t xml:space="preserve">TRUE</t>
        </is>
      </c>
      <c r="L399" s="3"/>
    </row>
    <row r="400">
      <c r="A400" s="3" t="inlineStr">
        <is>
          <t xml:space="preserve">#1291</t>
        </is>
      </c>
      <c r="B400" s="3" t="inlineStr">
        <is>
          <t xml:space="preserve">2026-02-12</t>
        </is>
      </c>
      <c r="C400" s="3" t="inlineStr">
        <is>
          <t xml:space="preserve">SKU-B</t>
        </is>
      </c>
      <c r="D400" s="3" t="inlineStr">
        <is>
          <t xml:space="preserve">Barrier Balm</t>
        </is>
      </c>
      <c r="E400" s="6">
        <f>IF('Settings'!$B$11="Scenario",IFERROR(INDEX('Catalogue'!$E$3:$E$100,MATCH(C400,'Catalogue'!$B$3:$B$100,0)),F400),F400)</f>
        <v>19</v>
      </c>
      <c r="F400" s="8">
        <v>18</v>
      </c>
      <c r="G400" s="3">
        <v>1</v>
      </c>
      <c r="H400" s="6">
        <f>IF('Settings'!$B$11="Scenario",ROUND(E400*G400*IFERROR(SUMIF('Pricing &amp; promotions'!$A$6:$A$8,L400,'Pricing &amp; promotions'!$B$6:$B$8)/100,0),2),J400)</f>
        <v>0.0</v>
      </c>
      <c r="I400" s="6">
        <f>ROUND((E400*G400-H400)/(1+'Settings'!$B$6/100),2)</f>
        <v>15.7</v>
      </c>
      <c r="J400" s="8">
        <v>0.0</v>
      </c>
      <c r="K400" s="3" t="inlineStr">
        <is>
          <t xml:space="preserve">TRUE</t>
        </is>
      </c>
      <c r="L400" s="3"/>
    </row>
    <row r="401">
      <c r="A401" s="3" t="inlineStr">
        <is>
          <t xml:space="preserve">#1292</t>
        </is>
      </c>
      <c r="B401" s="3" t="inlineStr">
        <is>
          <t xml:space="preserve">2026-02-13</t>
        </is>
      </c>
      <c r="C401" s="3" t="inlineStr">
        <is>
          <t xml:space="preserve">SKU-D</t>
        </is>
      </c>
      <c r="D401" s="3" t="inlineStr">
        <is>
          <t xml:space="preserve">Daily Duo</t>
        </is>
      </c>
      <c r="E401" s="6">
        <f>IF('Settings'!$B$11="Scenario",IFERROR(INDEX('Catalogue'!$E$3:$E$100,MATCH(C401,'Catalogue'!$B$3:$B$100,0)),F401),F401)</f>
        <v>79</v>
      </c>
      <c r="F401" s="8">
        <v>79</v>
      </c>
      <c r="G401" s="3">
        <v>1</v>
      </c>
      <c r="H401" s="6">
        <f>IF('Settings'!$B$11="Scenario",ROUND(E401*G401*IFERROR(SUMIF('Pricing &amp; promotions'!$A$6:$A$8,L401,'Pricing &amp; promotions'!$B$6:$B$8)/100,0),2),J401)</f>
        <v>7.9</v>
      </c>
      <c r="I401" s="6">
        <f>ROUND((E401*G401-H401)/(1+'Settings'!$B$6/100),2)</f>
        <v>58.76</v>
      </c>
      <c r="J401" s="8">
        <v>7.9</v>
      </c>
      <c r="K401" s="3" t="inlineStr">
        <is>
          <t xml:space="preserve">TRUE</t>
        </is>
      </c>
      <c r="L401" s="3" t="inlineStr">
        <is>
          <t xml:space="preserve">WELCOME10</t>
        </is>
      </c>
    </row>
    <row r="402">
      <c r="A402" s="3" t="inlineStr">
        <is>
          <t xml:space="preserve">#1292</t>
        </is>
      </c>
      <c r="B402" s="3" t="inlineStr">
        <is>
          <t xml:space="preserve">2026-02-13</t>
        </is>
      </c>
      <c r="C402" s="3" t="inlineStr">
        <is>
          <t xml:space="preserve">SKU-A</t>
        </is>
      </c>
      <c r="D402" s="3" t="inlineStr">
        <is>
          <t xml:space="preserve">Renewal Serum</t>
        </is>
      </c>
      <c r="E402" s="6">
        <f>IF('Settings'!$B$11="Scenario",IFERROR(INDEX('Catalogue'!$E$3:$E$100,MATCH(C402,'Catalogue'!$B$3:$B$100,0)),F402),F402)</f>
        <v>69.9</v>
      </c>
      <c r="F402" s="8">
        <v>69.9</v>
      </c>
      <c r="G402" s="3">
        <v>2</v>
      </c>
      <c r="H402" s="6">
        <f>IF('Settings'!$B$11="Scenario",ROUND(E402*G402*IFERROR(SUMIF('Pricing &amp; promotions'!$A$6:$A$8,L402,'Pricing &amp; promotions'!$B$6:$B$8)/100,0),2),J402)</f>
        <v>13.98</v>
      </c>
      <c r="I402" s="6">
        <f>ROUND((E402*G402-H402)/(1+'Settings'!$B$6/100),2)</f>
        <v>103.98</v>
      </c>
      <c r="J402" s="8">
        <v>13.98</v>
      </c>
      <c r="K402" s="3" t="inlineStr">
        <is>
          <t xml:space="preserve">TRUE</t>
        </is>
      </c>
      <c r="L402" s="3" t="inlineStr">
        <is>
          <t xml:space="preserve">WELCOME10</t>
        </is>
      </c>
    </row>
    <row r="403">
      <c r="A403" s="3" t="inlineStr">
        <is>
          <t xml:space="preserve">#1293</t>
        </is>
      </c>
      <c r="B403" s="3" t="inlineStr">
        <is>
          <t xml:space="preserve">2026-02-13</t>
        </is>
      </c>
      <c r="C403" s="3" t="inlineStr">
        <is>
          <t xml:space="preserve">SKU-G</t>
        </is>
      </c>
      <c r="D403" s="3" t="inlineStr">
        <is>
          <t xml:space="preserve">Daily Reset Set</t>
        </is>
      </c>
      <c r="E403" s="6">
        <f>IF('Settings'!$B$11="Scenario",IFERROR(INDEX('Catalogue'!$E$3:$E$100,MATCH(C403,'Catalogue'!$B$3:$B$100,0)),F403),F403)</f>
        <v>69</v>
      </c>
      <c r="F403" s="8">
        <v>69</v>
      </c>
      <c r="G403" s="3">
        <v>1</v>
      </c>
      <c r="H403" s="6">
        <f>IF('Settings'!$B$11="Scenario",ROUND(E403*G403*IFERROR(SUMIF('Pricing &amp; promotions'!$A$6:$A$8,L403,'Pricing &amp; promotions'!$B$6:$B$8)/100,0),2),J403)</f>
        <v>0.0</v>
      </c>
      <c r="I403" s="6">
        <f>ROUND((E403*G403-H403)/(1+'Settings'!$B$6/100),2)</f>
        <v>57.02</v>
      </c>
      <c r="J403" s="8">
        <v>0.0</v>
      </c>
      <c r="K403" s="3" t="inlineStr">
        <is>
          <t xml:space="preserve">TRUE</t>
        </is>
      </c>
      <c r="L403" s="3"/>
    </row>
    <row r="404">
      <c r="A404" s="3" t="inlineStr">
        <is>
          <t xml:space="preserve">#1294</t>
        </is>
      </c>
      <c r="B404" s="3" t="inlineStr">
        <is>
          <t xml:space="preserve">2026-02-13</t>
        </is>
      </c>
      <c r="C404" s="3" t="inlineStr">
        <is>
          <t xml:space="preserve">SKU-A</t>
        </is>
      </c>
      <c r="D404" s="3" t="inlineStr">
        <is>
          <t xml:space="preserve">Renewal Serum</t>
        </is>
      </c>
      <c r="E404" s="6">
        <f>IF('Settings'!$B$11="Scenario",IFERROR(INDEX('Catalogue'!$E$3:$E$100,MATCH(C404,'Catalogue'!$B$3:$B$100,0)),F404),F404)</f>
        <v>69.9</v>
      </c>
      <c r="F404" s="8">
        <v>69.9</v>
      </c>
      <c r="G404" s="3">
        <v>1</v>
      </c>
      <c r="H404" s="6">
        <f>IF('Settings'!$B$11="Scenario",ROUND(E404*G404*IFERROR(SUMIF('Pricing &amp; promotions'!$A$6:$A$8,L404,'Pricing &amp; promotions'!$B$6:$B$8)/100,0),2),J404)</f>
        <v>0.0</v>
      </c>
      <c r="I404" s="6">
        <f>ROUND((E404*G404-H404)/(1+'Settings'!$B$6/100),2)</f>
        <v>57.77</v>
      </c>
      <c r="J404" s="8">
        <v>0.0</v>
      </c>
      <c r="K404" s="3" t="inlineStr">
        <is>
          <t xml:space="preserve">TRUE</t>
        </is>
      </c>
      <c r="L404" s="3"/>
    </row>
    <row r="405">
      <c r="A405" s="3" t="inlineStr">
        <is>
          <t xml:space="preserve">#1295</t>
        </is>
      </c>
      <c r="B405" s="3" t="inlineStr">
        <is>
          <t xml:space="preserve">2026-02-14</t>
        </is>
      </c>
      <c r="C405" s="3" t="inlineStr">
        <is>
          <t xml:space="preserve">SKU-D</t>
        </is>
      </c>
      <c r="D405" s="3" t="inlineStr">
        <is>
          <t xml:space="preserve">Daily Duo</t>
        </is>
      </c>
      <c r="E405" s="6">
        <f>IF('Settings'!$B$11="Scenario",IFERROR(INDEX('Catalogue'!$E$3:$E$100,MATCH(C405,'Catalogue'!$B$3:$B$100,0)),F405),F405)</f>
        <v>79</v>
      </c>
      <c r="F405" s="8">
        <v>79</v>
      </c>
      <c r="G405" s="3">
        <v>1</v>
      </c>
      <c r="H405" s="6">
        <f>IF('Settings'!$B$11="Scenario",ROUND(E405*G405*IFERROR(SUMIF('Pricing &amp; promotions'!$A$6:$A$8,L405,'Pricing &amp; promotions'!$B$6:$B$8)/100,0),2),J405)</f>
        <v>0.0</v>
      </c>
      <c r="I405" s="6">
        <f>ROUND((E405*G405-H405)/(1+'Settings'!$B$6/100),2)</f>
        <v>65.29</v>
      </c>
      <c r="J405" s="8">
        <v>0.0</v>
      </c>
      <c r="K405" s="3" t="inlineStr">
        <is>
          <t xml:space="preserve">TRUE</t>
        </is>
      </c>
      <c r="L405" s="3"/>
    </row>
    <row r="406">
      <c r="A406" s="3" t="inlineStr">
        <is>
          <t xml:space="preserve">#1296</t>
        </is>
      </c>
      <c r="B406" s="3" t="inlineStr">
        <is>
          <t xml:space="preserve">2026-02-15</t>
        </is>
      </c>
      <c r="C406" s="3" t="inlineStr">
        <is>
          <t xml:space="preserve">SKU-B</t>
        </is>
      </c>
      <c r="D406" s="3" t="inlineStr">
        <is>
          <t xml:space="preserve">Barrier Balm</t>
        </is>
      </c>
      <c r="E406" s="6">
        <f>IF('Settings'!$B$11="Scenario",IFERROR(INDEX('Catalogue'!$E$3:$E$100,MATCH(C406,'Catalogue'!$B$3:$B$100,0)),F406),F406)</f>
        <v>19</v>
      </c>
      <c r="F406" s="8">
        <v>18</v>
      </c>
      <c r="G406" s="3">
        <v>1</v>
      </c>
      <c r="H406" s="6">
        <f>IF('Settings'!$B$11="Scenario",ROUND(E406*G406*IFERROR(SUMIF('Pricing &amp; promotions'!$A$6:$A$8,L406,'Pricing &amp; promotions'!$B$6:$B$8)/100,0),2),J406)</f>
        <v>1.9</v>
      </c>
      <c r="I406" s="6">
        <f>ROUND((E406*G406-H406)/(1+'Settings'!$B$6/100),2)</f>
        <v>14.13</v>
      </c>
      <c r="J406" s="8">
        <v>1.8</v>
      </c>
      <c r="K406" s="3" t="inlineStr">
        <is>
          <t xml:space="preserve">TRUE</t>
        </is>
      </c>
      <c r="L406" s="3" t="inlineStr">
        <is>
          <t xml:space="preserve">WELCOME10</t>
        </is>
      </c>
    </row>
    <row r="407">
      <c r="A407" s="3" t="inlineStr">
        <is>
          <t xml:space="preserve">#1297</t>
        </is>
      </c>
      <c r="B407" s="3" t="inlineStr">
        <is>
          <t xml:space="preserve">2026-02-16</t>
        </is>
      </c>
      <c r="C407" s="3" t="inlineStr">
        <is>
          <t xml:space="preserve">SKU-D</t>
        </is>
      </c>
      <c r="D407" s="3" t="inlineStr">
        <is>
          <t xml:space="preserve">Daily Duo</t>
        </is>
      </c>
      <c r="E407" s="6">
        <f>IF('Settings'!$B$11="Scenario",IFERROR(INDEX('Catalogue'!$E$3:$E$100,MATCH(C407,'Catalogue'!$B$3:$B$100,0)),F407),F407)</f>
        <v>79</v>
      </c>
      <c r="F407" s="8">
        <v>79</v>
      </c>
      <c r="G407" s="3">
        <v>1</v>
      </c>
      <c r="H407" s="6">
        <f>IF('Settings'!$B$11="Scenario",ROUND(E407*G407*IFERROR(SUMIF('Pricing &amp; promotions'!$A$6:$A$8,L407,'Pricing &amp; promotions'!$B$6:$B$8)/100,0),2),J407)</f>
        <v>0.0</v>
      </c>
      <c r="I407" s="6">
        <f>ROUND((E407*G407-H407)/(1+'Settings'!$B$6/100),2)</f>
        <v>65.29</v>
      </c>
      <c r="J407" s="8">
        <v>0.0</v>
      </c>
      <c r="K407" s="3" t="inlineStr">
        <is>
          <t xml:space="preserve">TRUE</t>
        </is>
      </c>
      <c r="L407" s="3"/>
    </row>
    <row r="408">
      <c r="A408" s="3" t="inlineStr">
        <is>
          <t xml:space="preserve">#1297</t>
        </is>
      </c>
      <c r="B408" s="3" t="inlineStr">
        <is>
          <t xml:space="preserve">2026-02-16</t>
        </is>
      </c>
      <c r="C408" s="3" t="inlineStr">
        <is>
          <t xml:space="preserve">SKU-B</t>
        </is>
      </c>
      <c r="D408" s="3" t="inlineStr">
        <is>
          <t xml:space="preserve">Barrier Balm</t>
        </is>
      </c>
      <c r="E408" s="6">
        <f>IF('Settings'!$B$11="Scenario",IFERROR(INDEX('Catalogue'!$E$3:$E$100,MATCH(C408,'Catalogue'!$B$3:$B$100,0)),F408),F408)</f>
        <v>19</v>
      </c>
      <c r="F408" s="8">
        <v>18</v>
      </c>
      <c r="G408" s="3">
        <v>1</v>
      </c>
      <c r="H408" s="6">
        <f>IF('Settings'!$B$11="Scenario",ROUND(E408*G408*IFERROR(SUMIF('Pricing &amp; promotions'!$A$6:$A$8,L408,'Pricing &amp; promotions'!$B$6:$B$8)/100,0),2),J408)</f>
        <v>0.0</v>
      </c>
      <c r="I408" s="6">
        <f>ROUND((E408*G408-H408)/(1+'Settings'!$B$6/100),2)</f>
        <v>15.7</v>
      </c>
      <c r="J408" s="8">
        <v>0.0</v>
      </c>
      <c r="K408" s="3" t="inlineStr">
        <is>
          <t xml:space="preserve">TRUE</t>
        </is>
      </c>
      <c r="L408" s="3"/>
    </row>
    <row r="409">
      <c r="A409" s="3" t="inlineStr">
        <is>
          <t xml:space="preserve">#1298</t>
        </is>
      </c>
      <c r="B409" s="3" t="inlineStr">
        <is>
          <t xml:space="preserve">2026-02-17</t>
        </is>
      </c>
      <c r="C409" s="3" t="inlineStr">
        <is>
          <t xml:space="preserve">SKU-D</t>
        </is>
      </c>
      <c r="D409" s="3" t="inlineStr">
        <is>
          <t xml:space="preserve">Daily Duo</t>
        </is>
      </c>
      <c r="E409" s="6">
        <f>IF('Settings'!$B$11="Scenario",IFERROR(INDEX('Catalogue'!$E$3:$E$100,MATCH(C409,'Catalogue'!$B$3:$B$100,0)),F409),F409)</f>
        <v>79</v>
      </c>
      <c r="F409" s="8">
        <v>79</v>
      </c>
      <c r="G409" s="3">
        <v>1</v>
      </c>
      <c r="H409" s="6">
        <f>IF('Settings'!$B$11="Scenario",ROUND(E409*G409*IFERROR(SUMIF('Pricing &amp; promotions'!$A$6:$A$8,L409,'Pricing &amp; promotions'!$B$6:$B$8)/100,0),2),J409)</f>
        <v>0.0</v>
      </c>
      <c r="I409" s="6">
        <f>ROUND((E409*G409-H409)/(1+'Settings'!$B$6/100),2)</f>
        <v>65.29</v>
      </c>
      <c r="J409" s="8">
        <v>0.0</v>
      </c>
      <c r="K409" s="3" t="inlineStr">
        <is>
          <t xml:space="preserve">TRUE</t>
        </is>
      </c>
      <c r="L409" s="3"/>
    </row>
    <row r="410">
      <c r="A410" s="3" t="inlineStr">
        <is>
          <t xml:space="preserve">#1299</t>
        </is>
      </c>
      <c r="B410" s="3" t="inlineStr">
        <is>
          <t xml:space="preserve">2026-02-18</t>
        </is>
      </c>
      <c r="C410" s="3" t="inlineStr">
        <is>
          <t xml:space="preserve">SKU-F</t>
        </is>
      </c>
      <c r="D410" s="3" t="inlineStr">
        <is>
          <t xml:space="preserve">Cloud Cleanser</t>
        </is>
      </c>
      <c r="E410" s="6">
        <f>IF('Settings'!$B$11="Scenario",IFERROR(INDEX('Catalogue'!$E$3:$E$100,MATCH(C410,'Catalogue'!$B$3:$B$100,0)),F410),F410)</f>
        <v>34</v>
      </c>
      <c r="F410" s="8">
        <v>34</v>
      </c>
      <c r="G410" s="3">
        <v>1</v>
      </c>
      <c r="H410" s="6">
        <f>IF('Settings'!$B$11="Scenario",ROUND(E410*G410*IFERROR(SUMIF('Pricing &amp; promotions'!$A$6:$A$8,L410,'Pricing &amp; promotions'!$B$6:$B$8)/100,0),2),J410)</f>
        <v>0.0</v>
      </c>
      <c r="I410" s="6">
        <f>ROUND((E410*G410-H410)/(1+'Settings'!$B$6/100),2)</f>
        <v>28.1</v>
      </c>
      <c r="J410" s="8">
        <v>0.0</v>
      </c>
      <c r="K410" s="3" t="inlineStr">
        <is>
          <t xml:space="preserve">TRUE</t>
        </is>
      </c>
      <c r="L410" s="3"/>
    </row>
    <row r="411">
      <c r="A411" s="3" t="inlineStr">
        <is>
          <t xml:space="preserve">#1299</t>
        </is>
      </c>
      <c r="B411" s="3" t="inlineStr">
        <is>
          <t xml:space="preserve">2026-02-18</t>
        </is>
      </c>
      <c r="C411" s="3" t="inlineStr">
        <is>
          <t xml:space="preserve">SKU-D</t>
        </is>
      </c>
      <c r="D411" s="3" t="inlineStr">
        <is>
          <t xml:space="preserve">Daily Duo</t>
        </is>
      </c>
      <c r="E411" s="6">
        <f>IF('Settings'!$B$11="Scenario",IFERROR(INDEX('Catalogue'!$E$3:$E$100,MATCH(C411,'Catalogue'!$B$3:$B$100,0)),F411),F411)</f>
        <v>79</v>
      </c>
      <c r="F411" s="8">
        <v>79</v>
      </c>
      <c r="G411" s="3">
        <v>2</v>
      </c>
      <c r="H411" s="6">
        <f>IF('Settings'!$B$11="Scenario",ROUND(E411*G411*IFERROR(SUMIF('Pricing &amp; promotions'!$A$6:$A$8,L411,'Pricing &amp; promotions'!$B$6:$B$8)/100,0),2),J411)</f>
        <v>0.0</v>
      </c>
      <c r="I411" s="6">
        <f>ROUND((E411*G411-H411)/(1+'Settings'!$B$6/100),2)</f>
        <v>130.58</v>
      </c>
      <c r="J411" s="8">
        <v>0.0</v>
      </c>
      <c r="K411" s="3" t="inlineStr">
        <is>
          <t xml:space="preserve">TRUE</t>
        </is>
      </c>
      <c r="L411" s="3"/>
    </row>
    <row r="412">
      <c r="A412" s="3" t="inlineStr">
        <is>
          <t xml:space="preserve">#1299</t>
        </is>
      </c>
      <c r="B412" s="3" t="inlineStr">
        <is>
          <t xml:space="preserve">2026-02-18</t>
        </is>
      </c>
      <c r="C412" s="3" t="inlineStr">
        <is>
          <t xml:space="preserve">SKU-B</t>
        </is>
      </c>
      <c r="D412" s="3" t="inlineStr">
        <is>
          <t xml:space="preserve">Barrier Balm</t>
        </is>
      </c>
      <c r="E412" s="6">
        <f>IF('Settings'!$B$11="Scenario",IFERROR(INDEX('Catalogue'!$E$3:$E$100,MATCH(C412,'Catalogue'!$B$3:$B$100,0)),F412),F412)</f>
        <v>19</v>
      </c>
      <c r="F412" s="8">
        <v>18</v>
      </c>
      <c r="G412" s="3">
        <v>1</v>
      </c>
      <c r="H412" s="6">
        <f>IF('Settings'!$B$11="Scenario",ROUND(E412*G412*IFERROR(SUMIF('Pricing &amp; promotions'!$A$6:$A$8,L412,'Pricing &amp; promotions'!$B$6:$B$8)/100,0),2),J412)</f>
        <v>0.0</v>
      </c>
      <c r="I412" s="6">
        <f>ROUND((E412*G412-H412)/(1+'Settings'!$B$6/100),2)</f>
        <v>15.7</v>
      </c>
      <c r="J412" s="8">
        <v>0.0</v>
      </c>
      <c r="K412" s="3" t="inlineStr">
        <is>
          <t xml:space="preserve">TRUE</t>
        </is>
      </c>
      <c r="L412" s="3"/>
    </row>
    <row r="413">
      <c r="A413" s="3" t="inlineStr">
        <is>
          <t xml:space="preserve">#1300</t>
        </is>
      </c>
      <c r="B413" s="3" t="inlineStr">
        <is>
          <t xml:space="preserve">2026-02-18</t>
        </is>
      </c>
      <c r="C413" s="3" t="inlineStr">
        <is>
          <t xml:space="preserve">SKU-D</t>
        </is>
      </c>
      <c r="D413" s="3" t="inlineStr">
        <is>
          <t xml:space="preserve">Daily Duo</t>
        </is>
      </c>
      <c r="E413" s="6">
        <f>IF('Settings'!$B$11="Scenario",IFERROR(INDEX('Catalogue'!$E$3:$E$100,MATCH(C413,'Catalogue'!$B$3:$B$100,0)),F413),F413)</f>
        <v>79</v>
      </c>
      <c r="F413" s="8">
        <v>79</v>
      </c>
      <c r="G413" s="3">
        <v>1</v>
      </c>
      <c r="H413" s="6">
        <f>IF('Settings'!$B$11="Scenario",ROUND(E413*G413*IFERROR(SUMIF('Pricing &amp; promotions'!$A$6:$A$8,L413,'Pricing &amp; promotions'!$B$6:$B$8)/100,0),2),J413)</f>
        <v>0.0</v>
      </c>
      <c r="I413" s="6">
        <f>ROUND((E413*G413-H413)/(1+'Settings'!$B$6/100),2)</f>
        <v>65.29</v>
      </c>
      <c r="J413" s="8">
        <v>0.0</v>
      </c>
      <c r="K413" s="3" t="inlineStr">
        <is>
          <t xml:space="preserve">TRUE</t>
        </is>
      </c>
      <c r="L413" s="3"/>
    </row>
    <row r="414">
      <c r="A414" s="3" t="inlineStr">
        <is>
          <t xml:space="preserve">#1301</t>
        </is>
      </c>
      <c r="B414" s="3" t="inlineStr">
        <is>
          <t xml:space="preserve">2026-02-19</t>
        </is>
      </c>
      <c r="C414" s="3" t="inlineStr">
        <is>
          <t xml:space="preserve">SKU-A</t>
        </is>
      </c>
      <c r="D414" s="3" t="inlineStr">
        <is>
          <t xml:space="preserve">Renewal Serum</t>
        </is>
      </c>
      <c r="E414" s="6">
        <f>IF('Settings'!$B$11="Scenario",IFERROR(INDEX('Catalogue'!$E$3:$E$100,MATCH(C414,'Catalogue'!$B$3:$B$100,0)),F414),F414)</f>
        <v>69.9</v>
      </c>
      <c r="F414" s="8">
        <v>69.9</v>
      </c>
      <c r="G414" s="3">
        <v>1</v>
      </c>
      <c r="H414" s="6">
        <f>IF('Settings'!$B$11="Scenario",ROUND(E414*G414*IFERROR(SUMIF('Pricing &amp; promotions'!$A$6:$A$8,L414,'Pricing &amp; promotions'!$B$6:$B$8)/100,0),2),J414)</f>
        <v>10.49</v>
      </c>
      <c r="I414" s="6">
        <f>ROUND((E414*G414-H414)/(1+'Settings'!$B$6/100),2)</f>
        <v>49.1</v>
      </c>
      <c r="J414" s="8">
        <v>10.49</v>
      </c>
      <c r="K414" s="3" t="inlineStr">
        <is>
          <t xml:space="preserve">TRUE</t>
        </is>
      </c>
      <c r="L414" s="3" t="inlineStr">
        <is>
          <t xml:space="preserve">SUMMER15</t>
        </is>
      </c>
    </row>
    <row r="415">
      <c r="A415" s="3" t="inlineStr">
        <is>
          <t xml:space="preserve">#1302</t>
        </is>
      </c>
      <c r="B415" s="3" t="inlineStr">
        <is>
          <t xml:space="preserve">2026-02-19</t>
        </is>
      </c>
      <c r="C415" s="3" t="inlineStr">
        <is>
          <t xml:space="preserve">SKU-E</t>
        </is>
      </c>
      <c r="D415" s="3" t="inlineStr">
        <is>
          <t xml:space="preserve">Complete Ritual</t>
        </is>
      </c>
      <c r="E415" s="6">
        <f>IF('Settings'!$B$11="Scenario",IFERROR(INDEX('Catalogue'!$E$3:$E$100,MATCH(C415,'Catalogue'!$B$3:$B$100,0)),F415),F415)</f>
        <v>89</v>
      </c>
      <c r="F415" s="8">
        <v>89</v>
      </c>
      <c r="G415" s="3">
        <v>1</v>
      </c>
      <c r="H415" s="6">
        <f>IF('Settings'!$B$11="Scenario",ROUND(E415*G415*IFERROR(SUMIF('Pricing &amp; promotions'!$A$6:$A$8,L415,'Pricing &amp; promotions'!$B$6:$B$8)/100,0),2),J415)</f>
        <v>0.0</v>
      </c>
      <c r="I415" s="6">
        <f>ROUND((E415*G415-H415)/(1+'Settings'!$B$6/100),2)</f>
        <v>73.55</v>
      </c>
      <c r="J415" s="8">
        <v>0.0</v>
      </c>
      <c r="K415" s="3" t="inlineStr">
        <is>
          <t xml:space="preserve">TRUE</t>
        </is>
      </c>
      <c r="L415" s="3"/>
    </row>
    <row r="416">
      <c r="A416" s="3" t="inlineStr">
        <is>
          <t xml:space="preserve">#1303</t>
        </is>
      </c>
      <c r="B416" s="3" t="inlineStr">
        <is>
          <t xml:space="preserve">2026-02-20</t>
        </is>
      </c>
      <c r="C416" s="3" t="inlineStr">
        <is>
          <t xml:space="preserve">SKU-B</t>
        </is>
      </c>
      <c r="D416" s="3" t="inlineStr">
        <is>
          <t xml:space="preserve">Barrier Balm</t>
        </is>
      </c>
      <c r="E416" s="6">
        <f>IF('Settings'!$B$11="Scenario",IFERROR(INDEX('Catalogue'!$E$3:$E$100,MATCH(C416,'Catalogue'!$B$3:$B$100,0)),F416),F416)</f>
        <v>19</v>
      </c>
      <c r="F416" s="8">
        <v>18</v>
      </c>
      <c r="G416" s="3">
        <v>1</v>
      </c>
      <c r="H416" s="6">
        <f>IF('Settings'!$B$11="Scenario",ROUND(E416*G416*IFERROR(SUMIF('Pricing &amp; promotions'!$A$6:$A$8,L416,'Pricing &amp; promotions'!$B$6:$B$8)/100,0),2),J416)</f>
        <v>0.0</v>
      </c>
      <c r="I416" s="6">
        <f>ROUND((E416*G416-H416)/(1+'Settings'!$B$6/100),2)</f>
        <v>15.7</v>
      </c>
      <c r="J416" s="8">
        <v>0.0</v>
      </c>
      <c r="K416" s="3" t="inlineStr">
        <is>
          <t xml:space="preserve">TRUE</t>
        </is>
      </c>
      <c r="L416" s="3"/>
    </row>
    <row r="417">
      <c r="A417" s="3" t="inlineStr">
        <is>
          <t xml:space="preserve">#1304</t>
        </is>
      </c>
      <c r="B417" s="3" t="inlineStr">
        <is>
          <t xml:space="preserve">2026-02-20</t>
        </is>
      </c>
      <c r="C417" s="3" t="inlineStr">
        <is>
          <t xml:space="preserve">SKU-D</t>
        </is>
      </c>
      <c r="D417" s="3" t="inlineStr">
        <is>
          <t xml:space="preserve">Daily Duo</t>
        </is>
      </c>
      <c r="E417" s="6">
        <f>IF('Settings'!$B$11="Scenario",IFERROR(INDEX('Catalogue'!$E$3:$E$100,MATCH(C417,'Catalogue'!$B$3:$B$100,0)),F417),F417)</f>
        <v>79</v>
      </c>
      <c r="F417" s="8">
        <v>79</v>
      </c>
      <c r="G417" s="3">
        <v>2</v>
      </c>
      <c r="H417" s="6">
        <f>IF('Settings'!$B$11="Scenario",ROUND(E417*G417*IFERROR(SUMIF('Pricing &amp; promotions'!$A$6:$A$8,L417,'Pricing &amp; promotions'!$B$6:$B$8)/100,0),2),J417)</f>
        <v>31.6</v>
      </c>
      <c r="I417" s="6">
        <f>ROUND((E417*G417-H417)/(1+'Settings'!$B$6/100),2)</f>
        <v>104.46</v>
      </c>
      <c r="J417" s="8">
        <v>31.6</v>
      </c>
      <c r="K417" s="3" t="inlineStr">
        <is>
          <t xml:space="preserve">TRUE</t>
        </is>
      </c>
      <c r="L417" s="3" t="inlineStr">
        <is>
          <t xml:space="preserve">VIP20</t>
        </is>
      </c>
    </row>
    <row r="418">
      <c r="A418" s="3" t="inlineStr">
        <is>
          <t xml:space="preserve">#1305</t>
        </is>
      </c>
      <c r="B418" s="3" t="inlineStr">
        <is>
          <t xml:space="preserve">2026-02-21</t>
        </is>
      </c>
      <c r="C418" s="3" t="inlineStr">
        <is>
          <t xml:space="preserve">SKU-E</t>
        </is>
      </c>
      <c r="D418" s="3" t="inlineStr">
        <is>
          <t xml:space="preserve">Complete Ritual</t>
        </is>
      </c>
      <c r="E418" s="6">
        <f>IF('Settings'!$B$11="Scenario",IFERROR(INDEX('Catalogue'!$E$3:$E$100,MATCH(C418,'Catalogue'!$B$3:$B$100,0)),F418),F418)</f>
        <v>89</v>
      </c>
      <c r="F418" s="8">
        <v>89</v>
      </c>
      <c r="G418" s="3">
        <v>1</v>
      </c>
      <c r="H418" s="6">
        <f>IF('Settings'!$B$11="Scenario",ROUND(E418*G418*IFERROR(SUMIF('Pricing &amp; promotions'!$A$6:$A$8,L418,'Pricing &amp; promotions'!$B$6:$B$8)/100,0),2),J418)</f>
        <v>0.0</v>
      </c>
      <c r="I418" s="6">
        <f>ROUND((E418*G418-H418)/(1+'Settings'!$B$6/100),2)</f>
        <v>73.55</v>
      </c>
      <c r="J418" s="8">
        <v>0.0</v>
      </c>
      <c r="K418" s="3" t="inlineStr">
        <is>
          <t xml:space="preserve">TRUE</t>
        </is>
      </c>
      <c r="L418" s="3"/>
    </row>
    <row r="419">
      <c r="A419" s="3" t="inlineStr">
        <is>
          <t xml:space="preserve">#1306</t>
        </is>
      </c>
      <c r="B419" s="3" t="inlineStr">
        <is>
          <t xml:space="preserve">2026-02-21</t>
        </is>
      </c>
      <c r="C419" s="3" t="inlineStr">
        <is>
          <t xml:space="preserve">SKU-D</t>
        </is>
      </c>
      <c r="D419" s="3" t="inlineStr">
        <is>
          <t xml:space="preserve">Daily Duo</t>
        </is>
      </c>
      <c r="E419" s="6">
        <f>IF('Settings'!$B$11="Scenario",IFERROR(INDEX('Catalogue'!$E$3:$E$100,MATCH(C419,'Catalogue'!$B$3:$B$100,0)),F419),F419)</f>
        <v>79</v>
      </c>
      <c r="F419" s="8">
        <v>79</v>
      </c>
      <c r="G419" s="3">
        <v>1</v>
      </c>
      <c r="H419" s="6">
        <f>IF('Settings'!$B$11="Scenario",ROUND(E419*G419*IFERROR(SUMIF('Pricing &amp; promotions'!$A$6:$A$8,L419,'Pricing &amp; promotions'!$B$6:$B$8)/100,0),2),J419)</f>
        <v>0.0</v>
      </c>
      <c r="I419" s="6">
        <f>ROUND((E419*G419-H419)/(1+'Settings'!$B$6/100),2)</f>
        <v>65.29</v>
      </c>
      <c r="J419" s="8">
        <v>0.0</v>
      </c>
      <c r="K419" s="3" t="inlineStr">
        <is>
          <t xml:space="preserve">TRUE</t>
        </is>
      </c>
      <c r="L419" s="3"/>
    </row>
    <row r="420">
      <c r="A420" s="3" t="inlineStr">
        <is>
          <t xml:space="preserve">#1306</t>
        </is>
      </c>
      <c r="B420" s="3" t="inlineStr">
        <is>
          <t xml:space="preserve">2026-02-21</t>
        </is>
      </c>
      <c r="C420" s="3" t="inlineStr">
        <is>
          <t xml:space="preserve">SKU-A</t>
        </is>
      </c>
      <c r="D420" s="3" t="inlineStr">
        <is>
          <t xml:space="preserve">Renewal Serum</t>
        </is>
      </c>
      <c r="E420" s="6">
        <f>IF('Settings'!$B$11="Scenario",IFERROR(INDEX('Catalogue'!$E$3:$E$100,MATCH(C420,'Catalogue'!$B$3:$B$100,0)),F420),F420)</f>
        <v>69.9</v>
      </c>
      <c r="F420" s="8">
        <v>69.9</v>
      </c>
      <c r="G420" s="3">
        <v>1</v>
      </c>
      <c r="H420" s="6">
        <f>IF('Settings'!$B$11="Scenario",ROUND(E420*G420*IFERROR(SUMIF('Pricing &amp; promotions'!$A$6:$A$8,L420,'Pricing &amp; promotions'!$B$6:$B$8)/100,0),2),J420)</f>
        <v>0.0</v>
      </c>
      <c r="I420" s="6">
        <f>ROUND((E420*G420-H420)/(1+'Settings'!$B$6/100),2)</f>
        <v>57.77</v>
      </c>
      <c r="J420" s="8">
        <v>0.0</v>
      </c>
      <c r="K420" s="3" t="inlineStr">
        <is>
          <t xml:space="preserve">TRUE</t>
        </is>
      </c>
      <c r="L420" s="3"/>
    </row>
    <row r="421">
      <c r="A421" s="3" t="inlineStr">
        <is>
          <t xml:space="preserve">#1307</t>
        </is>
      </c>
      <c r="B421" s="3" t="inlineStr">
        <is>
          <t xml:space="preserve">2026-02-22</t>
        </is>
      </c>
      <c r="C421" s="3" t="inlineStr">
        <is>
          <t xml:space="preserve">SKU-A</t>
        </is>
      </c>
      <c r="D421" s="3" t="inlineStr">
        <is>
          <t xml:space="preserve">Renewal Serum</t>
        </is>
      </c>
      <c r="E421" s="6">
        <f>IF('Settings'!$B$11="Scenario",IFERROR(INDEX('Catalogue'!$E$3:$E$100,MATCH(C421,'Catalogue'!$B$3:$B$100,0)),F421),F421)</f>
        <v>69.9</v>
      </c>
      <c r="F421" s="8">
        <v>69.9</v>
      </c>
      <c r="G421" s="3">
        <v>1</v>
      </c>
      <c r="H421" s="6">
        <f>IF('Settings'!$B$11="Scenario",ROUND(E421*G421*IFERROR(SUMIF('Pricing &amp; promotions'!$A$6:$A$8,L421,'Pricing &amp; promotions'!$B$6:$B$8)/100,0),2),J421)</f>
        <v>0.0</v>
      </c>
      <c r="I421" s="6">
        <f>ROUND((E421*G421-H421)/(1+'Settings'!$B$6/100),2)</f>
        <v>57.77</v>
      </c>
      <c r="J421" s="8">
        <v>0.0</v>
      </c>
      <c r="K421" s="3" t="inlineStr">
        <is>
          <t xml:space="preserve">TRUE</t>
        </is>
      </c>
      <c r="L421" s="3"/>
    </row>
    <row r="422">
      <c r="A422" s="3" t="inlineStr">
        <is>
          <t xml:space="preserve">#1308</t>
        </is>
      </c>
      <c r="B422" s="3" t="inlineStr">
        <is>
          <t xml:space="preserve">2026-02-22</t>
        </is>
      </c>
      <c r="C422" s="3" t="inlineStr">
        <is>
          <t xml:space="preserve">SKU-A</t>
        </is>
      </c>
      <c r="D422" s="3" t="inlineStr">
        <is>
          <t xml:space="preserve">Renewal Serum</t>
        </is>
      </c>
      <c r="E422" s="6">
        <f>IF('Settings'!$B$11="Scenario",IFERROR(INDEX('Catalogue'!$E$3:$E$100,MATCH(C422,'Catalogue'!$B$3:$B$100,0)),F422),F422)</f>
        <v>69.9</v>
      </c>
      <c r="F422" s="8">
        <v>69.9</v>
      </c>
      <c r="G422" s="3">
        <v>1</v>
      </c>
      <c r="H422" s="6">
        <f>IF('Settings'!$B$11="Scenario",ROUND(E422*G422*IFERROR(SUMIF('Pricing &amp; promotions'!$A$6:$A$8,L422,'Pricing &amp; promotions'!$B$6:$B$8)/100,0),2),J422)</f>
        <v>6.99</v>
      </c>
      <c r="I422" s="6">
        <f>ROUND((E422*G422-H422)/(1+'Settings'!$B$6/100),2)</f>
        <v>51.99</v>
      </c>
      <c r="J422" s="8">
        <v>6.99</v>
      </c>
      <c r="K422" s="3" t="inlineStr">
        <is>
          <t xml:space="preserve">TRUE</t>
        </is>
      </c>
      <c r="L422" s="3" t="inlineStr">
        <is>
          <t xml:space="preserve">WELCOME10</t>
        </is>
      </c>
    </row>
    <row r="423">
      <c r="A423" s="3" t="inlineStr">
        <is>
          <t xml:space="preserve">#1309</t>
        </is>
      </c>
      <c r="B423" s="3" t="inlineStr">
        <is>
          <t xml:space="preserve">2026-02-24</t>
        </is>
      </c>
      <c r="C423" s="3" t="inlineStr">
        <is>
          <t xml:space="preserve">SKU-B</t>
        </is>
      </c>
      <c r="D423" s="3" t="inlineStr">
        <is>
          <t xml:space="preserve">Barrier Balm</t>
        </is>
      </c>
      <c r="E423" s="6">
        <f>IF('Settings'!$B$11="Scenario",IFERROR(INDEX('Catalogue'!$E$3:$E$100,MATCH(C423,'Catalogue'!$B$3:$B$100,0)),F423),F423)</f>
        <v>19</v>
      </c>
      <c r="F423" s="8">
        <v>18</v>
      </c>
      <c r="G423" s="3">
        <v>1</v>
      </c>
      <c r="H423" s="6">
        <f>IF('Settings'!$B$11="Scenario",ROUND(E423*G423*IFERROR(SUMIF('Pricing &amp; promotions'!$A$6:$A$8,L423,'Pricing &amp; promotions'!$B$6:$B$8)/100,0),2),J423)</f>
        <v>3.8</v>
      </c>
      <c r="I423" s="6">
        <f>ROUND((E423*G423-H423)/(1+'Settings'!$B$6/100),2)</f>
        <v>12.56</v>
      </c>
      <c r="J423" s="8">
        <v>3.6</v>
      </c>
      <c r="K423" s="3" t="inlineStr">
        <is>
          <t xml:space="preserve">TRUE</t>
        </is>
      </c>
      <c r="L423" s="3" t="inlineStr">
        <is>
          <t xml:space="preserve">VIP20</t>
        </is>
      </c>
    </row>
    <row r="424">
      <c r="A424" s="3" t="inlineStr">
        <is>
          <t xml:space="preserve">#1310</t>
        </is>
      </c>
      <c r="B424" s="3" t="inlineStr">
        <is>
          <t xml:space="preserve">2026-02-24</t>
        </is>
      </c>
      <c r="C424" s="3" t="inlineStr">
        <is>
          <t xml:space="preserve">SKU-E</t>
        </is>
      </c>
      <c r="D424" s="3" t="inlineStr">
        <is>
          <t xml:space="preserve">Complete Ritual</t>
        </is>
      </c>
      <c r="E424" s="6">
        <f>IF('Settings'!$B$11="Scenario",IFERROR(INDEX('Catalogue'!$E$3:$E$100,MATCH(C424,'Catalogue'!$B$3:$B$100,0)),F424),F424)</f>
        <v>89</v>
      </c>
      <c r="F424" s="8">
        <v>89</v>
      </c>
      <c r="G424" s="3">
        <v>2</v>
      </c>
      <c r="H424" s="6">
        <f>IF('Settings'!$B$11="Scenario",ROUND(E424*G424*IFERROR(SUMIF('Pricing &amp; promotions'!$A$6:$A$8,L424,'Pricing &amp; promotions'!$B$6:$B$8)/100,0),2),J424)</f>
        <v>0.0</v>
      </c>
      <c r="I424" s="6">
        <f>ROUND((E424*G424-H424)/(1+'Settings'!$B$6/100),2)</f>
        <v>147.11</v>
      </c>
      <c r="J424" s="8">
        <v>0.0</v>
      </c>
      <c r="K424" s="3" t="inlineStr">
        <is>
          <t xml:space="preserve">TRUE</t>
        </is>
      </c>
      <c r="L424" s="3"/>
    </row>
    <row r="425">
      <c r="A425" s="3" t="inlineStr">
        <is>
          <t xml:space="preserve">#1311</t>
        </is>
      </c>
      <c r="B425" s="3" t="inlineStr">
        <is>
          <t xml:space="preserve">2026-02-24</t>
        </is>
      </c>
      <c r="C425" s="3" t="inlineStr">
        <is>
          <t xml:space="preserve">SKU-A</t>
        </is>
      </c>
      <c r="D425" s="3" t="inlineStr">
        <is>
          <t xml:space="preserve">Renewal Serum</t>
        </is>
      </c>
      <c r="E425" s="6">
        <f>IF('Settings'!$B$11="Scenario",IFERROR(INDEX('Catalogue'!$E$3:$E$100,MATCH(C425,'Catalogue'!$B$3:$B$100,0)),F425),F425)</f>
        <v>69.9</v>
      </c>
      <c r="F425" s="8">
        <v>69.9</v>
      </c>
      <c r="G425" s="3">
        <v>1</v>
      </c>
      <c r="H425" s="6">
        <f>IF('Settings'!$B$11="Scenario",ROUND(E425*G425*IFERROR(SUMIF('Pricing &amp; promotions'!$A$6:$A$8,L425,'Pricing &amp; promotions'!$B$6:$B$8)/100,0),2),J425)</f>
        <v>10.49</v>
      </c>
      <c r="I425" s="6">
        <f>ROUND((E425*G425-H425)/(1+'Settings'!$B$6/100),2)</f>
        <v>49.1</v>
      </c>
      <c r="J425" s="8">
        <v>10.49</v>
      </c>
      <c r="K425" s="3" t="inlineStr">
        <is>
          <t xml:space="preserve">TRUE</t>
        </is>
      </c>
      <c r="L425" s="3" t="inlineStr">
        <is>
          <t xml:space="preserve">SUMMER15</t>
        </is>
      </c>
    </row>
    <row r="426">
      <c r="A426" s="3" t="inlineStr">
        <is>
          <t xml:space="preserve">#1312</t>
        </is>
      </c>
      <c r="B426" s="3" t="inlineStr">
        <is>
          <t xml:space="preserve">2026-02-25</t>
        </is>
      </c>
      <c r="C426" s="3" t="inlineStr">
        <is>
          <t xml:space="preserve">SKU-A</t>
        </is>
      </c>
      <c r="D426" s="3" t="inlineStr">
        <is>
          <t xml:space="preserve">Renewal Serum</t>
        </is>
      </c>
      <c r="E426" s="6">
        <f>IF('Settings'!$B$11="Scenario",IFERROR(INDEX('Catalogue'!$E$3:$E$100,MATCH(C426,'Catalogue'!$B$3:$B$100,0)),F426),F426)</f>
        <v>69.9</v>
      </c>
      <c r="F426" s="8">
        <v>69.9</v>
      </c>
      <c r="G426" s="3">
        <v>2</v>
      </c>
      <c r="H426" s="6">
        <f>IF('Settings'!$B$11="Scenario",ROUND(E426*G426*IFERROR(SUMIF('Pricing &amp; promotions'!$A$6:$A$8,L426,'Pricing &amp; promotions'!$B$6:$B$8)/100,0),2),J426)</f>
        <v>13.98</v>
      </c>
      <c r="I426" s="6">
        <f>ROUND((E426*G426-H426)/(1+'Settings'!$B$6/100),2)</f>
        <v>103.98</v>
      </c>
      <c r="J426" s="8">
        <v>13.98</v>
      </c>
      <c r="K426" s="3" t="inlineStr">
        <is>
          <t xml:space="preserve">TRUE</t>
        </is>
      </c>
      <c r="L426" s="3" t="inlineStr">
        <is>
          <t xml:space="preserve">WELCOME10</t>
        </is>
      </c>
    </row>
    <row r="427">
      <c r="A427" s="3" t="inlineStr">
        <is>
          <t xml:space="preserve">#1313</t>
        </is>
      </c>
      <c r="B427" s="3" t="inlineStr">
        <is>
          <t xml:space="preserve">2026-02-25</t>
        </is>
      </c>
      <c r="C427" s="3" t="inlineStr">
        <is>
          <t xml:space="preserve">SKU-B</t>
        </is>
      </c>
      <c r="D427" s="3" t="inlineStr">
        <is>
          <t xml:space="preserve">Barrier Balm</t>
        </is>
      </c>
      <c r="E427" s="6">
        <f>IF('Settings'!$B$11="Scenario",IFERROR(INDEX('Catalogue'!$E$3:$E$100,MATCH(C427,'Catalogue'!$B$3:$B$100,0)),F427),F427)</f>
        <v>19</v>
      </c>
      <c r="F427" s="8">
        <v>18</v>
      </c>
      <c r="G427" s="3">
        <v>1</v>
      </c>
      <c r="H427" s="6">
        <f>IF('Settings'!$B$11="Scenario",ROUND(E427*G427*IFERROR(SUMIF('Pricing &amp; promotions'!$A$6:$A$8,L427,'Pricing &amp; promotions'!$B$6:$B$8)/100,0),2),J427)</f>
        <v>1.9</v>
      </c>
      <c r="I427" s="6">
        <f>ROUND((E427*G427-H427)/(1+'Settings'!$B$6/100),2)</f>
        <v>14.13</v>
      </c>
      <c r="J427" s="8">
        <v>1.8</v>
      </c>
      <c r="K427" s="3" t="inlineStr">
        <is>
          <t xml:space="preserve">TRUE</t>
        </is>
      </c>
      <c r="L427" s="3" t="inlineStr">
        <is>
          <t xml:space="preserve">WELCOME10</t>
        </is>
      </c>
    </row>
    <row r="428">
      <c r="A428" s="3" t="inlineStr">
        <is>
          <t xml:space="preserve">#1314</t>
        </is>
      </c>
      <c r="B428" s="3" t="inlineStr">
        <is>
          <t xml:space="preserve">2026-02-26</t>
        </is>
      </c>
      <c r="C428" s="3" t="inlineStr">
        <is>
          <t xml:space="preserve">SKU-A</t>
        </is>
      </c>
      <c r="D428" s="3" t="inlineStr">
        <is>
          <t xml:space="preserve">Renewal Serum</t>
        </is>
      </c>
      <c r="E428" s="6">
        <f>IF('Settings'!$B$11="Scenario",IFERROR(INDEX('Catalogue'!$E$3:$E$100,MATCH(C428,'Catalogue'!$B$3:$B$100,0)),F428),F428)</f>
        <v>69.9</v>
      </c>
      <c r="F428" s="8">
        <v>69.9</v>
      </c>
      <c r="G428" s="3">
        <v>1</v>
      </c>
      <c r="H428" s="6">
        <f>IF('Settings'!$B$11="Scenario",ROUND(E428*G428*IFERROR(SUMIF('Pricing &amp; promotions'!$A$6:$A$8,L428,'Pricing &amp; promotions'!$B$6:$B$8)/100,0),2),J428)</f>
        <v>0.0</v>
      </c>
      <c r="I428" s="6">
        <f>ROUND((E428*G428-H428)/(1+'Settings'!$B$6/100),2)</f>
        <v>57.77</v>
      </c>
      <c r="J428" s="8">
        <v>0.0</v>
      </c>
      <c r="K428" s="3" t="inlineStr">
        <is>
          <t xml:space="preserve">TRUE</t>
        </is>
      </c>
      <c r="L428" s="3"/>
    </row>
    <row r="429">
      <c r="A429" s="3" t="inlineStr">
        <is>
          <t xml:space="preserve">#1315</t>
        </is>
      </c>
      <c r="B429" s="3" t="inlineStr">
        <is>
          <t xml:space="preserve">2026-02-28</t>
        </is>
      </c>
      <c r="C429" s="3" t="inlineStr">
        <is>
          <t xml:space="preserve">SKU-E</t>
        </is>
      </c>
      <c r="D429" s="3" t="inlineStr">
        <is>
          <t xml:space="preserve">Complete Ritual</t>
        </is>
      </c>
      <c r="E429" s="6">
        <f>IF('Settings'!$B$11="Scenario",IFERROR(INDEX('Catalogue'!$E$3:$E$100,MATCH(C429,'Catalogue'!$B$3:$B$100,0)),F429),F429)</f>
        <v>89</v>
      </c>
      <c r="F429" s="8">
        <v>89</v>
      </c>
      <c r="G429" s="3">
        <v>1</v>
      </c>
      <c r="H429" s="6">
        <f>IF('Settings'!$B$11="Scenario",ROUND(E429*G429*IFERROR(SUMIF('Pricing &amp; promotions'!$A$6:$A$8,L429,'Pricing &amp; promotions'!$B$6:$B$8)/100,0),2),J429)</f>
        <v>8.9</v>
      </c>
      <c r="I429" s="6">
        <f>ROUND((E429*G429-H429)/(1+'Settings'!$B$6/100),2)</f>
        <v>66.2</v>
      </c>
      <c r="J429" s="8">
        <v>8.9</v>
      </c>
      <c r="K429" s="3" t="inlineStr">
        <is>
          <t xml:space="preserve">TRUE</t>
        </is>
      </c>
      <c r="L429" s="3" t="inlineStr">
        <is>
          <t xml:space="preserve">WELCOME10</t>
        </is>
      </c>
    </row>
    <row r="430">
      <c r="A430" s="3" t="inlineStr">
        <is>
          <t xml:space="preserve">#1315</t>
        </is>
      </c>
      <c r="B430" s="3" t="inlineStr">
        <is>
          <t xml:space="preserve">2026-02-28</t>
        </is>
      </c>
      <c r="C430" s="3" t="inlineStr">
        <is>
          <t xml:space="preserve">SKU-D</t>
        </is>
      </c>
      <c r="D430" s="3" t="inlineStr">
        <is>
          <t xml:space="preserve">Daily Duo</t>
        </is>
      </c>
      <c r="E430" s="6">
        <f>IF('Settings'!$B$11="Scenario",IFERROR(INDEX('Catalogue'!$E$3:$E$100,MATCH(C430,'Catalogue'!$B$3:$B$100,0)),F430),F430)</f>
        <v>79</v>
      </c>
      <c r="F430" s="8">
        <v>79</v>
      </c>
      <c r="G430" s="3">
        <v>1</v>
      </c>
      <c r="H430" s="6">
        <f>IF('Settings'!$B$11="Scenario",ROUND(E430*G430*IFERROR(SUMIF('Pricing &amp; promotions'!$A$6:$A$8,L430,'Pricing &amp; promotions'!$B$6:$B$8)/100,0),2),J430)</f>
        <v>7.9</v>
      </c>
      <c r="I430" s="6">
        <f>ROUND((E430*G430-H430)/(1+'Settings'!$B$6/100),2)</f>
        <v>58.76</v>
      </c>
      <c r="J430" s="8">
        <v>7.9</v>
      </c>
      <c r="K430" s="3" t="inlineStr">
        <is>
          <t xml:space="preserve">TRUE</t>
        </is>
      </c>
      <c r="L430" s="3" t="inlineStr">
        <is>
          <t xml:space="preserve">WELCOME10</t>
        </is>
      </c>
    </row>
    <row r="431">
      <c r="A431" s="3" t="inlineStr">
        <is>
          <t xml:space="preserve">#1315</t>
        </is>
      </c>
      <c r="B431" s="3" t="inlineStr">
        <is>
          <t xml:space="preserve">2026-02-28</t>
        </is>
      </c>
      <c r="C431" s="3" t="inlineStr">
        <is>
          <t xml:space="preserve">SKU-C</t>
        </is>
      </c>
      <c r="D431" s="3" t="inlineStr">
        <is>
          <t xml:space="preserve">Contour Stone</t>
        </is>
      </c>
      <c r="E431" s="6">
        <f>IF('Settings'!$B$11="Scenario",IFERROR(INDEX('Catalogue'!$E$3:$E$100,MATCH(C431,'Catalogue'!$B$3:$B$100,0)),F431),F431)</f>
        <v>29</v>
      </c>
      <c r="F431" s="8">
        <v>29</v>
      </c>
      <c r="G431" s="3">
        <v>1</v>
      </c>
      <c r="H431" s="6">
        <f>IF('Settings'!$B$11="Scenario",ROUND(E431*G431*IFERROR(SUMIF('Pricing &amp; promotions'!$A$6:$A$8,L431,'Pricing &amp; promotions'!$B$6:$B$8)/100,0),2),J431)</f>
        <v>2.9</v>
      </c>
      <c r="I431" s="6">
        <f>ROUND((E431*G431-H431)/(1+'Settings'!$B$6/100),2)</f>
        <v>21.57</v>
      </c>
      <c r="J431" s="8">
        <v>2.9</v>
      </c>
      <c r="K431" s="3" t="inlineStr">
        <is>
          <t xml:space="preserve">TRUE</t>
        </is>
      </c>
      <c r="L431" s="3" t="inlineStr">
        <is>
          <t xml:space="preserve">WELCOME10</t>
        </is>
      </c>
    </row>
    <row r="432">
      <c r="A432" s="3" t="inlineStr">
        <is>
          <t xml:space="preserve">#1316</t>
        </is>
      </c>
      <c r="B432" s="3" t="inlineStr">
        <is>
          <t xml:space="preserve">2026-02-28</t>
        </is>
      </c>
      <c r="C432" s="3" t="inlineStr">
        <is>
          <t xml:space="preserve">SKU-D</t>
        </is>
      </c>
      <c r="D432" s="3" t="inlineStr">
        <is>
          <t xml:space="preserve">Daily Duo</t>
        </is>
      </c>
      <c r="E432" s="6">
        <f>IF('Settings'!$B$11="Scenario",IFERROR(INDEX('Catalogue'!$E$3:$E$100,MATCH(C432,'Catalogue'!$B$3:$B$100,0)),F432),F432)</f>
        <v>79</v>
      </c>
      <c r="F432" s="8">
        <v>79</v>
      </c>
      <c r="G432" s="3">
        <v>1</v>
      </c>
      <c r="H432" s="6">
        <f>IF('Settings'!$B$11="Scenario",ROUND(E432*G432*IFERROR(SUMIF('Pricing &amp; promotions'!$A$6:$A$8,L432,'Pricing &amp; promotions'!$B$6:$B$8)/100,0),2),J432)</f>
        <v>7.9</v>
      </c>
      <c r="I432" s="6">
        <f>ROUND((E432*G432-H432)/(1+'Settings'!$B$6/100),2)</f>
        <v>58.76</v>
      </c>
      <c r="J432" s="8">
        <v>7.9</v>
      </c>
      <c r="K432" s="3" t="inlineStr">
        <is>
          <t xml:space="preserve">TRUE</t>
        </is>
      </c>
      <c r="L432" s="3" t="inlineStr">
        <is>
          <t xml:space="preserve">WELCOME10</t>
        </is>
      </c>
    </row>
    <row r="433">
      <c r="A433" s="3" t="inlineStr">
        <is>
          <t xml:space="preserve">#1317</t>
        </is>
      </c>
      <c r="B433" s="3" t="inlineStr">
        <is>
          <t xml:space="preserve">2026-03-01</t>
        </is>
      </c>
      <c r="C433" s="3" t="inlineStr">
        <is>
          <t xml:space="preserve">SKU-E</t>
        </is>
      </c>
      <c r="D433" s="3" t="inlineStr">
        <is>
          <t xml:space="preserve">Complete Ritual</t>
        </is>
      </c>
      <c r="E433" s="6">
        <f>IF('Settings'!$B$11="Scenario",IFERROR(INDEX('Catalogue'!$E$3:$E$100,MATCH(C433,'Catalogue'!$B$3:$B$100,0)),F433),F433)</f>
        <v>89</v>
      </c>
      <c r="F433" s="8">
        <v>89</v>
      </c>
      <c r="G433" s="3">
        <v>1</v>
      </c>
      <c r="H433" s="6">
        <f>IF('Settings'!$B$11="Scenario",ROUND(E433*G433*IFERROR(SUMIF('Pricing &amp; promotions'!$A$6:$A$8,L433,'Pricing &amp; promotions'!$B$6:$B$8)/100,0),2),J433)</f>
        <v>0.0</v>
      </c>
      <c r="I433" s="6">
        <f>ROUND((E433*G433-H433)/(1+'Settings'!$B$6/100),2)</f>
        <v>73.55</v>
      </c>
      <c r="J433" s="8">
        <v>0.0</v>
      </c>
      <c r="K433" s="3" t="inlineStr">
        <is>
          <t xml:space="preserve">TRUE</t>
        </is>
      </c>
      <c r="L433" s="3"/>
    </row>
    <row r="434">
      <c r="A434" s="3" t="inlineStr">
        <is>
          <t xml:space="preserve">#1318</t>
        </is>
      </c>
      <c r="B434" s="3" t="inlineStr">
        <is>
          <t xml:space="preserve">2026-03-01</t>
        </is>
      </c>
      <c r="C434" s="3" t="inlineStr">
        <is>
          <t xml:space="preserve">SKU-A</t>
        </is>
      </c>
      <c r="D434" s="3" t="inlineStr">
        <is>
          <t xml:space="preserve">Renewal Serum</t>
        </is>
      </c>
      <c r="E434" s="6">
        <f>IF('Settings'!$B$11="Scenario",IFERROR(INDEX('Catalogue'!$E$3:$E$100,MATCH(C434,'Catalogue'!$B$3:$B$100,0)),F434),F434)</f>
        <v>69.9</v>
      </c>
      <c r="F434" s="8">
        <v>69.9</v>
      </c>
      <c r="G434" s="3">
        <v>1</v>
      </c>
      <c r="H434" s="6">
        <f>IF('Settings'!$B$11="Scenario",ROUND(E434*G434*IFERROR(SUMIF('Pricing &amp; promotions'!$A$6:$A$8,L434,'Pricing &amp; promotions'!$B$6:$B$8)/100,0),2),J434)</f>
        <v>6.99</v>
      </c>
      <c r="I434" s="6">
        <f>ROUND((E434*G434-H434)/(1+'Settings'!$B$6/100),2)</f>
        <v>51.99</v>
      </c>
      <c r="J434" s="8">
        <v>6.99</v>
      </c>
      <c r="K434" s="3" t="inlineStr">
        <is>
          <t xml:space="preserve">TRUE</t>
        </is>
      </c>
      <c r="L434" s="3" t="inlineStr">
        <is>
          <t xml:space="preserve">WELCOME10</t>
        </is>
      </c>
    </row>
    <row r="435">
      <c r="A435" s="3" t="inlineStr">
        <is>
          <t xml:space="preserve">#1319</t>
        </is>
      </c>
      <c r="B435" s="3" t="inlineStr">
        <is>
          <t xml:space="preserve">2026-03-01</t>
        </is>
      </c>
      <c r="C435" s="3" t="inlineStr">
        <is>
          <t xml:space="preserve">SKU-G</t>
        </is>
      </c>
      <c r="D435" s="3" t="inlineStr">
        <is>
          <t xml:space="preserve">Daily Reset Set</t>
        </is>
      </c>
      <c r="E435" s="6">
        <f>IF('Settings'!$B$11="Scenario",IFERROR(INDEX('Catalogue'!$E$3:$E$100,MATCH(C435,'Catalogue'!$B$3:$B$100,0)),F435),F435)</f>
        <v>69</v>
      </c>
      <c r="F435" s="8">
        <v>69</v>
      </c>
      <c r="G435" s="3">
        <v>1</v>
      </c>
      <c r="H435" s="6">
        <f>IF('Settings'!$B$11="Scenario",ROUND(E435*G435*IFERROR(SUMIF('Pricing &amp; promotions'!$A$6:$A$8,L435,'Pricing &amp; promotions'!$B$6:$B$8)/100,0),2),J435)</f>
        <v>0.0</v>
      </c>
      <c r="I435" s="6">
        <f>ROUND((E435*G435-H435)/(1+'Settings'!$B$6/100),2)</f>
        <v>57.02</v>
      </c>
      <c r="J435" s="8">
        <v>0.0</v>
      </c>
      <c r="K435" s="3" t="inlineStr">
        <is>
          <t xml:space="preserve">TRUE</t>
        </is>
      </c>
      <c r="L435" s="3"/>
    </row>
    <row r="436">
      <c r="A436" s="3" t="inlineStr">
        <is>
          <t xml:space="preserve">#1320</t>
        </is>
      </c>
      <c r="B436" s="3" t="inlineStr">
        <is>
          <t xml:space="preserve">2026-03-01</t>
        </is>
      </c>
      <c r="C436" s="3" t="inlineStr">
        <is>
          <t xml:space="preserve">SKU-F</t>
        </is>
      </c>
      <c r="D436" s="3" t="inlineStr">
        <is>
          <t xml:space="preserve">Cloud Cleanser</t>
        </is>
      </c>
      <c r="E436" s="6">
        <f>IF('Settings'!$B$11="Scenario",IFERROR(INDEX('Catalogue'!$E$3:$E$100,MATCH(C436,'Catalogue'!$B$3:$B$100,0)),F436),F436)</f>
        <v>34</v>
      </c>
      <c r="F436" s="8">
        <v>34</v>
      </c>
      <c r="G436" s="3">
        <v>2</v>
      </c>
      <c r="H436" s="6">
        <f>IF('Settings'!$B$11="Scenario",ROUND(E436*G436*IFERROR(SUMIF('Pricing &amp; promotions'!$A$6:$A$8,L436,'Pricing &amp; promotions'!$B$6:$B$8)/100,0),2),J436)</f>
        <v>10.2</v>
      </c>
      <c r="I436" s="6">
        <f>ROUND((E436*G436-H436)/(1+'Settings'!$B$6/100),2)</f>
        <v>47.77</v>
      </c>
      <c r="J436" s="8">
        <v>10.2</v>
      </c>
      <c r="K436" s="3" t="inlineStr">
        <is>
          <t xml:space="preserve">TRUE</t>
        </is>
      </c>
      <c r="L436" s="3" t="inlineStr">
        <is>
          <t xml:space="preserve">SUMMER15</t>
        </is>
      </c>
    </row>
    <row r="437">
      <c r="A437" s="3" t="inlineStr">
        <is>
          <t xml:space="preserve">#1321</t>
        </is>
      </c>
      <c r="B437" s="3" t="inlineStr">
        <is>
          <t xml:space="preserve">2026-03-02</t>
        </is>
      </c>
      <c r="C437" s="3" t="inlineStr">
        <is>
          <t xml:space="preserve">SKU-E</t>
        </is>
      </c>
      <c r="D437" s="3" t="inlineStr">
        <is>
          <t xml:space="preserve">Complete Ritual</t>
        </is>
      </c>
      <c r="E437" s="6">
        <f>IF('Settings'!$B$11="Scenario",IFERROR(INDEX('Catalogue'!$E$3:$E$100,MATCH(C437,'Catalogue'!$B$3:$B$100,0)),F437),F437)</f>
        <v>89</v>
      </c>
      <c r="F437" s="8">
        <v>89</v>
      </c>
      <c r="G437" s="3">
        <v>1</v>
      </c>
      <c r="H437" s="6">
        <f>IF('Settings'!$B$11="Scenario",ROUND(E437*G437*IFERROR(SUMIF('Pricing &amp; promotions'!$A$6:$A$8,L437,'Pricing &amp; promotions'!$B$6:$B$8)/100,0),2),J437)</f>
        <v>8.9</v>
      </c>
      <c r="I437" s="6">
        <f>ROUND((E437*G437-H437)/(1+'Settings'!$B$6/100),2)</f>
        <v>66.2</v>
      </c>
      <c r="J437" s="8">
        <v>8.9</v>
      </c>
      <c r="K437" s="3" t="inlineStr">
        <is>
          <t xml:space="preserve">TRUE</t>
        </is>
      </c>
      <c r="L437" s="3" t="inlineStr">
        <is>
          <t xml:space="preserve">WELCOME10</t>
        </is>
      </c>
    </row>
    <row r="438">
      <c r="A438" s="3" t="inlineStr">
        <is>
          <t xml:space="preserve">#1322</t>
        </is>
      </c>
      <c r="B438" s="3" t="inlineStr">
        <is>
          <t xml:space="preserve">2026-03-02</t>
        </is>
      </c>
      <c r="C438" s="3" t="inlineStr">
        <is>
          <t xml:space="preserve">SKU-D</t>
        </is>
      </c>
      <c r="D438" s="3" t="inlineStr">
        <is>
          <t xml:space="preserve">Daily Duo</t>
        </is>
      </c>
      <c r="E438" s="6">
        <f>IF('Settings'!$B$11="Scenario",IFERROR(INDEX('Catalogue'!$E$3:$E$100,MATCH(C438,'Catalogue'!$B$3:$B$100,0)),F438),F438)</f>
        <v>79</v>
      </c>
      <c r="F438" s="8">
        <v>79</v>
      </c>
      <c r="G438" s="3">
        <v>1</v>
      </c>
      <c r="H438" s="6">
        <f>IF('Settings'!$B$11="Scenario",ROUND(E438*G438*IFERROR(SUMIF('Pricing &amp; promotions'!$A$6:$A$8,L438,'Pricing &amp; promotions'!$B$6:$B$8)/100,0),2),J438)</f>
        <v>0.0</v>
      </c>
      <c r="I438" s="6">
        <f>ROUND((E438*G438-H438)/(1+'Settings'!$B$6/100),2)</f>
        <v>65.29</v>
      </c>
      <c r="J438" s="8">
        <v>0.0</v>
      </c>
      <c r="K438" s="3" t="inlineStr">
        <is>
          <t xml:space="preserve">TRUE</t>
        </is>
      </c>
      <c r="L438" s="3"/>
    </row>
    <row r="439">
      <c r="A439" s="3" t="inlineStr">
        <is>
          <t xml:space="preserve">#1323</t>
        </is>
      </c>
      <c r="B439" s="3" t="inlineStr">
        <is>
          <t xml:space="preserve">2026-03-02</t>
        </is>
      </c>
      <c r="C439" s="3" t="inlineStr">
        <is>
          <t xml:space="preserve">SKU-A</t>
        </is>
      </c>
      <c r="D439" s="3" t="inlineStr">
        <is>
          <t xml:space="preserve">Renewal Serum</t>
        </is>
      </c>
      <c r="E439" s="6">
        <f>IF('Settings'!$B$11="Scenario",IFERROR(INDEX('Catalogue'!$E$3:$E$100,MATCH(C439,'Catalogue'!$B$3:$B$100,0)),F439),F439)</f>
        <v>69.9</v>
      </c>
      <c r="F439" s="8">
        <v>69.9</v>
      </c>
      <c r="G439" s="3">
        <v>2</v>
      </c>
      <c r="H439" s="6">
        <f>IF('Settings'!$B$11="Scenario",ROUND(E439*G439*IFERROR(SUMIF('Pricing &amp; promotions'!$A$6:$A$8,L439,'Pricing &amp; promotions'!$B$6:$B$8)/100,0),2),J439)</f>
        <v>0.0</v>
      </c>
      <c r="I439" s="6">
        <f>ROUND((E439*G439-H439)/(1+'Settings'!$B$6/100),2)</f>
        <v>115.54</v>
      </c>
      <c r="J439" s="8">
        <v>0.0</v>
      </c>
      <c r="K439" s="3" t="inlineStr">
        <is>
          <t xml:space="preserve">TRUE</t>
        </is>
      </c>
      <c r="L439" s="3"/>
    </row>
    <row r="440">
      <c r="A440" s="3" t="inlineStr">
        <is>
          <t xml:space="preserve">#1323</t>
        </is>
      </c>
      <c r="B440" s="3" t="inlineStr">
        <is>
          <t xml:space="preserve">2026-03-02</t>
        </is>
      </c>
      <c r="C440" s="3" t="inlineStr">
        <is>
          <t xml:space="preserve">SKU-G</t>
        </is>
      </c>
      <c r="D440" s="3" t="inlineStr">
        <is>
          <t xml:space="preserve">Daily Reset Set</t>
        </is>
      </c>
      <c r="E440" s="6">
        <f>IF('Settings'!$B$11="Scenario",IFERROR(INDEX('Catalogue'!$E$3:$E$100,MATCH(C440,'Catalogue'!$B$3:$B$100,0)),F440),F440)</f>
        <v>69</v>
      </c>
      <c r="F440" s="8">
        <v>69</v>
      </c>
      <c r="G440" s="3">
        <v>1</v>
      </c>
      <c r="H440" s="6">
        <f>IF('Settings'!$B$11="Scenario",ROUND(E440*G440*IFERROR(SUMIF('Pricing &amp; promotions'!$A$6:$A$8,L440,'Pricing &amp; promotions'!$B$6:$B$8)/100,0),2),J440)</f>
        <v>0.0</v>
      </c>
      <c r="I440" s="6">
        <f>ROUND((E440*G440-H440)/(1+'Settings'!$B$6/100),2)</f>
        <v>57.02</v>
      </c>
      <c r="J440" s="8">
        <v>0.0</v>
      </c>
      <c r="K440" s="3" t="inlineStr">
        <is>
          <t xml:space="preserve">TRUE</t>
        </is>
      </c>
      <c r="L440" s="3"/>
    </row>
    <row r="441">
      <c r="A441" s="3" t="inlineStr">
        <is>
          <t xml:space="preserve">#1324</t>
        </is>
      </c>
      <c r="B441" s="3" t="inlineStr">
        <is>
          <t xml:space="preserve">2026-03-03</t>
        </is>
      </c>
      <c r="C441" s="3" t="inlineStr">
        <is>
          <t xml:space="preserve">SKU-F</t>
        </is>
      </c>
      <c r="D441" s="3" t="inlineStr">
        <is>
          <t xml:space="preserve">Cloud Cleanser</t>
        </is>
      </c>
      <c r="E441" s="6">
        <f>IF('Settings'!$B$11="Scenario",IFERROR(INDEX('Catalogue'!$E$3:$E$100,MATCH(C441,'Catalogue'!$B$3:$B$100,0)),F441),F441)</f>
        <v>34</v>
      </c>
      <c r="F441" s="8">
        <v>34</v>
      </c>
      <c r="G441" s="3">
        <v>1</v>
      </c>
      <c r="H441" s="6">
        <f>IF('Settings'!$B$11="Scenario",ROUND(E441*G441*IFERROR(SUMIF('Pricing &amp; promotions'!$A$6:$A$8,L441,'Pricing &amp; promotions'!$B$6:$B$8)/100,0),2),J441)</f>
        <v>0.0</v>
      </c>
      <c r="I441" s="6">
        <f>ROUND((E441*G441-H441)/(1+'Settings'!$B$6/100),2)</f>
        <v>28.1</v>
      </c>
      <c r="J441" s="8">
        <v>0.0</v>
      </c>
      <c r="K441" s="3" t="inlineStr">
        <is>
          <t xml:space="preserve">TRUE</t>
        </is>
      </c>
      <c r="L441" s="3"/>
    </row>
    <row r="442">
      <c r="A442" s="3" t="inlineStr">
        <is>
          <t xml:space="preserve">#1325</t>
        </is>
      </c>
      <c r="B442" s="3" t="inlineStr">
        <is>
          <t xml:space="preserve">2026-03-03</t>
        </is>
      </c>
      <c r="C442" s="3" t="inlineStr">
        <is>
          <t xml:space="preserve">SKU-B</t>
        </is>
      </c>
      <c r="D442" s="3" t="inlineStr">
        <is>
          <t xml:space="preserve">Barrier Balm</t>
        </is>
      </c>
      <c r="E442" s="6">
        <f>IF('Settings'!$B$11="Scenario",IFERROR(INDEX('Catalogue'!$E$3:$E$100,MATCH(C442,'Catalogue'!$B$3:$B$100,0)),F442),F442)</f>
        <v>19</v>
      </c>
      <c r="F442" s="8">
        <v>19</v>
      </c>
      <c r="G442" s="3">
        <v>1</v>
      </c>
      <c r="H442" s="6">
        <f>IF('Settings'!$B$11="Scenario",ROUND(E442*G442*IFERROR(SUMIF('Pricing &amp; promotions'!$A$6:$A$8,L442,'Pricing &amp; promotions'!$B$6:$B$8)/100,0),2),J442)</f>
        <v>0.0</v>
      </c>
      <c r="I442" s="6">
        <f>ROUND((E442*G442-H442)/(1+'Settings'!$B$6/100),2)</f>
        <v>15.7</v>
      </c>
      <c r="J442" s="8">
        <v>0.0</v>
      </c>
      <c r="K442" s="3" t="inlineStr">
        <is>
          <t xml:space="preserve">TRUE</t>
        </is>
      </c>
      <c r="L442" s="3"/>
    </row>
    <row r="443">
      <c r="A443" s="3" t="inlineStr">
        <is>
          <t xml:space="preserve">#1326</t>
        </is>
      </c>
      <c r="B443" s="3" t="inlineStr">
        <is>
          <t xml:space="preserve">2026-03-04</t>
        </is>
      </c>
      <c r="C443" s="3" t="inlineStr">
        <is>
          <t xml:space="preserve">SKU-G</t>
        </is>
      </c>
      <c r="D443" s="3" t="inlineStr">
        <is>
          <t xml:space="preserve">Daily Reset Set</t>
        </is>
      </c>
      <c r="E443" s="6">
        <f>IF('Settings'!$B$11="Scenario",IFERROR(INDEX('Catalogue'!$E$3:$E$100,MATCH(C443,'Catalogue'!$B$3:$B$100,0)),F443),F443)</f>
        <v>69</v>
      </c>
      <c r="F443" s="8">
        <v>69</v>
      </c>
      <c r="G443" s="3">
        <v>1</v>
      </c>
      <c r="H443" s="6">
        <f>IF('Settings'!$B$11="Scenario",ROUND(E443*G443*IFERROR(SUMIF('Pricing &amp; promotions'!$A$6:$A$8,L443,'Pricing &amp; promotions'!$B$6:$B$8)/100,0),2),J443)</f>
        <v>10.35</v>
      </c>
      <c r="I443" s="6">
        <f>ROUND((E443*G443-H443)/(1+'Settings'!$B$6/100),2)</f>
        <v>48.47</v>
      </c>
      <c r="J443" s="8">
        <v>10.35</v>
      </c>
      <c r="K443" s="3" t="inlineStr">
        <is>
          <t xml:space="preserve">TRUE</t>
        </is>
      </c>
      <c r="L443" s="3" t="inlineStr">
        <is>
          <t xml:space="preserve">SUMMER15</t>
        </is>
      </c>
    </row>
    <row r="444">
      <c r="A444" s="3" t="inlineStr">
        <is>
          <t xml:space="preserve">#1327</t>
        </is>
      </c>
      <c r="B444" s="3" t="inlineStr">
        <is>
          <t xml:space="preserve">2026-03-04</t>
        </is>
      </c>
      <c r="C444" s="3" t="inlineStr">
        <is>
          <t xml:space="preserve">SKU-A</t>
        </is>
      </c>
      <c r="D444" s="3" t="inlineStr">
        <is>
          <t xml:space="preserve">Renewal Serum</t>
        </is>
      </c>
      <c r="E444" s="6">
        <f>IF('Settings'!$B$11="Scenario",IFERROR(INDEX('Catalogue'!$E$3:$E$100,MATCH(C444,'Catalogue'!$B$3:$B$100,0)),F444),F444)</f>
        <v>69.9</v>
      </c>
      <c r="F444" s="8">
        <v>69.9</v>
      </c>
      <c r="G444" s="3">
        <v>1</v>
      </c>
      <c r="H444" s="6">
        <f>IF('Settings'!$B$11="Scenario",ROUND(E444*G444*IFERROR(SUMIF('Pricing &amp; promotions'!$A$6:$A$8,L444,'Pricing &amp; promotions'!$B$6:$B$8)/100,0),2),J444)</f>
        <v>0.0</v>
      </c>
      <c r="I444" s="6">
        <f>ROUND((E444*G444-H444)/(1+'Settings'!$B$6/100),2)</f>
        <v>57.77</v>
      </c>
      <c r="J444" s="8">
        <v>0.0</v>
      </c>
      <c r="K444" s="3" t="inlineStr">
        <is>
          <t xml:space="preserve">TRUE</t>
        </is>
      </c>
      <c r="L444" s="3"/>
    </row>
    <row r="445">
      <c r="A445" s="3" t="inlineStr">
        <is>
          <t xml:space="preserve">#1327</t>
        </is>
      </c>
      <c r="B445" s="3" t="inlineStr">
        <is>
          <t xml:space="preserve">2026-03-04</t>
        </is>
      </c>
      <c r="C445" s="3" t="inlineStr">
        <is>
          <t xml:space="preserve">SKU-C</t>
        </is>
      </c>
      <c r="D445" s="3" t="inlineStr">
        <is>
          <t xml:space="preserve">Contour Stone</t>
        </is>
      </c>
      <c r="E445" s="6">
        <f>IF('Settings'!$B$11="Scenario",IFERROR(INDEX('Catalogue'!$E$3:$E$100,MATCH(C445,'Catalogue'!$B$3:$B$100,0)),F445),F445)</f>
        <v>29</v>
      </c>
      <c r="F445" s="8">
        <v>29</v>
      </c>
      <c r="G445" s="3">
        <v>1</v>
      </c>
      <c r="H445" s="6">
        <f>IF('Settings'!$B$11="Scenario",ROUND(E445*G445*IFERROR(SUMIF('Pricing &amp; promotions'!$A$6:$A$8,L445,'Pricing &amp; promotions'!$B$6:$B$8)/100,0),2),J445)</f>
        <v>0.0</v>
      </c>
      <c r="I445" s="6">
        <f>ROUND((E445*G445-H445)/(1+'Settings'!$B$6/100),2)</f>
        <v>23.97</v>
      </c>
      <c r="J445" s="8">
        <v>0.0</v>
      </c>
      <c r="K445" s="3" t="inlineStr">
        <is>
          <t xml:space="preserve">TRUE</t>
        </is>
      </c>
      <c r="L445" s="3"/>
    </row>
    <row r="446">
      <c r="A446" s="3" t="inlineStr">
        <is>
          <t xml:space="preserve">#1328</t>
        </is>
      </c>
      <c r="B446" s="3" t="inlineStr">
        <is>
          <t xml:space="preserve">2026-03-04</t>
        </is>
      </c>
      <c r="C446" s="3" t="inlineStr">
        <is>
          <t xml:space="preserve">SKU-E</t>
        </is>
      </c>
      <c r="D446" s="3" t="inlineStr">
        <is>
          <t xml:space="preserve">Complete Ritual</t>
        </is>
      </c>
      <c r="E446" s="6">
        <f>IF('Settings'!$B$11="Scenario",IFERROR(INDEX('Catalogue'!$E$3:$E$100,MATCH(C446,'Catalogue'!$B$3:$B$100,0)),F446),F446)</f>
        <v>89</v>
      </c>
      <c r="F446" s="8">
        <v>89</v>
      </c>
      <c r="G446" s="3">
        <v>1</v>
      </c>
      <c r="H446" s="6">
        <f>IF('Settings'!$B$11="Scenario",ROUND(E446*G446*IFERROR(SUMIF('Pricing &amp; promotions'!$A$6:$A$8,L446,'Pricing &amp; promotions'!$B$6:$B$8)/100,0),2),J446)</f>
        <v>0.0</v>
      </c>
      <c r="I446" s="6">
        <f>ROUND((E446*G446-H446)/(1+'Settings'!$B$6/100),2)</f>
        <v>73.55</v>
      </c>
      <c r="J446" s="8">
        <v>0.0</v>
      </c>
      <c r="K446" s="3" t="inlineStr">
        <is>
          <t xml:space="preserve">TRUE</t>
        </is>
      </c>
      <c r="L446" s="3"/>
    </row>
    <row r="447">
      <c r="A447" s="3" t="inlineStr">
        <is>
          <t xml:space="preserve">#1328</t>
        </is>
      </c>
      <c r="B447" s="3" t="inlineStr">
        <is>
          <t xml:space="preserve">2026-03-04</t>
        </is>
      </c>
      <c r="C447" s="3" t="inlineStr">
        <is>
          <t xml:space="preserve">SKU-F</t>
        </is>
      </c>
      <c r="D447" s="3" t="inlineStr">
        <is>
          <t xml:space="preserve">Cloud Cleanser</t>
        </is>
      </c>
      <c r="E447" s="6">
        <f>IF('Settings'!$B$11="Scenario",IFERROR(INDEX('Catalogue'!$E$3:$E$100,MATCH(C447,'Catalogue'!$B$3:$B$100,0)),F447),F447)</f>
        <v>34</v>
      </c>
      <c r="F447" s="8">
        <v>34</v>
      </c>
      <c r="G447" s="3">
        <v>1</v>
      </c>
      <c r="H447" s="6">
        <f>IF('Settings'!$B$11="Scenario",ROUND(E447*G447*IFERROR(SUMIF('Pricing &amp; promotions'!$A$6:$A$8,L447,'Pricing &amp; promotions'!$B$6:$B$8)/100,0),2),J447)</f>
        <v>0.0</v>
      </c>
      <c r="I447" s="6">
        <f>ROUND((E447*G447-H447)/(1+'Settings'!$B$6/100),2)</f>
        <v>28.1</v>
      </c>
      <c r="J447" s="8">
        <v>0.0</v>
      </c>
      <c r="K447" s="3" t="inlineStr">
        <is>
          <t xml:space="preserve">TRUE</t>
        </is>
      </c>
      <c r="L447" s="3"/>
    </row>
    <row r="448">
      <c r="A448" s="3" t="inlineStr">
        <is>
          <t xml:space="preserve">#1329</t>
        </is>
      </c>
      <c r="B448" s="3" t="inlineStr">
        <is>
          <t xml:space="preserve">2026-03-04</t>
        </is>
      </c>
      <c r="C448" s="3" t="inlineStr">
        <is>
          <t xml:space="preserve">SKU-G</t>
        </is>
      </c>
      <c r="D448" s="3" t="inlineStr">
        <is>
          <t xml:space="preserve">Daily Reset Set</t>
        </is>
      </c>
      <c r="E448" s="6">
        <f>IF('Settings'!$B$11="Scenario",IFERROR(INDEX('Catalogue'!$E$3:$E$100,MATCH(C448,'Catalogue'!$B$3:$B$100,0)),F448),F448)</f>
        <v>69</v>
      </c>
      <c r="F448" s="8">
        <v>69</v>
      </c>
      <c r="G448" s="3">
        <v>1</v>
      </c>
      <c r="H448" s="6">
        <f>IF('Settings'!$B$11="Scenario",ROUND(E448*G448*IFERROR(SUMIF('Pricing &amp; promotions'!$A$6:$A$8,L448,'Pricing &amp; promotions'!$B$6:$B$8)/100,0),2),J448)</f>
        <v>6.9</v>
      </c>
      <c r="I448" s="6">
        <f>ROUND((E448*G448-H448)/(1+'Settings'!$B$6/100),2)</f>
        <v>51.32</v>
      </c>
      <c r="J448" s="8">
        <v>6.9</v>
      </c>
      <c r="K448" s="3" t="inlineStr">
        <is>
          <t xml:space="preserve">TRUE</t>
        </is>
      </c>
      <c r="L448" s="3" t="inlineStr">
        <is>
          <t xml:space="preserve">WELCOME10</t>
        </is>
      </c>
    </row>
    <row r="449">
      <c r="A449" s="3" t="inlineStr">
        <is>
          <t xml:space="preserve">#1330</t>
        </is>
      </c>
      <c r="B449" s="3" t="inlineStr">
        <is>
          <t xml:space="preserve">2026-03-05</t>
        </is>
      </c>
      <c r="C449" s="3" t="inlineStr">
        <is>
          <t xml:space="preserve">SKU-A</t>
        </is>
      </c>
      <c r="D449" s="3" t="inlineStr">
        <is>
          <t xml:space="preserve">Renewal Serum</t>
        </is>
      </c>
      <c r="E449" s="6">
        <f>IF('Settings'!$B$11="Scenario",IFERROR(INDEX('Catalogue'!$E$3:$E$100,MATCH(C449,'Catalogue'!$B$3:$B$100,0)),F449),F449)</f>
        <v>69.9</v>
      </c>
      <c r="F449" s="8">
        <v>69.9</v>
      </c>
      <c r="G449" s="3">
        <v>1</v>
      </c>
      <c r="H449" s="6">
        <f>IF('Settings'!$B$11="Scenario",ROUND(E449*G449*IFERROR(SUMIF('Pricing &amp; promotions'!$A$6:$A$8,L449,'Pricing &amp; promotions'!$B$6:$B$8)/100,0),2),J449)</f>
        <v>0.0</v>
      </c>
      <c r="I449" s="6">
        <f>ROUND((E449*G449-H449)/(1+'Settings'!$B$6/100),2)</f>
        <v>57.77</v>
      </c>
      <c r="J449" s="8">
        <v>0.0</v>
      </c>
      <c r="K449" s="3" t="inlineStr">
        <is>
          <t xml:space="preserve">TRUE</t>
        </is>
      </c>
      <c r="L449" s="3"/>
    </row>
    <row r="450">
      <c r="A450" s="3" t="inlineStr">
        <is>
          <t xml:space="preserve">#1330</t>
        </is>
      </c>
      <c r="B450" s="3" t="inlineStr">
        <is>
          <t xml:space="preserve">2026-03-05</t>
        </is>
      </c>
      <c r="C450" s="3" t="inlineStr">
        <is>
          <t xml:space="preserve">SKU-B</t>
        </is>
      </c>
      <c r="D450" s="3" t="inlineStr">
        <is>
          <t xml:space="preserve">Barrier Balm</t>
        </is>
      </c>
      <c r="E450" s="6">
        <f>IF('Settings'!$B$11="Scenario",IFERROR(INDEX('Catalogue'!$E$3:$E$100,MATCH(C450,'Catalogue'!$B$3:$B$100,0)),F450),F450)</f>
        <v>19</v>
      </c>
      <c r="F450" s="8">
        <v>19</v>
      </c>
      <c r="G450" s="3">
        <v>1</v>
      </c>
      <c r="H450" s="6">
        <f>IF('Settings'!$B$11="Scenario",ROUND(E450*G450*IFERROR(SUMIF('Pricing &amp; promotions'!$A$6:$A$8,L450,'Pricing &amp; promotions'!$B$6:$B$8)/100,0),2),J450)</f>
        <v>0.0</v>
      </c>
      <c r="I450" s="6">
        <f>ROUND((E450*G450-H450)/(1+'Settings'!$B$6/100),2)</f>
        <v>15.7</v>
      </c>
      <c r="J450" s="8">
        <v>0.0</v>
      </c>
      <c r="K450" s="3" t="inlineStr">
        <is>
          <t xml:space="preserve">TRUE</t>
        </is>
      </c>
      <c r="L450" s="3"/>
    </row>
    <row r="451">
      <c r="A451" s="3" t="inlineStr">
        <is>
          <t xml:space="preserve">#1331</t>
        </is>
      </c>
      <c r="B451" s="3" t="inlineStr">
        <is>
          <t xml:space="preserve">2026-03-05</t>
        </is>
      </c>
      <c r="C451" s="3" t="inlineStr">
        <is>
          <t xml:space="preserve">SKU-D</t>
        </is>
      </c>
      <c r="D451" s="3" t="inlineStr">
        <is>
          <t xml:space="preserve">Daily Duo</t>
        </is>
      </c>
      <c r="E451" s="6">
        <f>IF('Settings'!$B$11="Scenario",IFERROR(INDEX('Catalogue'!$E$3:$E$100,MATCH(C451,'Catalogue'!$B$3:$B$100,0)),F451),F451)</f>
        <v>79</v>
      </c>
      <c r="F451" s="8">
        <v>79</v>
      </c>
      <c r="G451" s="3">
        <v>1</v>
      </c>
      <c r="H451" s="6">
        <f>IF('Settings'!$B$11="Scenario",ROUND(E451*G451*IFERROR(SUMIF('Pricing &amp; promotions'!$A$6:$A$8,L451,'Pricing &amp; promotions'!$B$6:$B$8)/100,0),2),J451)</f>
        <v>0.0</v>
      </c>
      <c r="I451" s="6">
        <f>ROUND((E451*G451-H451)/(1+'Settings'!$B$6/100),2)</f>
        <v>65.29</v>
      </c>
      <c r="J451" s="8">
        <v>0.0</v>
      </c>
      <c r="K451" s="3" t="inlineStr">
        <is>
          <t xml:space="preserve">TRUE</t>
        </is>
      </c>
      <c r="L451" s="3"/>
    </row>
    <row r="452">
      <c r="A452" s="3" t="inlineStr">
        <is>
          <t xml:space="preserve">#1332</t>
        </is>
      </c>
      <c r="B452" s="3" t="inlineStr">
        <is>
          <t xml:space="preserve">2026-03-05</t>
        </is>
      </c>
      <c r="C452" s="3" t="inlineStr">
        <is>
          <t xml:space="preserve">SKU-D</t>
        </is>
      </c>
      <c r="D452" s="3" t="inlineStr">
        <is>
          <t xml:space="preserve">Daily Duo</t>
        </is>
      </c>
      <c r="E452" s="6">
        <f>IF('Settings'!$B$11="Scenario",IFERROR(INDEX('Catalogue'!$E$3:$E$100,MATCH(C452,'Catalogue'!$B$3:$B$100,0)),F452),F452)</f>
        <v>79</v>
      </c>
      <c r="F452" s="8">
        <v>79</v>
      </c>
      <c r="G452" s="3">
        <v>1</v>
      </c>
      <c r="H452" s="6">
        <f>IF('Settings'!$B$11="Scenario",ROUND(E452*G452*IFERROR(SUMIF('Pricing &amp; promotions'!$A$6:$A$8,L452,'Pricing &amp; promotions'!$B$6:$B$8)/100,0),2),J452)</f>
        <v>0.0</v>
      </c>
      <c r="I452" s="6">
        <f>ROUND((E452*G452-H452)/(1+'Settings'!$B$6/100),2)</f>
        <v>65.29</v>
      </c>
      <c r="J452" s="8">
        <v>0.0</v>
      </c>
      <c r="K452" s="3" t="inlineStr">
        <is>
          <t xml:space="preserve">TRUE</t>
        </is>
      </c>
      <c r="L452" s="3"/>
    </row>
    <row r="453">
      <c r="A453" s="3" t="inlineStr">
        <is>
          <t xml:space="preserve">#1332</t>
        </is>
      </c>
      <c r="B453" s="3" t="inlineStr">
        <is>
          <t xml:space="preserve">2026-03-05</t>
        </is>
      </c>
      <c r="C453" s="3" t="inlineStr">
        <is>
          <t xml:space="preserve">SKU-E</t>
        </is>
      </c>
      <c r="D453" s="3" t="inlineStr">
        <is>
          <t xml:space="preserve">Complete Ritual</t>
        </is>
      </c>
      <c r="E453" s="6">
        <f>IF('Settings'!$B$11="Scenario",IFERROR(INDEX('Catalogue'!$E$3:$E$100,MATCH(C453,'Catalogue'!$B$3:$B$100,0)),F453),F453)</f>
        <v>89</v>
      </c>
      <c r="F453" s="8">
        <v>89</v>
      </c>
      <c r="G453" s="3">
        <v>2</v>
      </c>
      <c r="H453" s="6">
        <f>IF('Settings'!$B$11="Scenario",ROUND(E453*G453*IFERROR(SUMIF('Pricing &amp; promotions'!$A$6:$A$8,L453,'Pricing &amp; promotions'!$B$6:$B$8)/100,0),2),J453)</f>
        <v>0.0</v>
      </c>
      <c r="I453" s="6">
        <f>ROUND((E453*G453-H453)/(1+'Settings'!$B$6/100),2)</f>
        <v>147.11</v>
      </c>
      <c r="J453" s="8">
        <v>0.0</v>
      </c>
      <c r="K453" s="3" t="inlineStr">
        <is>
          <t xml:space="preserve">TRUE</t>
        </is>
      </c>
      <c r="L453" s="3"/>
    </row>
    <row r="454">
      <c r="A454" s="3" t="inlineStr">
        <is>
          <t xml:space="preserve">#1333</t>
        </is>
      </c>
      <c r="B454" s="3" t="inlineStr">
        <is>
          <t xml:space="preserve">2026-03-06</t>
        </is>
      </c>
      <c r="C454" s="3" t="inlineStr">
        <is>
          <t xml:space="preserve">SKU-A</t>
        </is>
      </c>
      <c r="D454" s="3" t="inlineStr">
        <is>
          <t xml:space="preserve">Renewal Serum</t>
        </is>
      </c>
      <c r="E454" s="6">
        <f>IF('Settings'!$B$11="Scenario",IFERROR(INDEX('Catalogue'!$E$3:$E$100,MATCH(C454,'Catalogue'!$B$3:$B$100,0)),F454),F454)</f>
        <v>69.9</v>
      </c>
      <c r="F454" s="8">
        <v>69.9</v>
      </c>
      <c r="G454" s="3">
        <v>1</v>
      </c>
      <c r="H454" s="6">
        <f>IF('Settings'!$B$11="Scenario",ROUND(E454*G454*IFERROR(SUMIF('Pricing &amp; promotions'!$A$6:$A$8,L454,'Pricing &amp; promotions'!$B$6:$B$8)/100,0),2),J454)</f>
        <v>0.0</v>
      </c>
      <c r="I454" s="6">
        <f>ROUND((E454*G454-H454)/(1+'Settings'!$B$6/100),2)</f>
        <v>57.77</v>
      </c>
      <c r="J454" s="8">
        <v>0.0</v>
      </c>
      <c r="K454" s="3" t="inlineStr">
        <is>
          <t xml:space="preserve">TRUE</t>
        </is>
      </c>
      <c r="L454" s="3"/>
    </row>
    <row r="455">
      <c r="A455" s="3" t="inlineStr">
        <is>
          <t xml:space="preserve">#1334</t>
        </is>
      </c>
      <c r="B455" s="3" t="inlineStr">
        <is>
          <t xml:space="preserve">2026-03-06</t>
        </is>
      </c>
      <c r="C455" s="3" t="inlineStr">
        <is>
          <t xml:space="preserve">SKU-C</t>
        </is>
      </c>
      <c r="D455" s="3" t="inlineStr">
        <is>
          <t xml:space="preserve">Contour Stone</t>
        </is>
      </c>
      <c r="E455" s="6">
        <f>IF('Settings'!$B$11="Scenario",IFERROR(INDEX('Catalogue'!$E$3:$E$100,MATCH(C455,'Catalogue'!$B$3:$B$100,0)),F455),F455)</f>
        <v>29</v>
      </c>
      <c r="F455" s="8">
        <v>29</v>
      </c>
      <c r="G455" s="3">
        <v>1</v>
      </c>
      <c r="H455" s="6">
        <f>IF('Settings'!$B$11="Scenario",ROUND(E455*G455*IFERROR(SUMIF('Pricing &amp; promotions'!$A$6:$A$8,L455,'Pricing &amp; promotions'!$B$6:$B$8)/100,0),2),J455)</f>
        <v>0.0</v>
      </c>
      <c r="I455" s="6">
        <f>ROUND((E455*G455-H455)/(1+'Settings'!$B$6/100),2)</f>
        <v>23.97</v>
      </c>
      <c r="J455" s="8">
        <v>0.0</v>
      </c>
      <c r="K455" s="3" t="inlineStr">
        <is>
          <t xml:space="preserve">TRUE</t>
        </is>
      </c>
      <c r="L455" s="3"/>
    </row>
    <row r="456">
      <c r="A456" s="3" t="inlineStr">
        <is>
          <t xml:space="preserve">#1335</t>
        </is>
      </c>
      <c r="B456" s="3" t="inlineStr">
        <is>
          <t xml:space="preserve">2026-03-06</t>
        </is>
      </c>
      <c r="C456" s="3" t="inlineStr">
        <is>
          <t xml:space="preserve">SKU-G</t>
        </is>
      </c>
      <c r="D456" s="3" t="inlineStr">
        <is>
          <t xml:space="preserve">Daily Reset Set</t>
        </is>
      </c>
      <c r="E456" s="6">
        <f>IF('Settings'!$B$11="Scenario",IFERROR(INDEX('Catalogue'!$E$3:$E$100,MATCH(C456,'Catalogue'!$B$3:$B$100,0)),F456),F456)</f>
        <v>69</v>
      </c>
      <c r="F456" s="8">
        <v>69</v>
      </c>
      <c r="G456" s="3">
        <v>1</v>
      </c>
      <c r="H456" s="6">
        <f>IF('Settings'!$B$11="Scenario",ROUND(E456*G456*IFERROR(SUMIF('Pricing &amp; promotions'!$A$6:$A$8,L456,'Pricing &amp; promotions'!$B$6:$B$8)/100,0),2),J456)</f>
        <v>10.35</v>
      </c>
      <c r="I456" s="6">
        <f>ROUND((E456*G456-H456)/(1+'Settings'!$B$6/100),2)</f>
        <v>48.47</v>
      </c>
      <c r="J456" s="8">
        <v>10.35</v>
      </c>
      <c r="K456" s="3" t="inlineStr">
        <is>
          <t xml:space="preserve">TRUE</t>
        </is>
      </c>
      <c r="L456" s="3" t="inlineStr">
        <is>
          <t xml:space="preserve">SUMMER15</t>
        </is>
      </c>
    </row>
    <row r="457">
      <c r="A457" s="3" t="inlineStr">
        <is>
          <t xml:space="preserve">#1336</t>
        </is>
      </c>
      <c r="B457" s="3" t="inlineStr">
        <is>
          <t xml:space="preserve">2026-03-07</t>
        </is>
      </c>
      <c r="C457" s="3" t="inlineStr">
        <is>
          <t xml:space="preserve">SKU-A</t>
        </is>
      </c>
      <c r="D457" s="3" t="inlineStr">
        <is>
          <t xml:space="preserve">Renewal Serum</t>
        </is>
      </c>
      <c r="E457" s="6">
        <f>IF('Settings'!$B$11="Scenario",IFERROR(INDEX('Catalogue'!$E$3:$E$100,MATCH(C457,'Catalogue'!$B$3:$B$100,0)),F457),F457)</f>
        <v>69.9</v>
      </c>
      <c r="F457" s="8">
        <v>69.9</v>
      </c>
      <c r="G457" s="3">
        <v>1</v>
      </c>
      <c r="H457" s="6">
        <f>IF('Settings'!$B$11="Scenario",ROUND(E457*G457*IFERROR(SUMIF('Pricing &amp; promotions'!$A$6:$A$8,L457,'Pricing &amp; promotions'!$B$6:$B$8)/100,0),2),J457)</f>
        <v>10.49</v>
      </c>
      <c r="I457" s="6">
        <f>ROUND((E457*G457-H457)/(1+'Settings'!$B$6/100),2)</f>
        <v>49.1</v>
      </c>
      <c r="J457" s="8">
        <v>10.49</v>
      </c>
      <c r="K457" s="3" t="inlineStr">
        <is>
          <t xml:space="preserve">TRUE</t>
        </is>
      </c>
      <c r="L457" s="3" t="inlineStr">
        <is>
          <t xml:space="preserve">SUMMER15</t>
        </is>
      </c>
    </row>
    <row r="458">
      <c r="A458" s="3" t="inlineStr">
        <is>
          <t xml:space="preserve">#1337</t>
        </is>
      </c>
      <c r="B458" s="3" t="inlineStr">
        <is>
          <t xml:space="preserve">2026-03-08</t>
        </is>
      </c>
      <c r="C458" s="3" t="inlineStr">
        <is>
          <t xml:space="preserve">SKU-E</t>
        </is>
      </c>
      <c r="D458" s="3" t="inlineStr">
        <is>
          <t xml:space="preserve">Complete Ritual</t>
        </is>
      </c>
      <c r="E458" s="6">
        <f>IF('Settings'!$B$11="Scenario",IFERROR(INDEX('Catalogue'!$E$3:$E$100,MATCH(C458,'Catalogue'!$B$3:$B$100,0)),F458),F458)</f>
        <v>89</v>
      </c>
      <c r="F458" s="8">
        <v>89</v>
      </c>
      <c r="G458" s="3">
        <v>1</v>
      </c>
      <c r="H458" s="6">
        <f>IF('Settings'!$B$11="Scenario",ROUND(E458*G458*IFERROR(SUMIF('Pricing &amp; promotions'!$A$6:$A$8,L458,'Pricing &amp; promotions'!$B$6:$B$8)/100,0),2),J458)</f>
        <v>0.0</v>
      </c>
      <c r="I458" s="6">
        <f>ROUND((E458*G458-H458)/(1+'Settings'!$B$6/100),2)</f>
        <v>73.55</v>
      </c>
      <c r="J458" s="8">
        <v>0.0</v>
      </c>
      <c r="K458" s="3" t="inlineStr">
        <is>
          <t xml:space="preserve">TRUE</t>
        </is>
      </c>
      <c r="L458" s="3"/>
    </row>
    <row r="459">
      <c r="A459" s="3" t="inlineStr">
        <is>
          <t xml:space="preserve">#1338</t>
        </is>
      </c>
      <c r="B459" s="3" t="inlineStr">
        <is>
          <t xml:space="preserve">2026-03-08</t>
        </is>
      </c>
      <c r="C459" s="3" t="inlineStr">
        <is>
          <t xml:space="preserve">SKU-D</t>
        </is>
      </c>
      <c r="D459" s="3" t="inlineStr">
        <is>
          <t xml:space="preserve">Daily Duo</t>
        </is>
      </c>
      <c r="E459" s="6">
        <f>IF('Settings'!$B$11="Scenario",IFERROR(INDEX('Catalogue'!$E$3:$E$100,MATCH(C459,'Catalogue'!$B$3:$B$100,0)),F459),F459)</f>
        <v>79</v>
      </c>
      <c r="F459" s="8">
        <v>79</v>
      </c>
      <c r="G459" s="3">
        <v>1</v>
      </c>
      <c r="H459" s="6">
        <f>IF('Settings'!$B$11="Scenario",ROUND(E459*G459*IFERROR(SUMIF('Pricing &amp; promotions'!$A$6:$A$8,L459,'Pricing &amp; promotions'!$B$6:$B$8)/100,0),2),J459)</f>
        <v>0.0</v>
      </c>
      <c r="I459" s="6">
        <f>ROUND((E459*G459-H459)/(1+'Settings'!$B$6/100),2)</f>
        <v>65.29</v>
      </c>
      <c r="J459" s="8">
        <v>0.0</v>
      </c>
      <c r="K459" s="3" t="inlineStr">
        <is>
          <t xml:space="preserve">TRUE</t>
        </is>
      </c>
      <c r="L459" s="3"/>
    </row>
    <row r="460">
      <c r="A460" s="3" t="inlineStr">
        <is>
          <t xml:space="preserve">#1339</t>
        </is>
      </c>
      <c r="B460" s="3" t="inlineStr">
        <is>
          <t xml:space="preserve">2026-03-09</t>
        </is>
      </c>
      <c r="C460" s="3" t="inlineStr">
        <is>
          <t xml:space="preserve">SKU-G</t>
        </is>
      </c>
      <c r="D460" s="3" t="inlineStr">
        <is>
          <t xml:space="preserve">Daily Reset Set</t>
        </is>
      </c>
      <c r="E460" s="6">
        <f>IF('Settings'!$B$11="Scenario",IFERROR(INDEX('Catalogue'!$E$3:$E$100,MATCH(C460,'Catalogue'!$B$3:$B$100,0)),F460),F460)</f>
        <v>69</v>
      </c>
      <c r="F460" s="8">
        <v>69</v>
      </c>
      <c r="G460" s="3">
        <v>1</v>
      </c>
      <c r="H460" s="6">
        <f>IF('Settings'!$B$11="Scenario",ROUND(E460*G460*IFERROR(SUMIF('Pricing &amp; promotions'!$A$6:$A$8,L460,'Pricing &amp; promotions'!$B$6:$B$8)/100,0),2),J460)</f>
        <v>0.0</v>
      </c>
      <c r="I460" s="6">
        <f>ROUND((E460*G460-H460)/(1+'Settings'!$B$6/100),2)</f>
        <v>57.02</v>
      </c>
      <c r="J460" s="8">
        <v>0.0</v>
      </c>
      <c r="K460" s="3" t="inlineStr">
        <is>
          <t xml:space="preserve">TRUE</t>
        </is>
      </c>
      <c r="L460" s="3"/>
    </row>
    <row r="461">
      <c r="A461" s="3" t="inlineStr">
        <is>
          <t xml:space="preserve">#1340</t>
        </is>
      </c>
      <c r="B461" s="3" t="inlineStr">
        <is>
          <t xml:space="preserve">2026-03-09</t>
        </is>
      </c>
      <c r="C461" s="3" t="inlineStr">
        <is>
          <t xml:space="preserve">SKU-B</t>
        </is>
      </c>
      <c r="D461" s="3" t="inlineStr">
        <is>
          <t xml:space="preserve">Barrier Balm</t>
        </is>
      </c>
      <c r="E461" s="6">
        <f>IF('Settings'!$B$11="Scenario",IFERROR(INDEX('Catalogue'!$E$3:$E$100,MATCH(C461,'Catalogue'!$B$3:$B$100,0)),F461),F461)</f>
        <v>19</v>
      </c>
      <c r="F461" s="8">
        <v>19</v>
      </c>
      <c r="G461" s="3">
        <v>1</v>
      </c>
      <c r="H461" s="6">
        <f>IF('Settings'!$B$11="Scenario",ROUND(E461*G461*IFERROR(SUMIF('Pricing &amp; promotions'!$A$6:$A$8,L461,'Pricing &amp; promotions'!$B$6:$B$8)/100,0),2),J461)</f>
        <v>2.85</v>
      </c>
      <c r="I461" s="6">
        <f>ROUND((E461*G461-H461)/(1+'Settings'!$B$6/100),2)</f>
        <v>13.35</v>
      </c>
      <c r="J461" s="8">
        <v>2.85</v>
      </c>
      <c r="K461" s="3" t="inlineStr">
        <is>
          <t xml:space="preserve">TRUE</t>
        </is>
      </c>
      <c r="L461" s="3" t="inlineStr">
        <is>
          <t xml:space="preserve">SUMMER15</t>
        </is>
      </c>
    </row>
    <row r="462">
      <c r="A462" s="3" t="inlineStr">
        <is>
          <t xml:space="preserve">#1341</t>
        </is>
      </c>
      <c r="B462" s="3" t="inlineStr">
        <is>
          <t xml:space="preserve">2026-03-10</t>
        </is>
      </c>
      <c r="C462" s="3" t="inlineStr">
        <is>
          <t xml:space="preserve">SKU-E</t>
        </is>
      </c>
      <c r="D462" s="3" t="inlineStr">
        <is>
          <t xml:space="preserve">Complete Ritual</t>
        </is>
      </c>
      <c r="E462" s="6">
        <f>IF('Settings'!$B$11="Scenario",IFERROR(INDEX('Catalogue'!$E$3:$E$100,MATCH(C462,'Catalogue'!$B$3:$B$100,0)),F462),F462)</f>
        <v>89</v>
      </c>
      <c r="F462" s="8">
        <v>89</v>
      </c>
      <c r="G462" s="3">
        <v>2</v>
      </c>
      <c r="H462" s="6">
        <f>IF('Settings'!$B$11="Scenario",ROUND(E462*G462*IFERROR(SUMIF('Pricing &amp; promotions'!$A$6:$A$8,L462,'Pricing &amp; promotions'!$B$6:$B$8)/100,0),2),J462)</f>
        <v>0.0</v>
      </c>
      <c r="I462" s="6">
        <f>ROUND((E462*G462-H462)/(1+'Settings'!$B$6/100),2)</f>
        <v>147.11</v>
      </c>
      <c r="J462" s="8">
        <v>0.0</v>
      </c>
      <c r="K462" s="3" t="inlineStr">
        <is>
          <t xml:space="preserve">TRUE</t>
        </is>
      </c>
      <c r="L462" s="3"/>
    </row>
    <row r="463">
      <c r="A463" s="3" t="inlineStr">
        <is>
          <t xml:space="preserve">#1342</t>
        </is>
      </c>
      <c r="B463" s="3" t="inlineStr">
        <is>
          <t xml:space="preserve">2026-03-10</t>
        </is>
      </c>
      <c r="C463" s="3" t="inlineStr">
        <is>
          <t xml:space="preserve">SKU-D</t>
        </is>
      </c>
      <c r="D463" s="3" t="inlineStr">
        <is>
          <t xml:space="preserve">Daily Duo</t>
        </is>
      </c>
      <c r="E463" s="6">
        <f>IF('Settings'!$B$11="Scenario",IFERROR(INDEX('Catalogue'!$E$3:$E$100,MATCH(C463,'Catalogue'!$B$3:$B$100,0)),F463),F463)</f>
        <v>79</v>
      </c>
      <c r="F463" s="8">
        <v>79</v>
      </c>
      <c r="G463" s="3">
        <v>1</v>
      </c>
      <c r="H463" s="6">
        <f>IF('Settings'!$B$11="Scenario",ROUND(E463*G463*IFERROR(SUMIF('Pricing &amp; promotions'!$A$6:$A$8,L463,'Pricing &amp; promotions'!$B$6:$B$8)/100,0),2),J463)</f>
        <v>11.85</v>
      </c>
      <c r="I463" s="6">
        <f>ROUND((E463*G463-H463)/(1+'Settings'!$B$6/100),2)</f>
        <v>55.5</v>
      </c>
      <c r="J463" s="8">
        <v>11.85</v>
      </c>
      <c r="K463" s="3" t="inlineStr">
        <is>
          <t xml:space="preserve">TRUE</t>
        </is>
      </c>
      <c r="L463" s="3" t="inlineStr">
        <is>
          <t xml:space="preserve">SUMMER15</t>
        </is>
      </c>
    </row>
    <row r="464">
      <c r="A464" s="3" t="inlineStr">
        <is>
          <t xml:space="preserve">#1343</t>
        </is>
      </c>
      <c r="B464" s="3" t="inlineStr">
        <is>
          <t xml:space="preserve">2026-03-11</t>
        </is>
      </c>
      <c r="C464" s="3" t="inlineStr">
        <is>
          <t xml:space="preserve">SKU-G</t>
        </is>
      </c>
      <c r="D464" s="3" t="inlineStr">
        <is>
          <t xml:space="preserve">Daily Reset Set</t>
        </is>
      </c>
      <c r="E464" s="6">
        <f>IF('Settings'!$B$11="Scenario",IFERROR(INDEX('Catalogue'!$E$3:$E$100,MATCH(C464,'Catalogue'!$B$3:$B$100,0)),F464),F464)</f>
        <v>69</v>
      </c>
      <c r="F464" s="8">
        <v>69</v>
      </c>
      <c r="G464" s="3">
        <v>1</v>
      </c>
      <c r="H464" s="6">
        <f>IF('Settings'!$B$11="Scenario",ROUND(E464*G464*IFERROR(SUMIF('Pricing &amp; promotions'!$A$6:$A$8,L464,'Pricing &amp; promotions'!$B$6:$B$8)/100,0),2),J464)</f>
        <v>0.0</v>
      </c>
      <c r="I464" s="6">
        <f>ROUND((E464*G464-H464)/(1+'Settings'!$B$6/100),2)</f>
        <v>57.02</v>
      </c>
      <c r="J464" s="8">
        <v>0.0</v>
      </c>
      <c r="K464" s="3" t="inlineStr">
        <is>
          <t xml:space="preserve">TRUE</t>
        </is>
      </c>
      <c r="L464" s="3"/>
    </row>
    <row r="465">
      <c r="A465" s="3" t="inlineStr">
        <is>
          <t xml:space="preserve">#1344</t>
        </is>
      </c>
      <c r="B465" s="3" t="inlineStr">
        <is>
          <t xml:space="preserve">2026-03-11</t>
        </is>
      </c>
      <c r="C465" s="3" t="inlineStr">
        <is>
          <t xml:space="preserve">SKU-A</t>
        </is>
      </c>
      <c r="D465" s="3" t="inlineStr">
        <is>
          <t xml:space="preserve">Renewal Serum</t>
        </is>
      </c>
      <c r="E465" s="6">
        <f>IF('Settings'!$B$11="Scenario",IFERROR(INDEX('Catalogue'!$E$3:$E$100,MATCH(C465,'Catalogue'!$B$3:$B$100,0)),F465),F465)</f>
        <v>69.9</v>
      </c>
      <c r="F465" s="8">
        <v>69.9</v>
      </c>
      <c r="G465" s="3">
        <v>1</v>
      </c>
      <c r="H465" s="6">
        <f>IF('Settings'!$B$11="Scenario",ROUND(E465*G465*IFERROR(SUMIF('Pricing &amp; promotions'!$A$6:$A$8,L465,'Pricing &amp; promotions'!$B$6:$B$8)/100,0),2),J465)</f>
        <v>0.0</v>
      </c>
      <c r="I465" s="6">
        <f>ROUND((E465*G465-H465)/(1+'Settings'!$B$6/100),2)</f>
        <v>57.77</v>
      </c>
      <c r="J465" s="8">
        <v>0.0</v>
      </c>
      <c r="K465" s="3" t="inlineStr">
        <is>
          <t xml:space="preserve">TRUE</t>
        </is>
      </c>
      <c r="L465" s="3"/>
    </row>
    <row r="466">
      <c r="A466" s="3" t="inlineStr">
        <is>
          <t xml:space="preserve">#1345</t>
        </is>
      </c>
      <c r="B466" s="3" t="inlineStr">
        <is>
          <t xml:space="preserve">2026-03-12</t>
        </is>
      </c>
      <c r="C466" s="3" t="inlineStr">
        <is>
          <t xml:space="preserve">SKU-G</t>
        </is>
      </c>
      <c r="D466" s="3" t="inlineStr">
        <is>
          <t xml:space="preserve">Daily Reset Set</t>
        </is>
      </c>
      <c r="E466" s="6">
        <f>IF('Settings'!$B$11="Scenario",IFERROR(INDEX('Catalogue'!$E$3:$E$100,MATCH(C466,'Catalogue'!$B$3:$B$100,0)),F466),F466)</f>
        <v>69</v>
      </c>
      <c r="F466" s="8">
        <v>69</v>
      </c>
      <c r="G466" s="3">
        <v>1</v>
      </c>
      <c r="H466" s="6">
        <f>IF('Settings'!$B$11="Scenario",ROUND(E466*G466*IFERROR(SUMIF('Pricing &amp; promotions'!$A$6:$A$8,L466,'Pricing &amp; promotions'!$B$6:$B$8)/100,0),2),J466)</f>
        <v>6.9</v>
      </c>
      <c r="I466" s="6">
        <f>ROUND((E466*G466-H466)/(1+'Settings'!$B$6/100),2)</f>
        <v>51.32</v>
      </c>
      <c r="J466" s="8">
        <v>6.9</v>
      </c>
      <c r="K466" s="3" t="inlineStr">
        <is>
          <t xml:space="preserve">TRUE</t>
        </is>
      </c>
      <c r="L466" s="3" t="inlineStr">
        <is>
          <t xml:space="preserve">WELCOME10</t>
        </is>
      </c>
    </row>
    <row r="467">
      <c r="A467" s="3" t="inlineStr">
        <is>
          <t xml:space="preserve">#1345</t>
        </is>
      </c>
      <c r="B467" s="3" t="inlineStr">
        <is>
          <t xml:space="preserve">2026-03-12</t>
        </is>
      </c>
      <c r="C467" s="3" t="inlineStr">
        <is>
          <t xml:space="preserve">SKU-A</t>
        </is>
      </c>
      <c r="D467" s="3" t="inlineStr">
        <is>
          <t xml:space="preserve">Renewal Serum</t>
        </is>
      </c>
      <c r="E467" s="6">
        <f>IF('Settings'!$B$11="Scenario",IFERROR(INDEX('Catalogue'!$E$3:$E$100,MATCH(C467,'Catalogue'!$B$3:$B$100,0)),F467),F467)</f>
        <v>69.9</v>
      </c>
      <c r="F467" s="8">
        <v>69.9</v>
      </c>
      <c r="G467" s="3">
        <v>1</v>
      </c>
      <c r="H467" s="6">
        <f>IF('Settings'!$B$11="Scenario",ROUND(E467*G467*IFERROR(SUMIF('Pricing &amp; promotions'!$A$6:$A$8,L467,'Pricing &amp; promotions'!$B$6:$B$8)/100,0),2),J467)</f>
        <v>6.99</v>
      </c>
      <c r="I467" s="6">
        <f>ROUND((E467*G467-H467)/(1+'Settings'!$B$6/100),2)</f>
        <v>51.99</v>
      </c>
      <c r="J467" s="8">
        <v>6.99</v>
      </c>
      <c r="K467" s="3" t="inlineStr">
        <is>
          <t xml:space="preserve">TRUE</t>
        </is>
      </c>
      <c r="L467" s="3" t="inlineStr">
        <is>
          <t xml:space="preserve">WELCOME10</t>
        </is>
      </c>
    </row>
    <row r="468">
      <c r="A468" s="3" t="inlineStr">
        <is>
          <t xml:space="preserve">#1346</t>
        </is>
      </c>
      <c r="B468" s="3" t="inlineStr">
        <is>
          <t xml:space="preserve">2026-03-12</t>
        </is>
      </c>
      <c r="C468" s="3" t="inlineStr">
        <is>
          <t xml:space="preserve">SKU-B</t>
        </is>
      </c>
      <c r="D468" s="3" t="inlineStr">
        <is>
          <t xml:space="preserve">Barrier Balm</t>
        </is>
      </c>
      <c r="E468" s="6">
        <f>IF('Settings'!$B$11="Scenario",IFERROR(INDEX('Catalogue'!$E$3:$E$100,MATCH(C468,'Catalogue'!$B$3:$B$100,0)),F468),F468)</f>
        <v>19</v>
      </c>
      <c r="F468" s="8">
        <v>19</v>
      </c>
      <c r="G468" s="3">
        <v>1</v>
      </c>
      <c r="H468" s="6">
        <f>IF('Settings'!$B$11="Scenario",ROUND(E468*G468*IFERROR(SUMIF('Pricing &amp; promotions'!$A$6:$A$8,L468,'Pricing &amp; promotions'!$B$6:$B$8)/100,0),2),J468)</f>
        <v>0.0</v>
      </c>
      <c r="I468" s="6">
        <f>ROUND((E468*G468-H468)/(1+'Settings'!$B$6/100),2)</f>
        <v>15.7</v>
      </c>
      <c r="J468" s="8">
        <v>0.0</v>
      </c>
      <c r="K468" s="3" t="inlineStr">
        <is>
          <t xml:space="preserve">TRUE</t>
        </is>
      </c>
      <c r="L468" s="3"/>
    </row>
    <row r="469">
      <c r="A469" s="3" t="inlineStr">
        <is>
          <t xml:space="preserve">#1346</t>
        </is>
      </c>
      <c r="B469" s="3" t="inlineStr">
        <is>
          <t xml:space="preserve">2026-03-12</t>
        </is>
      </c>
      <c r="C469" s="3" t="inlineStr">
        <is>
          <t xml:space="preserve">SKU-C</t>
        </is>
      </c>
      <c r="D469" s="3" t="inlineStr">
        <is>
          <t xml:space="preserve">Contour Stone</t>
        </is>
      </c>
      <c r="E469" s="6">
        <f>IF('Settings'!$B$11="Scenario",IFERROR(INDEX('Catalogue'!$E$3:$E$100,MATCH(C469,'Catalogue'!$B$3:$B$100,0)),F469),F469)</f>
        <v>29</v>
      </c>
      <c r="F469" s="8">
        <v>29</v>
      </c>
      <c r="G469" s="3">
        <v>2</v>
      </c>
      <c r="H469" s="6">
        <f>IF('Settings'!$B$11="Scenario",ROUND(E469*G469*IFERROR(SUMIF('Pricing &amp; promotions'!$A$6:$A$8,L469,'Pricing &amp; promotions'!$B$6:$B$8)/100,0),2),J469)</f>
        <v>0.0</v>
      </c>
      <c r="I469" s="6">
        <f>ROUND((E469*G469-H469)/(1+'Settings'!$B$6/100),2)</f>
        <v>47.93</v>
      </c>
      <c r="J469" s="8">
        <v>0.0</v>
      </c>
      <c r="K469" s="3" t="inlineStr">
        <is>
          <t xml:space="preserve">TRUE</t>
        </is>
      </c>
      <c r="L469" s="3"/>
    </row>
    <row r="470">
      <c r="A470" s="3" t="inlineStr">
        <is>
          <t xml:space="preserve">#1347</t>
        </is>
      </c>
      <c r="B470" s="3" t="inlineStr">
        <is>
          <t xml:space="preserve">2026-03-12</t>
        </is>
      </c>
      <c r="C470" s="3" t="inlineStr">
        <is>
          <t xml:space="preserve">SKU-B</t>
        </is>
      </c>
      <c r="D470" s="3" t="inlineStr">
        <is>
          <t xml:space="preserve">Barrier Balm</t>
        </is>
      </c>
      <c r="E470" s="6">
        <f>IF('Settings'!$B$11="Scenario",IFERROR(INDEX('Catalogue'!$E$3:$E$100,MATCH(C470,'Catalogue'!$B$3:$B$100,0)),F470),F470)</f>
        <v>19</v>
      </c>
      <c r="F470" s="8">
        <v>19</v>
      </c>
      <c r="G470" s="3">
        <v>1</v>
      </c>
      <c r="H470" s="6">
        <f>IF('Settings'!$B$11="Scenario",ROUND(E470*G470*IFERROR(SUMIF('Pricing &amp; promotions'!$A$6:$A$8,L470,'Pricing &amp; promotions'!$B$6:$B$8)/100,0),2),J470)</f>
        <v>1.9</v>
      </c>
      <c r="I470" s="6">
        <f>ROUND((E470*G470-H470)/(1+'Settings'!$B$6/100),2)</f>
        <v>14.13</v>
      </c>
      <c r="J470" s="8">
        <v>1.9</v>
      </c>
      <c r="K470" s="3" t="inlineStr">
        <is>
          <t xml:space="preserve">TRUE</t>
        </is>
      </c>
      <c r="L470" s="3" t="inlineStr">
        <is>
          <t xml:space="preserve">WELCOME10</t>
        </is>
      </c>
    </row>
    <row r="471">
      <c r="A471" s="3" t="inlineStr">
        <is>
          <t xml:space="preserve">#1347</t>
        </is>
      </c>
      <c r="B471" s="3" t="inlineStr">
        <is>
          <t xml:space="preserve">2026-03-12</t>
        </is>
      </c>
      <c r="C471" s="3" t="inlineStr">
        <is>
          <t xml:space="preserve">SKU-G</t>
        </is>
      </c>
      <c r="D471" s="3" t="inlineStr">
        <is>
          <t xml:space="preserve">Daily Reset Set</t>
        </is>
      </c>
      <c r="E471" s="6">
        <f>IF('Settings'!$B$11="Scenario",IFERROR(INDEX('Catalogue'!$E$3:$E$100,MATCH(C471,'Catalogue'!$B$3:$B$100,0)),F471),F471)</f>
        <v>69</v>
      </c>
      <c r="F471" s="8">
        <v>69</v>
      </c>
      <c r="G471" s="3">
        <v>1</v>
      </c>
      <c r="H471" s="6">
        <f>IF('Settings'!$B$11="Scenario",ROUND(E471*G471*IFERROR(SUMIF('Pricing &amp; promotions'!$A$6:$A$8,L471,'Pricing &amp; promotions'!$B$6:$B$8)/100,0),2),J471)</f>
        <v>6.9</v>
      </c>
      <c r="I471" s="6">
        <f>ROUND((E471*G471-H471)/(1+'Settings'!$B$6/100),2)</f>
        <v>51.32</v>
      </c>
      <c r="J471" s="8">
        <v>6.9</v>
      </c>
      <c r="K471" s="3" t="inlineStr">
        <is>
          <t xml:space="preserve">TRUE</t>
        </is>
      </c>
      <c r="L471" s="3" t="inlineStr">
        <is>
          <t xml:space="preserve">WELCOME10</t>
        </is>
      </c>
    </row>
    <row r="472">
      <c r="A472" s="3" t="inlineStr">
        <is>
          <t xml:space="preserve">#1348</t>
        </is>
      </c>
      <c r="B472" s="3" t="inlineStr">
        <is>
          <t xml:space="preserve">2026-03-12</t>
        </is>
      </c>
      <c r="C472" s="3" t="inlineStr">
        <is>
          <t xml:space="preserve">SKU-A</t>
        </is>
      </c>
      <c r="D472" s="3" t="inlineStr">
        <is>
          <t xml:space="preserve">Renewal Serum</t>
        </is>
      </c>
      <c r="E472" s="6">
        <f>IF('Settings'!$B$11="Scenario",IFERROR(INDEX('Catalogue'!$E$3:$E$100,MATCH(C472,'Catalogue'!$B$3:$B$100,0)),F472),F472)</f>
        <v>69.9</v>
      </c>
      <c r="F472" s="8">
        <v>69.9</v>
      </c>
      <c r="G472" s="3">
        <v>1</v>
      </c>
      <c r="H472" s="6">
        <f>IF('Settings'!$B$11="Scenario",ROUND(E472*G472*IFERROR(SUMIF('Pricing &amp; promotions'!$A$6:$A$8,L472,'Pricing &amp; promotions'!$B$6:$B$8)/100,0),2),J472)</f>
        <v>6.99</v>
      </c>
      <c r="I472" s="6">
        <f>ROUND((E472*G472-H472)/(1+'Settings'!$B$6/100),2)</f>
        <v>51.99</v>
      </c>
      <c r="J472" s="8">
        <v>6.99</v>
      </c>
      <c r="K472" s="3" t="inlineStr">
        <is>
          <t xml:space="preserve">TRUE</t>
        </is>
      </c>
      <c r="L472" s="3" t="inlineStr">
        <is>
          <t xml:space="preserve">WELCOME10</t>
        </is>
      </c>
    </row>
    <row r="473">
      <c r="A473" s="3" t="inlineStr">
        <is>
          <t xml:space="preserve">#1349</t>
        </is>
      </c>
      <c r="B473" s="3" t="inlineStr">
        <is>
          <t xml:space="preserve">2026-03-13</t>
        </is>
      </c>
      <c r="C473" s="3" t="inlineStr">
        <is>
          <t xml:space="preserve">SKU-D</t>
        </is>
      </c>
      <c r="D473" s="3" t="inlineStr">
        <is>
          <t xml:space="preserve">Daily Duo</t>
        </is>
      </c>
      <c r="E473" s="6">
        <f>IF('Settings'!$B$11="Scenario",IFERROR(INDEX('Catalogue'!$E$3:$E$100,MATCH(C473,'Catalogue'!$B$3:$B$100,0)),F473),F473)</f>
        <v>79</v>
      </c>
      <c r="F473" s="8">
        <v>79</v>
      </c>
      <c r="G473" s="3">
        <v>1</v>
      </c>
      <c r="H473" s="6">
        <f>IF('Settings'!$B$11="Scenario",ROUND(E473*G473*IFERROR(SUMIF('Pricing &amp; promotions'!$A$6:$A$8,L473,'Pricing &amp; promotions'!$B$6:$B$8)/100,0),2),J473)</f>
        <v>0.0</v>
      </c>
      <c r="I473" s="6">
        <f>ROUND((E473*G473-H473)/(1+'Settings'!$B$6/100),2)</f>
        <v>65.29</v>
      </c>
      <c r="J473" s="8">
        <v>0.0</v>
      </c>
      <c r="K473" s="3" t="inlineStr">
        <is>
          <t xml:space="preserve">TRUE</t>
        </is>
      </c>
      <c r="L473" s="3"/>
    </row>
    <row r="474">
      <c r="A474" s="3" t="inlineStr">
        <is>
          <t xml:space="preserve">#1350</t>
        </is>
      </c>
      <c r="B474" s="3" t="inlineStr">
        <is>
          <t xml:space="preserve">2026-03-13</t>
        </is>
      </c>
      <c r="C474" s="3" t="inlineStr">
        <is>
          <t xml:space="preserve">SKU-E</t>
        </is>
      </c>
      <c r="D474" s="3" t="inlineStr">
        <is>
          <t xml:space="preserve">Complete Ritual</t>
        </is>
      </c>
      <c r="E474" s="6">
        <f>IF('Settings'!$B$11="Scenario",IFERROR(INDEX('Catalogue'!$E$3:$E$100,MATCH(C474,'Catalogue'!$B$3:$B$100,0)),F474),F474)</f>
        <v>89</v>
      </c>
      <c r="F474" s="8">
        <v>89</v>
      </c>
      <c r="G474" s="3">
        <v>1</v>
      </c>
      <c r="H474" s="6">
        <f>IF('Settings'!$B$11="Scenario",ROUND(E474*G474*IFERROR(SUMIF('Pricing &amp; promotions'!$A$6:$A$8,L474,'Pricing &amp; promotions'!$B$6:$B$8)/100,0),2),J474)</f>
        <v>0.0</v>
      </c>
      <c r="I474" s="6">
        <f>ROUND((E474*G474-H474)/(1+'Settings'!$B$6/100),2)</f>
        <v>73.55</v>
      </c>
      <c r="J474" s="8">
        <v>0.0</v>
      </c>
      <c r="K474" s="3" t="inlineStr">
        <is>
          <t xml:space="preserve">TRUE</t>
        </is>
      </c>
      <c r="L474" s="3"/>
    </row>
    <row r="475">
      <c r="A475" s="3" t="inlineStr">
        <is>
          <t xml:space="preserve">#1350</t>
        </is>
      </c>
      <c r="B475" s="3" t="inlineStr">
        <is>
          <t xml:space="preserve">2026-03-13</t>
        </is>
      </c>
      <c r="C475" s="3" t="inlineStr">
        <is>
          <t xml:space="preserve">SKU-G</t>
        </is>
      </c>
      <c r="D475" s="3" t="inlineStr">
        <is>
          <t xml:space="preserve">Daily Reset Set</t>
        </is>
      </c>
      <c r="E475" s="6">
        <f>IF('Settings'!$B$11="Scenario",IFERROR(INDEX('Catalogue'!$E$3:$E$100,MATCH(C475,'Catalogue'!$B$3:$B$100,0)),F475),F475)</f>
        <v>69</v>
      </c>
      <c r="F475" s="8">
        <v>69</v>
      </c>
      <c r="G475" s="3">
        <v>1</v>
      </c>
      <c r="H475" s="6">
        <f>IF('Settings'!$B$11="Scenario",ROUND(E475*G475*IFERROR(SUMIF('Pricing &amp; promotions'!$A$6:$A$8,L475,'Pricing &amp; promotions'!$B$6:$B$8)/100,0),2),J475)</f>
        <v>0.0</v>
      </c>
      <c r="I475" s="6">
        <f>ROUND((E475*G475-H475)/(1+'Settings'!$B$6/100),2)</f>
        <v>57.02</v>
      </c>
      <c r="J475" s="8">
        <v>0.0</v>
      </c>
      <c r="K475" s="3" t="inlineStr">
        <is>
          <t xml:space="preserve">TRUE</t>
        </is>
      </c>
      <c r="L475" s="3"/>
    </row>
    <row r="476">
      <c r="A476" s="3" t="inlineStr">
        <is>
          <t xml:space="preserve">#1350</t>
        </is>
      </c>
      <c r="B476" s="3" t="inlineStr">
        <is>
          <t xml:space="preserve">2026-03-13</t>
        </is>
      </c>
      <c r="C476" s="3" t="inlineStr">
        <is>
          <t xml:space="preserve">SKU-C</t>
        </is>
      </c>
      <c r="D476" s="3" t="inlineStr">
        <is>
          <t xml:space="preserve">Contour Stone</t>
        </is>
      </c>
      <c r="E476" s="6">
        <f>IF('Settings'!$B$11="Scenario",IFERROR(INDEX('Catalogue'!$E$3:$E$100,MATCH(C476,'Catalogue'!$B$3:$B$100,0)),F476),F476)</f>
        <v>29</v>
      </c>
      <c r="F476" s="8">
        <v>29</v>
      </c>
      <c r="G476" s="3">
        <v>2</v>
      </c>
      <c r="H476" s="6">
        <f>IF('Settings'!$B$11="Scenario",ROUND(E476*G476*IFERROR(SUMIF('Pricing &amp; promotions'!$A$6:$A$8,L476,'Pricing &amp; promotions'!$B$6:$B$8)/100,0),2),J476)</f>
        <v>0.0</v>
      </c>
      <c r="I476" s="6">
        <f>ROUND((E476*G476-H476)/(1+'Settings'!$B$6/100),2)</f>
        <v>47.93</v>
      </c>
      <c r="J476" s="8">
        <v>0.0</v>
      </c>
      <c r="K476" s="3" t="inlineStr">
        <is>
          <t xml:space="preserve">TRUE</t>
        </is>
      </c>
      <c r="L476" s="3"/>
    </row>
    <row r="477">
      <c r="A477" s="3" t="inlineStr">
        <is>
          <t xml:space="preserve">#1351</t>
        </is>
      </c>
      <c r="B477" s="3" t="inlineStr">
        <is>
          <t xml:space="preserve">2026-03-14</t>
        </is>
      </c>
      <c r="C477" s="3" t="inlineStr">
        <is>
          <t xml:space="preserve">SKU-G</t>
        </is>
      </c>
      <c r="D477" s="3" t="inlineStr">
        <is>
          <t xml:space="preserve">Daily Reset Set</t>
        </is>
      </c>
      <c r="E477" s="6">
        <f>IF('Settings'!$B$11="Scenario",IFERROR(INDEX('Catalogue'!$E$3:$E$100,MATCH(C477,'Catalogue'!$B$3:$B$100,0)),F477),F477)</f>
        <v>69</v>
      </c>
      <c r="F477" s="8">
        <v>69</v>
      </c>
      <c r="G477" s="3">
        <v>1</v>
      </c>
      <c r="H477" s="6">
        <f>IF('Settings'!$B$11="Scenario",ROUND(E477*G477*IFERROR(SUMIF('Pricing &amp; promotions'!$A$6:$A$8,L477,'Pricing &amp; promotions'!$B$6:$B$8)/100,0),2),J477)</f>
        <v>6.9</v>
      </c>
      <c r="I477" s="6">
        <f>ROUND((E477*G477-H477)/(1+'Settings'!$B$6/100),2)</f>
        <v>51.32</v>
      </c>
      <c r="J477" s="8">
        <v>6.9</v>
      </c>
      <c r="K477" s="3" t="inlineStr">
        <is>
          <t xml:space="preserve">TRUE</t>
        </is>
      </c>
      <c r="L477" s="3" t="inlineStr">
        <is>
          <t xml:space="preserve">WELCOME10</t>
        </is>
      </c>
    </row>
    <row r="478">
      <c r="A478" s="3" t="inlineStr">
        <is>
          <t xml:space="preserve">#1352</t>
        </is>
      </c>
      <c r="B478" s="3" t="inlineStr">
        <is>
          <t xml:space="preserve">2026-03-14</t>
        </is>
      </c>
      <c r="C478" s="3" t="inlineStr">
        <is>
          <t xml:space="preserve">SKU-D</t>
        </is>
      </c>
      <c r="D478" s="3" t="inlineStr">
        <is>
          <t xml:space="preserve">Daily Duo</t>
        </is>
      </c>
      <c r="E478" s="6">
        <f>IF('Settings'!$B$11="Scenario",IFERROR(INDEX('Catalogue'!$E$3:$E$100,MATCH(C478,'Catalogue'!$B$3:$B$100,0)),F478),F478)</f>
        <v>79</v>
      </c>
      <c r="F478" s="8">
        <v>79</v>
      </c>
      <c r="G478" s="3">
        <v>1</v>
      </c>
      <c r="H478" s="6">
        <f>IF('Settings'!$B$11="Scenario",ROUND(E478*G478*IFERROR(SUMIF('Pricing &amp; promotions'!$A$6:$A$8,L478,'Pricing &amp; promotions'!$B$6:$B$8)/100,0),2),J478)</f>
        <v>0.0</v>
      </c>
      <c r="I478" s="6">
        <f>ROUND((E478*G478-H478)/(1+'Settings'!$B$6/100),2)</f>
        <v>65.29</v>
      </c>
      <c r="J478" s="8">
        <v>0.0</v>
      </c>
      <c r="K478" s="3" t="inlineStr">
        <is>
          <t xml:space="preserve">TRUE</t>
        </is>
      </c>
      <c r="L478" s="3"/>
    </row>
    <row r="479">
      <c r="A479" s="3" t="inlineStr">
        <is>
          <t xml:space="preserve">#1352</t>
        </is>
      </c>
      <c r="B479" s="3" t="inlineStr">
        <is>
          <t xml:space="preserve">2026-03-14</t>
        </is>
      </c>
      <c r="C479" s="3" t="inlineStr">
        <is>
          <t xml:space="preserve">SKU-E</t>
        </is>
      </c>
      <c r="D479" s="3" t="inlineStr">
        <is>
          <t xml:space="preserve">Complete Ritual</t>
        </is>
      </c>
      <c r="E479" s="6">
        <f>IF('Settings'!$B$11="Scenario",IFERROR(INDEX('Catalogue'!$E$3:$E$100,MATCH(C479,'Catalogue'!$B$3:$B$100,0)),F479),F479)</f>
        <v>89</v>
      </c>
      <c r="F479" s="8">
        <v>89</v>
      </c>
      <c r="G479" s="3">
        <v>2</v>
      </c>
      <c r="H479" s="6">
        <f>IF('Settings'!$B$11="Scenario",ROUND(E479*G479*IFERROR(SUMIF('Pricing &amp; promotions'!$A$6:$A$8,L479,'Pricing &amp; promotions'!$B$6:$B$8)/100,0),2),J479)</f>
        <v>0.0</v>
      </c>
      <c r="I479" s="6">
        <f>ROUND((E479*G479-H479)/(1+'Settings'!$B$6/100),2)</f>
        <v>147.11</v>
      </c>
      <c r="J479" s="8">
        <v>0.0</v>
      </c>
      <c r="K479" s="3" t="inlineStr">
        <is>
          <t xml:space="preserve">TRUE</t>
        </is>
      </c>
      <c r="L479" s="3"/>
    </row>
    <row r="480">
      <c r="A480" s="3" t="inlineStr">
        <is>
          <t xml:space="preserve">#1352</t>
        </is>
      </c>
      <c r="B480" s="3" t="inlineStr">
        <is>
          <t xml:space="preserve">2026-03-14</t>
        </is>
      </c>
      <c r="C480" s="3" t="inlineStr">
        <is>
          <t xml:space="preserve">SKU-A</t>
        </is>
      </c>
      <c r="D480" s="3" t="inlineStr">
        <is>
          <t xml:space="preserve">Renewal Serum</t>
        </is>
      </c>
      <c r="E480" s="6">
        <f>IF('Settings'!$B$11="Scenario",IFERROR(INDEX('Catalogue'!$E$3:$E$100,MATCH(C480,'Catalogue'!$B$3:$B$100,0)),F480),F480)</f>
        <v>69.9</v>
      </c>
      <c r="F480" s="8">
        <v>69.9</v>
      </c>
      <c r="G480" s="3">
        <v>1</v>
      </c>
      <c r="H480" s="6">
        <f>IF('Settings'!$B$11="Scenario",ROUND(E480*G480*IFERROR(SUMIF('Pricing &amp; promotions'!$A$6:$A$8,L480,'Pricing &amp; promotions'!$B$6:$B$8)/100,0),2),J480)</f>
        <v>0.0</v>
      </c>
      <c r="I480" s="6">
        <f>ROUND((E480*G480-H480)/(1+'Settings'!$B$6/100),2)</f>
        <v>57.77</v>
      </c>
      <c r="J480" s="8">
        <v>0.0</v>
      </c>
      <c r="K480" s="3" t="inlineStr">
        <is>
          <t xml:space="preserve">TRUE</t>
        </is>
      </c>
      <c r="L480" s="3"/>
    </row>
    <row r="481">
      <c r="A481" s="3" t="inlineStr">
        <is>
          <t xml:space="preserve">#1353</t>
        </is>
      </c>
      <c r="B481" s="3" t="inlineStr">
        <is>
          <t xml:space="preserve">2026-03-14</t>
        </is>
      </c>
      <c r="C481" s="3" t="inlineStr">
        <is>
          <t xml:space="preserve">SKU-C</t>
        </is>
      </c>
      <c r="D481" s="3" t="inlineStr">
        <is>
          <t xml:space="preserve">Contour Stone</t>
        </is>
      </c>
      <c r="E481" s="6">
        <f>IF('Settings'!$B$11="Scenario",IFERROR(INDEX('Catalogue'!$E$3:$E$100,MATCH(C481,'Catalogue'!$B$3:$B$100,0)),F481),F481)</f>
        <v>29</v>
      </c>
      <c r="F481" s="8">
        <v>29</v>
      </c>
      <c r="G481" s="3">
        <v>1</v>
      </c>
      <c r="H481" s="6">
        <f>IF('Settings'!$B$11="Scenario",ROUND(E481*G481*IFERROR(SUMIF('Pricing &amp; promotions'!$A$6:$A$8,L481,'Pricing &amp; promotions'!$B$6:$B$8)/100,0),2),J481)</f>
        <v>4.35</v>
      </c>
      <c r="I481" s="6">
        <f>ROUND((E481*G481-H481)/(1+'Settings'!$B$6/100),2)</f>
        <v>20.37</v>
      </c>
      <c r="J481" s="8">
        <v>4.35</v>
      </c>
      <c r="K481" s="3" t="inlineStr">
        <is>
          <t xml:space="preserve">TRUE</t>
        </is>
      </c>
      <c r="L481" s="3" t="inlineStr">
        <is>
          <t xml:space="preserve">SUMMER15</t>
        </is>
      </c>
    </row>
    <row r="482">
      <c r="A482" s="3" t="inlineStr">
        <is>
          <t xml:space="preserve">#1354</t>
        </is>
      </c>
      <c r="B482" s="3" t="inlineStr">
        <is>
          <t xml:space="preserve">2026-03-15</t>
        </is>
      </c>
      <c r="C482" s="3" t="inlineStr">
        <is>
          <t xml:space="preserve">SKU-E</t>
        </is>
      </c>
      <c r="D482" s="3" t="inlineStr">
        <is>
          <t xml:space="preserve">Complete Ritual</t>
        </is>
      </c>
      <c r="E482" s="6">
        <f>IF('Settings'!$B$11="Scenario",IFERROR(INDEX('Catalogue'!$E$3:$E$100,MATCH(C482,'Catalogue'!$B$3:$B$100,0)),F482),F482)</f>
        <v>89</v>
      </c>
      <c r="F482" s="8">
        <v>89</v>
      </c>
      <c r="G482" s="3">
        <v>2</v>
      </c>
      <c r="H482" s="6">
        <f>IF('Settings'!$B$11="Scenario",ROUND(E482*G482*IFERROR(SUMIF('Pricing &amp; promotions'!$A$6:$A$8,L482,'Pricing &amp; promotions'!$B$6:$B$8)/100,0),2),J482)</f>
        <v>26.7</v>
      </c>
      <c r="I482" s="6">
        <f>ROUND((E482*G482-H482)/(1+'Settings'!$B$6/100),2)</f>
        <v>125.04</v>
      </c>
      <c r="J482" s="8">
        <v>26.7</v>
      </c>
      <c r="K482" s="3" t="inlineStr">
        <is>
          <t xml:space="preserve">TRUE</t>
        </is>
      </c>
      <c r="L482" s="3" t="inlineStr">
        <is>
          <t xml:space="preserve">SUMMER15</t>
        </is>
      </c>
    </row>
    <row r="483">
      <c r="A483" s="3" t="inlineStr">
        <is>
          <t xml:space="preserve">#1354</t>
        </is>
      </c>
      <c r="B483" s="3" t="inlineStr">
        <is>
          <t xml:space="preserve">2026-03-15</t>
        </is>
      </c>
      <c r="C483" s="3" t="inlineStr">
        <is>
          <t xml:space="preserve">SKU-A</t>
        </is>
      </c>
      <c r="D483" s="3" t="inlineStr">
        <is>
          <t xml:space="preserve">Renewal Serum</t>
        </is>
      </c>
      <c r="E483" s="6">
        <f>IF('Settings'!$B$11="Scenario",IFERROR(INDEX('Catalogue'!$E$3:$E$100,MATCH(C483,'Catalogue'!$B$3:$B$100,0)),F483),F483)</f>
        <v>69.9</v>
      </c>
      <c r="F483" s="8">
        <v>69.9</v>
      </c>
      <c r="G483" s="3">
        <v>1</v>
      </c>
      <c r="H483" s="6">
        <f>IF('Settings'!$B$11="Scenario",ROUND(E483*G483*IFERROR(SUMIF('Pricing &amp; promotions'!$A$6:$A$8,L483,'Pricing &amp; promotions'!$B$6:$B$8)/100,0),2),J483)</f>
        <v>10.49</v>
      </c>
      <c r="I483" s="6">
        <f>ROUND((E483*G483-H483)/(1+'Settings'!$B$6/100),2)</f>
        <v>49.1</v>
      </c>
      <c r="J483" s="8">
        <v>10.49</v>
      </c>
      <c r="K483" s="3" t="inlineStr">
        <is>
          <t xml:space="preserve">TRUE</t>
        </is>
      </c>
      <c r="L483" s="3" t="inlineStr">
        <is>
          <t xml:space="preserve">SUMMER15</t>
        </is>
      </c>
    </row>
    <row r="484">
      <c r="A484" s="3" t="inlineStr">
        <is>
          <t xml:space="preserve">#1355</t>
        </is>
      </c>
      <c r="B484" s="3" t="inlineStr">
        <is>
          <t xml:space="preserve">2026-03-15</t>
        </is>
      </c>
      <c r="C484" s="3" t="inlineStr">
        <is>
          <t xml:space="preserve">SKU-E</t>
        </is>
      </c>
      <c r="D484" s="3" t="inlineStr">
        <is>
          <t xml:space="preserve">Complete Ritual</t>
        </is>
      </c>
      <c r="E484" s="6">
        <f>IF('Settings'!$B$11="Scenario",IFERROR(INDEX('Catalogue'!$E$3:$E$100,MATCH(C484,'Catalogue'!$B$3:$B$100,0)),F484),F484)</f>
        <v>89</v>
      </c>
      <c r="F484" s="8">
        <v>89</v>
      </c>
      <c r="G484" s="3">
        <v>1</v>
      </c>
      <c r="H484" s="6">
        <f>IF('Settings'!$B$11="Scenario",ROUND(E484*G484*IFERROR(SUMIF('Pricing &amp; promotions'!$A$6:$A$8,L484,'Pricing &amp; promotions'!$B$6:$B$8)/100,0),2),J484)</f>
        <v>0.0</v>
      </c>
      <c r="I484" s="6">
        <f>ROUND((E484*G484-H484)/(1+'Settings'!$B$6/100),2)</f>
        <v>73.55</v>
      </c>
      <c r="J484" s="8">
        <v>0.0</v>
      </c>
      <c r="K484" s="3" t="inlineStr">
        <is>
          <t xml:space="preserve">TRUE</t>
        </is>
      </c>
      <c r="L484" s="3"/>
    </row>
    <row r="485">
      <c r="A485" s="3" t="inlineStr">
        <is>
          <t xml:space="preserve">#1355</t>
        </is>
      </c>
      <c r="B485" s="3" t="inlineStr">
        <is>
          <t xml:space="preserve">2026-03-15</t>
        </is>
      </c>
      <c r="C485" s="3" t="inlineStr">
        <is>
          <t xml:space="preserve">SKU-A</t>
        </is>
      </c>
      <c r="D485" s="3" t="inlineStr">
        <is>
          <t xml:space="preserve">Renewal Serum</t>
        </is>
      </c>
      <c r="E485" s="6">
        <f>IF('Settings'!$B$11="Scenario",IFERROR(INDEX('Catalogue'!$E$3:$E$100,MATCH(C485,'Catalogue'!$B$3:$B$100,0)),F485),F485)</f>
        <v>69.9</v>
      </c>
      <c r="F485" s="8">
        <v>69.9</v>
      </c>
      <c r="G485" s="3">
        <v>1</v>
      </c>
      <c r="H485" s="6">
        <f>IF('Settings'!$B$11="Scenario",ROUND(E485*G485*IFERROR(SUMIF('Pricing &amp; promotions'!$A$6:$A$8,L485,'Pricing &amp; promotions'!$B$6:$B$8)/100,0),2),J485)</f>
        <v>0.0</v>
      </c>
      <c r="I485" s="6">
        <f>ROUND((E485*G485-H485)/(1+'Settings'!$B$6/100),2)</f>
        <v>57.77</v>
      </c>
      <c r="J485" s="8">
        <v>0.0</v>
      </c>
      <c r="K485" s="3" t="inlineStr">
        <is>
          <t xml:space="preserve">TRUE</t>
        </is>
      </c>
      <c r="L485" s="3"/>
    </row>
    <row r="486">
      <c r="A486" s="3" t="inlineStr">
        <is>
          <t xml:space="preserve">#1356</t>
        </is>
      </c>
      <c r="B486" s="3" t="inlineStr">
        <is>
          <t xml:space="preserve">2026-03-15</t>
        </is>
      </c>
      <c r="C486" s="3" t="inlineStr">
        <is>
          <t xml:space="preserve">SKU-D</t>
        </is>
      </c>
      <c r="D486" s="3" t="inlineStr">
        <is>
          <t xml:space="preserve">Daily Duo</t>
        </is>
      </c>
      <c r="E486" s="6">
        <f>IF('Settings'!$B$11="Scenario",IFERROR(INDEX('Catalogue'!$E$3:$E$100,MATCH(C486,'Catalogue'!$B$3:$B$100,0)),F486),F486)</f>
        <v>79</v>
      </c>
      <c r="F486" s="8">
        <v>79</v>
      </c>
      <c r="G486" s="3">
        <v>1</v>
      </c>
      <c r="H486" s="6">
        <f>IF('Settings'!$B$11="Scenario",ROUND(E486*G486*IFERROR(SUMIF('Pricing &amp; promotions'!$A$6:$A$8,L486,'Pricing &amp; promotions'!$B$6:$B$8)/100,0),2),J486)</f>
        <v>11.85</v>
      </c>
      <c r="I486" s="6">
        <f>ROUND((E486*G486-H486)/(1+'Settings'!$B$6/100),2)</f>
        <v>55.5</v>
      </c>
      <c r="J486" s="8">
        <v>11.85</v>
      </c>
      <c r="K486" s="3" t="inlineStr">
        <is>
          <t xml:space="preserve">TRUE</t>
        </is>
      </c>
      <c r="L486" s="3" t="inlineStr">
        <is>
          <t xml:space="preserve">SUMMER15</t>
        </is>
      </c>
    </row>
    <row r="487">
      <c r="A487" s="3" t="inlineStr">
        <is>
          <t xml:space="preserve">#1357</t>
        </is>
      </c>
      <c r="B487" s="3" t="inlineStr">
        <is>
          <t xml:space="preserve">2026-03-16</t>
        </is>
      </c>
      <c r="C487" s="3" t="inlineStr">
        <is>
          <t xml:space="preserve">SKU-A</t>
        </is>
      </c>
      <c r="D487" s="3" t="inlineStr">
        <is>
          <t xml:space="preserve">Renewal Serum</t>
        </is>
      </c>
      <c r="E487" s="6">
        <f>IF('Settings'!$B$11="Scenario",IFERROR(INDEX('Catalogue'!$E$3:$E$100,MATCH(C487,'Catalogue'!$B$3:$B$100,0)),F487),F487)</f>
        <v>69.9</v>
      </c>
      <c r="F487" s="8">
        <v>69.9</v>
      </c>
      <c r="G487" s="3">
        <v>1</v>
      </c>
      <c r="H487" s="6">
        <f>IF('Settings'!$B$11="Scenario",ROUND(E487*G487*IFERROR(SUMIF('Pricing &amp; promotions'!$A$6:$A$8,L487,'Pricing &amp; promotions'!$B$6:$B$8)/100,0),2),J487)</f>
        <v>0.0</v>
      </c>
      <c r="I487" s="6">
        <f>ROUND((E487*G487-H487)/(1+'Settings'!$B$6/100),2)</f>
        <v>57.77</v>
      </c>
      <c r="J487" s="8">
        <v>0.0</v>
      </c>
      <c r="K487" s="3" t="inlineStr">
        <is>
          <t xml:space="preserve">TRUE</t>
        </is>
      </c>
      <c r="L487" s="3"/>
    </row>
    <row r="488">
      <c r="A488" s="3" t="inlineStr">
        <is>
          <t xml:space="preserve">#1358</t>
        </is>
      </c>
      <c r="B488" s="3" t="inlineStr">
        <is>
          <t xml:space="preserve">2026-03-16</t>
        </is>
      </c>
      <c r="C488" s="3" t="inlineStr">
        <is>
          <t xml:space="preserve">SKU-A</t>
        </is>
      </c>
      <c r="D488" s="3" t="inlineStr">
        <is>
          <t xml:space="preserve">Renewal Serum</t>
        </is>
      </c>
      <c r="E488" s="6">
        <f>IF('Settings'!$B$11="Scenario",IFERROR(INDEX('Catalogue'!$E$3:$E$100,MATCH(C488,'Catalogue'!$B$3:$B$100,0)),F488),F488)</f>
        <v>69.9</v>
      </c>
      <c r="F488" s="8">
        <v>69.9</v>
      </c>
      <c r="G488" s="3">
        <v>2</v>
      </c>
      <c r="H488" s="6">
        <f>IF('Settings'!$B$11="Scenario",ROUND(E488*G488*IFERROR(SUMIF('Pricing &amp; promotions'!$A$6:$A$8,L488,'Pricing &amp; promotions'!$B$6:$B$8)/100,0),2),J488)</f>
        <v>0.0</v>
      </c>
      <c r="I488" s="6">
        <f>ROUND((E488*G488-H488)/(1+'Settings'!$B$6/100),2)</f>
        <v>115.54</v>
      </c>
      <c r="J488" s="8">
        <v>0.0</v>
      </c>
      <c r="K488" s="3" t="inlineStr">
        <is>
          <t xml:space="preserve">TRUE</t>
        </is>
      </c>
      <c r="L488" s="3"/>
    </row>
    <row r="489">
      <c r="A489" s="3" t="inlineStr">
        <is>
          <t xml:space="preserve">#1358</t>
        </is>
      </c>
      <c r="B489" s="3" t="inlineStr">
        <is>
          <t xml:space="preserve">2026-03-16</t>
        </is>
      </c>
      <c r="C489" s="3" t="inlineStr">
        <is>
          <t xml:space="preserve">SKU-D</t>
        </is>
      </c>
      <c r="D489" s="3" t="inlineStr">
        <is>
          <t xml:space="preserve">Daily Duo</t>
        </is>
      </c>
      <c r="E489" s="6">
        <f>IF('Settings'!$B$11="Scenario",IFERROR(INDEX('Catalogue'!$E$3:$E$100,MATCH(C489,'Catalogue'!$B$3:$B$100,0)),F489),F489)</f>
        <v>79</v>
      </c>
      <c r="F489" s="8">
        <v>79</v>
      </c>
      <c r="G489" s="3">
        <v>2</v>
      </c>
      <c r="H489" s="6">
        <f>IF('Settings'!$B$11="Scenario",ROUND(E489*G489*IFERROR(SUMIF('Pricing &amp; promotions'!$A$6:$A$8,L489,'Pricing &amp; promotions'!$B$6:$B$8)/100,0),2),J489)</f>
        <v>0.0</v>
      </c>
      <c r="I489" s="6">
        <f>ROUND((E489*G489-H489)/(1+'Settings'!$B$6/100),2)</f>
        <v>130.58</v>
      </c>
      <c r="J489" s="8">
        <v>0.0</v>
      </c>
      <c r="K489" s="3" t="inlineStr">
        <is>
          <t xml:space="preserve">TRUE</t>
        </is>
      </c>
      <c r="L489" s="3"/>
    </row>
    <row r="490">
      <c r="A490" s="3" t="inlineStr">
        <is>
          <t xml:space="preserve">#1359</t>
        </is>
      </c>
      <c r="B490" s="3" t="inlineStr">
        <is>
          <t xml:space="preserve">2026-03-17</t>
        </is>
      </c>
      <c r="C490" s="3" t="inlineStr">
        <is>
          <t xml:space="preserve">SKU-A</t>
        </is>
      </c>
      <c r="D490" s="3" t="inlineStr">
        <is>
          <t xml:space="preserve">Renewal Serum</t>
        </is>
      </c>
      <c r="E490" s="6">
        <f>IF('Settings'!$B$11="Scenario",IFERROR(INDEX('Catalogue'!$E$3:$E$100,MATCH(C490,'Catalogue'!$B$3:$B$100,0)),F490),F490)</f>
        <v>69.9</v>
      </c>
      <c r="F490" s="8">
        <v>69.9</v>
      </c>
      <c r="G490" s="3">
        <v>1</v>
      </c>
      <c r="H490" s="6">
        <f>IF('Settings'!$B$11="Scenario",ROUND(E490*G490*IFERROR(SUMIF('Pricing &amp; promotions'!$A$6:$A$8,L490,'Pricing &amp; promotions'!$B$6:$B$8)/100,0),2),J490)</f>
        <v>0.0</v>
      </c>
      <c r="I490" s="6">
        <f>ROUND((E490*G490-H490)/(1+'Settings'!$B$6/100),2)</f>
        <v>57.77</v>
      </c>
      <c r="J490" s="8">
        <v>0.0</v>
      </c>
      <c r="K490" s="3" t="inlineStr">
        <is>
          <t xml:space="preserve">TRUE</t>
        </is>
      </c>
      <c r="L490" s="3"/>
    </row>
    <row r="491">
      <c r="A491" s="3" t="inlineStr">
        <is>
          <t xml:space="preserve">#1359</t>
        </is>
      </c>
      <c r="B491" s="3" t="inlineStr">
        <is>
          <t xml:space="preserve">2026-03-17</t>
        </is>
      </c>
      <c r="C491" s="3" t="inlineStr">
        <is>
          <t xml:space="preserve">SKU-D</t>
        </is>
      </c>
      <c r="D491" s="3" t="inlineStr">
        <is>
          <t xml:space="preserve">Daily Duo</t>
        </is>
      </c>
      <c r="E491" s="6">
        <f>IF('Settings'!$B$11="Scenario",IFERROR(INDEX('Catalogue'!$E$3:$E$100,MATCH(C491,'Catalogue'!$B$3:$B$100,0)),F491),F491)</f>
        <v>79</v>
      </c>
      <c r="F491" s="8">
        <v>79</v>
      </c>
      <c r="G491" s="3">
        <v>1</v>
      </c>
      <c r="H491" s="6">
        <f>IF('Settings'!$B$11="Scenario",ROUND(E491*G491*IFERROR(SUMIF('Pricing &amp; promotions'!$A$6:$A$8,L491,'Pricing &amp; promotions'!$B$6:$B$8)/100,0),2),J491)</f>
        <v>0.0</v>
      </c>
      <c r="I491" s="6">
        <f>ROUND((E491*G491-H491)/(1+'Settings'!$B$6/100),2)</f>
        <v>65.29</v>
      </c>
      <c r="J491" s="8">
        <v>0.0</v>
      </c>
      <c r="K491" s="3" t="inlineStr">
        <is>
          <t xml:space="preserve">TRUE</t>
        </is>
      </c>
      <c r="L491" s="3"/>
    </row>
    <row r="492">
      <c r="A492" s="3" t="inlineStr">
        <is>
          <t xml:space="preserve">#1359</t>
        </is>
      </c>
      <c r="B492" s="3" t="inlineStr">
        <is>
          <t xml:space="preserve">2026-03-17</t>
        </is>
      </c>
      <c r="C492" s="3" t="inlineStr">
        <is>
          <t xml:space="preserve">SKU-E</t>
        </is>
      </c>
      <c r="D492" s="3" t="inlineStr">
        <is>
          <t xml:space="preserve">Complete Ritual</t>
        </is>
      </c>
      <c r="E492" s="6">
        <f>IF('Settings'!$B$11="Scenario",IFERROR(INDEX('Catalogue'!$E$3:$E$100,MATCH(C492,'Catalogue'!$B$3:$B$100,0)),F492),F492)</f>
        <v>89</v>
      </c>
      <c r="F492" s="8">
        <v>89</v>
      </c>
      <c r="G492" s="3">
        <v>2</v>
      </c>
      <c r="H492" s="6">
        <f>IF('Settings'!$B$11="Scenario",ROUND(E492*G492*IFERROR(SUMIF('Pricing &amp; promotions'!$A$6:$A$8,L492,'Pricing &amp; promotions'!$B$6:$B$8)/100,0),2),J492)</f>
        <v>0.0</v>
      </c>
      <c r="I492" s="6">
        <f>ROUND((E492*G492-H492)/(1+'Settings'!$B$6/100),2)</f>
        <v>147.11</v>
      </c>
      <c r="J492" s="8">
        <v>0.0</v>
      </c>
      <c r="K492" s="3" t="inlineStr">
        <is>
          <t xml:space="preserve">TRUE</t>
        </is>
      </c>
      <c r="L492" s="3"/>
    </row>
    <row r="493">
      <c r="A493" s="3" t="inlineStr">
        <is>
          <t xml:space="preserve">#1360</t>
        </is>
      </c>
      <c r="B493" s="3" t="inlineStr">
        <is>
          <t xml:space="preserve">2026-03-17</t>
        </is>
      </c>
      <c r="C493" s="3" t="inlineStr">
        <is>
          <t xml:space="preserve">SKU-D</t>
        </is>
      </c>
      <c r="D493" s="3" t="inlineStr">
        <is>
          <t xml:space="preserve">Daily Duo</t>
        </is>
      </c>
      <c r="E493" s="6">
        <f>IF('Settings'!$B$11="Scenario",IFERROR(INDEX('Catalogue'!$E$3:$E$100,MATCH(C493,'Catalogue'!$B$3:$B$100,0)),F493),F493)</f>
        <v>79</v>
      </c>
      <c r="F493" s="8">
        <v>79</v>
      </c>
      <c r="G493" s="3">
        <v>1</v>
      </c>
      <c r="H493" s="6">
        <f>IF('Settings'!$B$11="Scenario",ROUND(E493*G493*IFERROR(SUMIF('Pricing &amp; promotions'!$A$6:$A$8,L493,'Pricing &amp; promotions'!$B$6:$B$8)/100,0),2),J493)</f>
        <v>0.0</v>
      </c>
      <c r="I493" s="6">
        <f>ROUND((E493*G493-H493)/(1+'Settings'!$B$6/100),2)</f>
        <v>65.29</v>
      </c>
      <c r="J493" s="8">
        <v>0.0</v>
      </c>
      <c r="K493" s="3" t="inlineStr">
        <is>
          <t xml:space="preserve">TRUE</t>
        </is>
      </c>
      <c r="L493" s="3"/>
    </row>
    <row r="494">
      <c r="A494" s="3" t="inlineStr">
        <is>
          <t xml:space="preserve">#1361</t>
        </is>
      </c>
      <c r="B494" s="3" t="inlineStr">
        <is>
          <t xml:space="preserve">2026-03-17</t>
        </is>
      </c>
      <c r="C494" s="3" t="inlineStr">
        <is>
          <t xml:space="preserve">SKU-B</t>
        </is>
      </c>
      <c r="D494" s="3" t="inlineStr">
        <is>
          <t xml:space="preserve">Barrier Balm</t>
        </is>
      </c>
      <c r="E494" s="6">
        <f>IF('Settings'!$B$11="Scenario",IFERROR(INDEX('Catalogue'!$E$3:$E$100,MATCH(C494,'Catalogue'!$B$3:$B$100,0)),F494),F494)</f>
        <v>19</v>
      </c>
      <c r="F494" s="8">
        <v>19</v>
      </c>
      <c r="G494" s="3">
        <v>1</v>
      </c>
      <c r="H494" s="6">
        <f>IF('Settings'!$B$11="Scenario",ROUND(E494*G494*IFERROR(SUMIF('Pricing &amp; promotions'!$A$6:$A$8,L494,'Pricing &amp; promotions'!$B$6:$B$8)/100,0),2),J494)</f>
        <v>0.0</v>
      </c>
      <c r="I494" s="6">
        <f>ROUND((E494*G494-H494)/(1+'Settings'!$B$6/100),2)</f>
        <v>15.7</v>
      </c>
      <c r="J494" s="8">
        <v>0.0</v>
      </c>
      <c r="K494" s="3" t="inlineStr">
        <is>
          <t xml:space="preserve">TRUE</t>
        </is>
      </c>
      <c r="L494" s="3"/>
    </row>
    <row r="495">
      <c r="A495" s="3" t="inlineStr">
        <is>
          <t xml:space="preserve">#1362</t>
        </is>
      </c>
      <c r="B495" s="3" t="inlineStr">
        <is>
          <t xml:space="preserve">2026-03-17</t>
        </is>
      </c>
      <c r="C495" s="3" t="inlineStr">
        <is>
          <t xml:space="preserve">SKU-B</t>
        </is>
      </c>
      <c r="D495" s="3" t="inlineStr">
        <is>
          <t xml:space="preserve">Barrier Balm</t>
        </is>
      </c>
      <c r="E495" s="6">
        <f>IF('Settings'!$B$11="Scenario",IFERROR(INDEX('Catalogue'!$E$3:$E$100,MATCH(C495,'Catalogue'!$B$3:$B$100,0)),F495),F495)</f>
        <v>19</v>
      </c>
      <c r="F495" s="8">
        <v>19</v>
      </c>
      <c r="G495" s="3">
        <v>1</v>
      </c>
      <c r="H495" s="6">
        <f>IF('Settings'!$B$11="Scenario",ROUND(E495*G495*IFERROR(SUMIF('Pricing &amp; promotions'!$A$6:$A$8,L495,'Pricing &amp; promotions'!$B$6:$B$8)/100,0),2),J495)</f>
        <v>0.0</v>
      </c>
      <c r="I495" s="6">
        <f>ROUND((E495*G495-H495)/(1+'Settings'!$B$6/100),2)</f>
        <v>15.7</v>
      </c>
      <c r="J495" s="8">
        <v>0.0</v>
      </c>
      <c r="K495" s="3" t="inlineStr">
        <is>
          <t xml:space="preserve">TRUE</t>
        </is>
      </c>
      <c r="L495" s="3"/>
    </row>
    <row r="496">
      <c r="A496" s="3" t="inlineStr">
        <is>
          <t xml:space="preserve">#1363</t>
        </is>
      </c>
      <c r="B496" s="3" t="inlineStr">
        <is>
          <t xml:space="preserve">2026-03-17</t>
        </is>
      </c>
      <c r="C496" s="3" t="inlineStr">
        <is>
          <t xml:space="preserve">SKU-G</t>
        </is>
      </c>
      <c r="D496" s="3" t="inlineStr">
        <is>
          <t xml:space="preserve">Daily Reset Set</t>
        </is>
      </c>
      <c r="E496" s="6">
        <f>IF('Settings'!$B$11="Scenario",IFERROR(INDEX('Catalogue'!$E$3:$E$100,MATCH(C496,'Catalogue'!$B$3:$B$100,0)),F496),F496)</f>
        <v>69</v>
      </c>
      <c r="F496" s="8">
        <v>69</v>
      </c>
      <c r="G496" s="3">
        <v>1</v>
      </c>
      <c r="H496" s="6">
        <f>IF('Settings'!$B$11="Scenario",ROUND(E496*G496*IFERROR(SUMIF('Pricing &amp; promotions'!$A$6:$A$8,L496,'Pricing &amp; promotions'!$B$6:$B$8)/100,0),2),J496)</f>
        <v>0.0</v>
      </c>
      <c r="I496" s="6">
        <f>ROUND((E496*G496-H496)/(1+'Settings'!$B$6/100),2)</f>
        <v>57.02</v>
      </c>
      <c r="J496" s="8">
        <v>0.0</v>
      </c>
      <c r="K496" s="3" t="inlineStr">
        <is>
          <t xml:space="preserve">TRUE</t>
        </is>
      </c>
      <c r="L496" s="3"/>
    </row>
    <row r="497">
      <c r="A497" s="3" t="inlineStr">
        <is>
          <t xml:space="preserve">#1364</t>
        </is>
      </c>
      <c r="B497" s="3" t="inlineStr">
        <is>
          <t xml:space="preserve">2026-03-18</t>
        </is>
      </c>
      <c r="C497" s="3" t="inlineStr">
        <is>
          <t xml:space="preserve">SKU-G</t>
        </is>
      </c>
      <c r="D497" s="3" t="inlineStr">
        <is>
          <t xml:space="preserve">Daily Reset Set</t>
        </is>
      </c>
      <c r="E497" s="6">
        <f>IF('Settings'!$B$11="Scenario",IFERROR(INDEX('Catalogue'!$E$3:$E$100,MATCH(C497,'Catalogue'!$B$3:$B$100,0)),F497),F497)</f>
        <v>69</v>
      </c>
      <c r="F497" s="8">
        <v>69</v>
      </c>
      <c r="G497" s="3">
        <v>1</v>
      </c>
      <c r="H497" s="6">
        <f>IF('Settings'!$B$11="Scenario",ROUND(E497*G497*IFERROR(SUMIF('Pricing &amp; promotions'!$A$6:$A$8,L497,'Pricing &amp; promotions'!$B$6:$B$8)/100,0),2),J497)</f>
        <v>0.0</v>
      </c>
      <c r="I497" s="6">
        <f>ROUND((E497*G497-H497)/(1+'Settings'!$B$6/100),2)</f>
        <v>57.02</v>
      </c>
      <c r="J497" s="8">
        <v>0.0</v>
      </c>
      <c r="K497" s="3" t="inlineStr">
        <is>
          <t xml:space="preserve">TRUE</t>
        </is>
      </c>
      <c r="L497" s="3"/>
    </row>
    <row r="498">
      <c r="A498" s="3" t="inlineStr">
        <is>
          <t xml:space="preserve">#1365</t>
        </is>
      </c>
      <c r="B498" s="3" t="inlineStr">
        <is>
          <t xml:space="preserve">2026-03-19</t>
        </is>
      </c>
      <c r="C498" s="3" t="inlineStr">
        <is>
          <t xml:space="preserve">SKU-A</t>
        </is>
      </c>
      <c r="D498" s="3" t="inlineStr">
        <is>
          <t xml:space="preserve">Renewal Serum</t>
        </is>
      </c>
      <c r="E498" s="6">
        <f>IF('Settings'!$B$11="Scenario",IFERROR(INDEX('Catalogue'!$E$3:$E$100,MATCH(C498,'Catalogue'!$B$3:$B$100,0)),F498),F498)</f>
        <v>69.9</v>
      </c>
      <c r="F498" s="8">
        <v>69.9</v>
      </c>
      <c r="G498" s="3">
        <v>1</v>
      </c>
      <c r="H498" s="6">
        <f>IF('Settings'!$B$11="Scenario",ROUND(E498*G498*IFERROR(SUMIF('Pricing &amp; promotions'!$A$6:$A$8,L498,'Pricing &amp; promotions'!$B$6:$B$8)/100,0),2),J498)</f>
        <v>0.0</v>
      </c>
      <c r="I498" s="6">
        <f>ROUND((E498*G498-H498)/(1+'Settings'!$B$6/100),2)</f>
        <v>57.77</v>
      </c>
      <c r="J498" s="8">
        <v>0.0</v>
      </c>
      <c r="K498" s="3" t="inlineStr">
        <is>
          <t xml:space="preserve">TRUE</t>
        </is>
      </c>
      <c r="L498" s="3"/>
    </row>
    <row r="499">
      <c r="A499" s="3" t="inlineStr">
        <is>
          <t xml:space="preserve">#1366</t>
        </is>
      </c>
      <c r="B499" s="3" t="inlineStr">
        <is>
          <t xml:space="preserve">2026-03-20</t>
        </is>
      </c>
      <c r="C499" s="3" t="inlineStr">
        <is>
          <t xml:space="preserve">SKU-E</t>
        </is>
      </c>
      <c r="D499" s="3" t="inlineStr">
        <is>
          <t xml:space="preserve">Complete Ritual</t>
        </is>
      </c>
      <c r="E499" s="6">
        <f>IF('Settings'!$B$11="Scenario",IFERROR(INDEX('Catalogue'!$E$3:$E$100,MATCH(C499,'Catalogue'!$B$3:$B$100,0)),F499),F499)</f>
        <v>89</v>
      </c>
      <c r="F499" s="8">
        <v>89</v>
      </c>
      <c r="G499" s="3">
        <v>1</v>
      </c>
      <c r="H499" s="6">
        <f>IF('Settings'!$B$11="Scenario",ROUND(E499*G499*IFERROR(SUMIF('Pricing &amp; promotions'!$A$6:$A$8,L499,'Pricing &amp; promotions'!$B$6:$B$8)/100,0),2),J499)</f>
        <v>13.35</v>
      </c>
      <c r="I499" s="6">
        <f>ROUND((E499*G499-H499)/(1+'Settings'!$B$6/100),2)</f>
        <v>62.52</v>
      </c>
      <c r="J499" s="8">
        <v>13.35</v>
      </c>
      <c r="K499" s="3" t="inlineStr">
        <is>
          <t xml:space="preserve">TRUE</t>
        </is>
      </c>
      <c r="L499" s="3" t="inlineStr">
        <is>
          <t xml:space="preserve">SUMMER15</t>
        </is>
      </c>
    </row>
    <row r="500">
      <c r="A500" s="3" t="inlineStr">
        <is>
          <t xml:space="preserve">#1367</t>
        </is>
      </c>
      <c r="B500" s="3" t="inlineStr">
        <is>
          <t xml:space="preserve">2026-03-20</t>
        </is>
      </c>
      <c r="C500" s="3" t="inlineStr">
        <is>
          <t xml:space="preserve">SKU-B</t>
        </is>
      </c>
      <c r="D500" s="3" t="inlineStr">
        <is>
          <t xml:space="preserve">Barrier Balm</t>
        </is>
      </c>
      <c r="E500" s="6">
        <f>IF('Settings'!$B$11="Scenario",IFERROR(INDEX('Catalogue'!$E$3:$E$100,MATCH(C500,'Catalogue'!$B$3:$B$100,0)),F500),F500)</f>
        <v>19</v>
      </c>
      <c r="F500" s="8">
        <v>19</v>
      </c>
      <c r="G500" s="3">
        <v>1</v>
      </c>
      <c r="H500" s="6">
        <f>IF('Settings'!$B$11="Scenario",ROUND(E500*G500*IFERROR(SUMIF('Pricing &amp; promotions'!$A$6:$A$8,L500,'Pricing &amp; promotions'!$B$6:$B$8)/100,0),2),J500)</f>
        <v>1.9</v>
      </c>
      <c r="I500" s="6">
        <f>ROUND((E500*G500-H500)/(1+'Settings'!$B$6/100),2)</f>
        <v>14.13</v>
      </c>
      <c r="J500" s="8">
        <v>1.9</v>
      </c>
      <c r="K500" s="3" t="inlineStr">
        <is>
          <t xml:space="preserve">TRUE</t>
        </is>
      </c>
      <c r="L500" s="3" t="inlineStr">
        <is>
          <t xml:space="preserve">WELCOME10</t>
        </is>
      </c>
    </row>
    <row r="501">
      <c r="A501" s="3" t="inlineStr">
        <is>
          <t xml:space="preserve">#1368</t>
        </is>
      </c>
      <c r="B501" s="3" t="inlineStr">
        <is>
          <t xml:space="preserve">2026-03-20</t>
        </is>
      </c>
      <c r="C501" s="3" t="inlineStr">
        <is>
          <t xml:space="preserve">SKU-G</t>
        </is>
      </c>
      <c r="D501" s="3" t="inlineStr">
        <is>
          <t xml:space="preserve">Daily Reset Set</t>
        </is>
      </c>
      <c r="E501" s="6">
        <f>IF('Settings'!$B$11="Scenario",IFERROR(INDEX('Catalogue'!$E$3:$E$100,MATCH(C501,'Catalogue'!$B$3:$B$100,0)),F501),F501)</f>
        <v>69</v>
      </c>
      <c r="F501" s="8">
        <v>69</v>
      </c>
      <c r="G501" s="3">
        <v>1</v>
      </c>
      <c r="H501" s="6">
        <f>IF('Settings'!$B$11="Scenario",ROUND(E501*G501*IFERROR(SUMIF('Pricing &amp; promotions'!$A$6:$A$8,L501,'Pricing &amp; promotions'!$B$6:$B$8)/100,0),2),J501)</f>
        <v>6.9</v>
      </c>
      <c r="I501" s="6">
        <f>ROUND((E501*G501-H501)/(1+'Settings'!$B$6/100),2)</f>
        <v>51.32</v>
      </c>
      <c r="J501" s="8">
        <v>6.9</v>
      </c>
      <c r="K501" s="3" t="inlineStr">
        <is>
          <t xml:space="preserve">TRUE</t>
        </is>
      </c>
      <c r="L501" s="3" t="inlineStr">
        <is>
          <t xml:space="preserve">WELCOME10</t>
        </is>
      </c>
    </row>
    <row r="502">
      <c r="A502" s="3" t="inlineStr">
        <is>
          <t xml:space="preserve">#1369</t>
        </is>
      </c>
      <c r="B502" s="3" t="inlineStr">
        <is>
          <t xml:space="preserve">2026-03-21</t>
        </is>
      </c>
      <c r="C502" s="3" t="inlineStr">
        <is>
          <t xml:space="preserve">SKU-B</t>
        </is>
      </c>
      <c r="D502" s="3" t="inlineStr">
        <is>
          <t xml:space="preserve">Barrier Balm</t>
        </is>
      </c>
      <c r="E502" s="6">
        <f>IF('Settings'!$B$11="Scenario",IFERROR(INDEX('Catalogue'!$E$3:$E$100,MATCH(C502,'Catalogue'!$B$3:$B$100,0)),F502),F502)</f>
        <v>19</v>
      </c>
      <c r="F502" s="8">
        <v>19</v>
      </c>
      <c r="G502" s="3">
        <v>1</v>
      </c>
      <c r="H502" s="6">
        <f>IF('Settings'!$B$11="Scenario",ROUND(E502*G502*IFERROR(SUMIF('Pricing &amp; promotions'!$A$6:$A$8,L502,'Pricing &amp; promotions'!$B$6:$B$8)/100,0),2),J502)</f>
        <v>1.9</v>
      </c>
      <c r="I502" s="6">
        <f>ROUND((E502*G502-H502)/(1+'Settings'!$B$6/100),2)</f>
        <v>14.13</v>
      </c>
      <c r="J502" s="8">
        <v>1.9</v>
      </c>
      <c r="K502" s="3" t="inlineStr">
        <is>
          <t xml:space="preserve">TRUE</t>
        </is>
      </c>
      <c r="L502" s="3" t="inlineStr">
        <is>
          <t xml:space="preserve">WELCOME10</t>
        </is>
      </c>
    </row>
    <row r="503">
      <c r="A503" s="3" t="inlineStr">
        <is>
          <t xml:space="preserve">#1370</t>
        </is>
      </c>
      <c r="B503" s="3" t="inlineStr">
        <is>
          <t xml:space="preserve">2026-03-21</t>
        </is>
      </c>
      <c r="C503" s="3" t="inlineStr">
        <is>
          <t xml:space="preserve">SKU-G</t>
        </is>
      </c>
      <c r="D503" s="3" t="inlineStr">
        <is>
          <t xml:space="preserve">Daily Reset Set</t>
        </is>
      </c>
      <c r="E503" s="6">
        <f>IF('Settings'!$B$11="Scenario",IFERROR(INDEX('Catalogue'!$E$3:$E$100,MATCH(C503,'Catalogue'!$B$3:$B$100,0)),F503),F503)</f>
        <v>69</v>
      </c>
      <c r="F503" s="8">
        <v>69</v>
      </c>
      <c r="G503" s="3">
        <v>1</v>
      </c>
      <c r="H503" s="6">
        <f>IF('Settings'!$B$11="Scenario",ROUND(E503*G503*IFERROR(SUMIF('Pricing &amp; promotions'!$A$6:$A$8,L503,'Pricing &amp; promotions'!$B$6:$B$8)/100,0),2),J503)</f>
        <v>0.0</v>
      </c>
      <c r="I503" s="6">
        <f>ROUND((E503*G503-H503)/(1+'Settings'!$B$6/100),2)</f>
        <v>57.02</v>
      </c>
      <c r="J503" s="8">
        <v>0.0</v>
      </c>
      <c r="K503" s="3" t="inlineStr">
        <is>
          <t xml:space="preserve">TRUE</t>
        </is>
      </c>
      <c r="L503" s="3"/>
    </row>
    <row r="504">
      <c r="A504" s="3" t="inlineStr">
        <is>
          <t xml:space="preserve">#1371</t>
        </is>
      </c>
      <c r="B504" s="3" t="inlineStr">
        <is>
          <t xml:space="preserve">2026-03-22</t>
        </is>
      </c>
      <c r="C504" s="3" t="inlineStr">
        <is>
          <t xml:space="preserve">SKU-A</t>
        </is>
      </c>
      <c r="D504" s="3" t="inlineStr">
        <is>
          <t xml:space="preserve">Renewal Serum</t>
        </is>
      </c>
      <c r="E504" s="6">
        <f>IF('Settings'!$B$11="Scenario",IFERROR(INDEX('Catalogue'!$E$3:$E$100,MATCH(C504,'Catalogue'!$B$3:$B$100,0)),F504),F504)</f>
        <v>69.9</v>
      </c>
      <c r="F504" s="8">
        <v>69.9</v>
      </c>
      <c r="G504" s="3">
        <v>1</v>
      </c>
      <c r="H504" s="6">
        <f>IF('Settings'!$B$11="Scenario",ROUND(E504*G504*IFERROR(SUMIF('Pricing &amp; promotions'!$A$6:$A$8,L504,'Pricing &amp; promotions'!$B$6:$B$8)/100,0),2),J504)</f>
        <v>0.0</v>
      </c>
      <c r="I504" s="6">
        <f>ROUND((E504*G504-H504)/(1+'Settings'!$B$6/100),2)</f>
        <v>57.77</v>
      </c>
      <c r="J504" s="8">
        <v>0.0</v>
      </c>
      <c r="K504" s="3" t="inlineStr">
        <is>
          <t xml:space="preserve">TRUE</t>
        </is>
      </c>
      <c r="L504" s="3"/>
    </row>
    <row r="505">
      <c r="A505" s="3" t="inlineStr">
        <is>
          <t xml:space="preserve">#1372</t>
        </is>
      </c>
      <c r="B505" s="3" t="inlineStr">
        <is>
          <t xml:space="preserve">2026-03-22</t>
        </is>
      </c>
      <c r="C505" s="3" t="inlineStr">
        <is>
          <t xml:space="preserve">SKU-D</t>
        </is>
      </c>
      <c r="D505" s="3" t="inlineStr">
        <is>
          <t xml:space="preserve">Daily Duo</t>
        </is>
      </c>
      <c r="E505" s="6">
        <f>IF('Settings'!$B$11="Scenario",IFERROR(INDEX('Catalogue'!$E$3:$E$100,MATCH(C505,'Catalogue'!$B$3:$B$100,0)),F505),F505)</f>
        <v>79</v>
      </c>
      <c r="F505" s="8">
        <v>79</v>
      </c>
      <c r="G505" s="3">
        <v>1</v>
      </c>
      <c r="H505" s="6">
        <f>IF('Settings'!$B$11="Scenario",ROUND(E505*G505*IFERROR(SUMIF('Pricing &amp; promotions'!$A$6:$A$8,L505,'Pricing &amp; promotions'!$B$6:$B$8)/100,0),2),J505)</f>
        <v>0.0</v>
      </c>
      <c r="I505" s="6">
        <f>ROUND((E505*G505-H505)/(1+'Settings'!$B$6/100),2)</f>
        <v>65.29</v>
      </c>
      <c r="J505" s="8">
        <v>0.0</v>
      </c>
      <c r="K505" s="3" t="inlineStr">
        <is>
          <t xml:space="preserve">TRUE</t>
        </is>
      </c>
      <c r="L505" s="3"/>
    </row>
    <row r="506">
      <c r="A506" s="3" t="inlineStr">
        <is>
          <t xml:space="preserve">#1373</t>
        </is>
      </c>
      <c r="B506" s="3" t="inlineStr">
        <is>
          <t xml:space="preserve">2026-03-22</t>
        </is>
      </c>
      <c r="C506" s="3" t="inlineStr">
        <is>
          <t xml:space="preserve">SKU-C</t>
        </is>
      </c>
      <c r="D506" s="3" t="inlineStr">
        <is>
          <t xml:space="preserve">Contour Stone</t>
        </is>
      </c>
      <c r="E506" s="6">
        <f>IF('Settings'!$B$11="Scenario",IFERROR(INDEX('Catalogue'!$E$3:$E$100,MATCH(C506,'Catalogue'!$B$3:$B$100,0)),F506),F506)</f>
        <v>29</v>
      </c>
      <c r="F506" s="8">
        <v>29</v>
      </c>
      <c r="G506" s="3">
        <v>1</v>
      </c>
      <c r="H506" s="6">
        <f>IF('Settings'!$B$11="Scenario",ROUND(E506*G506*IFERROR(SUMIF('Pricing &amp; promotions'!$A$6:$A$8,L506,'Pricing &amp; promotions'!$B$6:$B$8)/100,0),2),J506)</f>
        <v>0.0</v>
      </c>
      <c r="I506" s="6">
        <f>ROUND((E506*G506-H506)/(1+'Settings'!$B$6/100),2)</f>
        <v>23.97</v>
      </c>
      <c r="J506" s="8">
        <v>0.0</v>
      </c>
      <c r="K506" s="3" t="inlineStr">
        <is>
          <t xml:space="preserve">TRUE</t>
        </is>
      </c>
      <c r="L506" s="3"/>
    </row>
    <row r="507">
      <c r="A507" s="3" t="inlineStr">
        <is>
          <t xml:space="preserve">#1374</t>
        </is>
      </c>
      <c r="B507" s="3" t="inlineStr">
        <is>
          <t xml:space="preserve">2026-03-23</t>
        </is>
      </c>
      <c r="C507" s="3" t="inlineStr">
        <is>
          <t xml:space="preserve">SKU-G</t>
        </is>
      </c>
      <c r="D507" s="3" t="inlineStr">
        <is>
          <t xml:space="preserve">Daily Reset Set</t>
        </is>
      </c>
      <c r="E507" s="6">
        <f>IF('Settings'!$B$11="Scenario",IFERROR(INDEX('Catalogue'!$E$3:$E$100,MATCH(C507,'Catalogue'!$B$3:$B$100,0)),F507),F507)</f>
        <v>69</v>
      </c>
      <c r="F507" s="8">
        <v>69</v>
      </c>
      <c r="G507" s="3">
        <v>1</v>
      </c>
      <c r="H507" s="6">
        <f>IF('Settings'!$B$11="Scenario",ROUND(E507*G507*IFERROR(SUMIF('Pricing &amp; promotions'!$A$6:$A$8,L507,'Pricing &amp; promotions'!$B$6:$B$8)/100,0),2),J507)</f>
        <v>10.35</v>
      </c>
      <c r="I507" s="6">
        <f>ROUND((E507*G507-H507)/(1+'Settings'!$B$6/100),2)</f>
        <v>48.47</v>
      </c>
      <c r="J507" s="8">
        <v>10.35</v>
      </c>
      <c r="K507" s="3" t="inlineStr">
        <is>
          <t xml:space="preserve">TRUE</t>
        </is>
      </c>
      <c r="L507" s="3" t="inlineStr">
        <is>
          <t xml:space="preserve">SUMMER15</t>
        </is>
      </c>
    </row>
    <row r="508">
      <c r="A508" s="3" t="inlineStr">
        <is>
          <t xml:space="preserve">#1374</t>
        </is>
      </c>
      <c r="B508" s="3" t="inlineStr">
        <is>
          <t xml:space="preserve">2026-03-23</t>
        </is>
      </c>
      <c r="C508" s="3" t="inlineStr">
        <is>
          <t xml:space="preserve">SKU-D</t>
        </is>
      </c>
      <c r="D508" s="3" t="inlineStr">
        <is>
          <t xml:space="preserve">Daily Duo</t>
        </is>
      </c>
      <c r="E508" s="6">
        <f>IF('Settings'!$B$11="Scenario",IFERROR(INDEX('Catalogue'!$E$3:$E$100,MATCH(C508,'Catalogue'!$B$3:$B$100,0)),F508),F508)</f>
        <v>79</v>
      </c>
      <c r="F508" s="8">
        <v>79</v>
      </c>
      <c r="G508" s="3">
        <v>1</v>
      </c>
      <c r="H508" s="6">
        <f>IF('Settings'!$B$11="Scenario",ROUND(E508*G508*IFERROR(SUMIF('Pricing &amp; promotions'!$A$6:$A$8,L508,'Pricing &amp; promotions'!$B$6:$B$8)/100,0),2),J508)</f>
        <v>11.85</v>
      </c>
      <c r="I508" s="6">
        <f>ROUND((E508*G508-H508)/(1+'Settings'!$B$6/100),2)</f>
        <v>55.5</v>
      </c>
      <c r="J508" s="8">
        <v>11.85</v>
      </c>
      <c r="K508" s="3" t="inlineStr">
        <is>
          <t xml:space="preserve">TRUE</t>
        </is>
      </c>
      <c r="L508" s="3" t="inlineStr">
        <is>
          <t xml:space="preserve">SUMMER15</t>
        </is>
      </c>
    </row>
    <row r="509">
      <c r="A509" s="3" t="inlineStr">
        <is>
          <t xml:space="preserve">#1375</t>
        </is>
      </c>
      <c r="B509" s="3" t="inlineStr">
        <is>
          <t xml:space="preserve">2026-03-23</t>
        </is>
      </c>
      <c r="C509" s="3" t="inlineStr">
        <is>
          <t xml:space="preserve">SKU-D</t>
        </is>
      </c>
      <c r="D509" s="3" t="inlineStr">
        <is>
          <t xml:space="preserve">Daily Duo</t>
        </is>
      </c>
      <c r="E509" s="6">
        <f>IF('Settings'!$B$11="Scenario",IFERROR(INDEX('Catalogue'!$E$3:$E$100,MATCH(C509,'Catalogue'!$B$3:$B$100,0)),F509),F509)</f>
        <v>79</v>
      </c>
      <c r="F509" s="8">
        <v>79</v>
      </c>
      <c r="G509" s="3">
        <v>1</v>
      </c>
      <c r="H509" s="6">
        <f>IF('Settings'!$B$11="Scenario",ROUND(E509*G509*IFERROR(SUMIF('Pricing &amp; promotions'!$A$6:$A$8,L509,'Pricing &amp; promotions'!$B$6:$B$8)/100,0),2),J509)</f>
        <v>0.0</v>
      </c>
      <c r="I509" s="6">
        <f>ROUND((E509*G509-H509)/(1+'Settings'!$B$6/100),2)</f>
        <v>65.29</v>
      </c>
      <c r="J509" s="8">
        <v>0.0</v>
      </c>
      <c r="K509" s="3" t="inlineStr">
        <is>
          <t xml:space="preserve">TRUE</t>
        </is>
      </c>
      <c r="L509" s="3"/>
    </row>
    <row r="510">
      <c r="A510" s="3" t="inlineStr">
        <is>
          <t xml:space="preserve">#1375</t>
        </is>
      </c>
      <c r="B510" s="3" t="inlineStr">
        <is>
          <t xml:space="preserve">2026-03-23</t>
        </is>
      </c>
      <c r="C510" s="3" t="inlineStr">
        <is>
          <t xml:space="preserve">SKU-A</t>
        </is>
      </c>
      <c r="D510" s="3" t="inlineStr">
        <is>
          <t xml:space="preserve">Renewal Serum</t>
        </is>
      </c>
      <c r="E510" s="6">
        <f>IF('Settings'!$B$11="Scenario",IFERROR(INDEX('Catalogue'!$E$3:$E$100,MATCH(C510,'Catalogue'!$B$3:$B$100,0)),F510),F510)</f>
        <v>69.9</v>
      </c>
      <c r="F510" s="8">
        <v>69.9</v>
      </c>
      <c r="G510" s="3">
        <v>1</v>
      </c>
      <c r="H510" s="6">
        <f>IF('Settings'!$B$11="Scenario",ROUND(E510*G510*IFERROR(SUMIF('Pricing &amp; promotions'!$A$6:$A$8,L510,'Pricing &amp; promotions'!$B$6:$B$8)/100,0),2),J510)</f>
        <v>0.0</v>
      </c>
      <c r="I510" s="6">
        <f>ROUND((E510*G510-H510)/(1+'Settings'!$B$6/100),2)</f>
        <v>57.77</v>
      </c>
      <c r="J510" s="8">
        <v>0.0</v>
      </c>
      <c r="K510" s="3" t="inlineStr">
        <is>
          <t xml:space="preserve">TRUE</t>
        </is>
      </c>
      <c r="L510" s="3"/>
    </row>
    <row r="511">
      <c r="A511" s="3" t="inlineStr">
        <is>
          <t xml:space="preserve">#1376</t>
        </is>
      </c>
      <c r="B511" s="3" t="inlineStr">
        <is>
          <t xml:space="preserve">2026-03-23</t>
        </is>
      </c>
      <c r="C511" s="3" t="inlineStr">
        <is>
          <t xml:space="preserve">SKU-C</t>
        </is>
      </c>
      <c r="D511" s="3" t="inlineStr">
        <is>
          <t xml:space="preserve">Contour Stone</t>
        </is>
      </c>
      <c r="E511" s="6">
        <f>IF('Settings'!$B$11="Scenario",IFERROR(INDEX('Catalogue'!$E$3:$E$100,MATCH(C511,'Catalogue'!$B$3:$B$100,0)),F511),F511)</f>
        <v>29</v>
      </c>
      <c r="F511" s="8">
        <v>29</v>
      </c>
      <c r="G511" s="3">
        <v>2</v>
      </c>
      <c r="H511" s="6">
        <f>IF('Settings'!$B$11="Scenario",ROUND(E511*G511*IFERROR(SUMIF('Pricing &amp; promotions'!$A$6:$A$8,L511,'Pricing &amp; promotions'!$B$6:$B$8)/100,0),2),J511)</f>
        <v>0.0</v>
      </c>
      <c r="I511" s="6">
        <f>ROUND((E511*G511-H511)/(1+'Settings'!$B$6/100),2)</f>
        <v>47.93</v>
      </c>
      <c r="J511" s="8">
        <v>0.0</v>
      </c>
      <c r="K511" s="3" t="inlineStr">
        <is>
          <t xml:space="preserve">TRUE</t>
        </is>
      </c>
      <c r="L511" s="3"/>
    </row>
    <row r="512">
      <c r="A512" s="3" t="inlineStr">
        <is>
          <t xml:space="preserve">#1376</t>
        </is>
      </c>
      <c r="B512" s="3" t="inlineStr">
        <is>
          <t xml:space="preserve">2026-03-23</t>
        </is>
      </c>
      <c r="C512" s="3" t="inlineStr">
        <is>
          <t xml:space="preserve">SKU-D</t>
        </is>
      </c>
      <c r="D512" s="3" t="inlineStr">
        <is>
          <t xml:space="preserve">Daily Duo</t>
        </is>
      </c>
      <c r="E512" s="6">
        <f>IF('Settings'!$B$11="Scenario",IFERROR(INDEX('Catalogue'!$E$3:$E$100,MATCH(C512,'Catalogue'!$B$3:$B$100,0)),F512),F512)</f>
        <v>79</v>
      </c>
      <c r="F512" s="8">
        <v>79</v>
      </c>
      <c r="G512" s="3">
        <v>1</v>
      </c>
      <c r="H512" s="6">
        <f>IF('Settings'!$B$11="Scenario",ROUND(E512*G512*IFERROR(SUMIF('Pricing &amp; promotions'!$A$6:$A$8,L512,'Pricing &amp; promotions'!$B$6:$B$8)/100,0),2),J512)</f>
        <v>0.0</v>
      </c>
      <c r="I512" s="6">
        <f>ROUND((E512*G512-H512)/(1+'Settings'!$B$6/100),2)</f>
        <v>65.29</v>
      </c>
      <c r="J512" s="8">
        <v>0.0</v>
      </c>
      <c r="K512" s="3" t="inlineStr">
        <is>
          <t xml:space="preserve">TRUE</t>
        </is>
      </c>
      <c r="L512" s="3"/>
    </row>
    <row r="513">
      <c r="A513" s="3" t="inlineStr">
        <is>
          <t xml:space="preserve">#1376</t>
        </is>
      </c>
      <c r="B513" s="3" t="inlineStr">
        <is>
          <t xml:space="preserve">2026-03-23</t>
        </is>
      </c>
      <c r="C513" s="3" t="inlineStr">
        <is>
          <t xml:space="preserve">SKU-A</t>
        </is>
      </c>
      <c r="D513" s="3" t="inlineStr">
        <is>
          <t xml:space="preserve">Renewal Serum</t>
        </is>
      </c>
      <c r="E513" s="6">
        <f>IF('Settings'!$B$11="Scenario",IFERROR(INDEX('Catalogue'!$E$3:$E$100,MATCH(C513,'Catalogue'!$B$3:$B$100,0)),F513),F513)</f>
        <v>69.9</v>
      </c>
      <c r="F513" s="8">
        <v>69.9</v>
      </c>
      <c r="G513" s="3">
        <v>1</v>
      </c>
      <c r="H513" s="6">
        <f>IF('Settings'!$B$11="Scenario",ROUND(E513*G513*IFERROR(SUMIF('Pricing &amp; promotions'!$A$6:$A$8,L513,'Pricing &amp; promotions'!$B$6:$B$8)/100,0),2),J513)</f>
        <v>0.0</v>
      </c>
      <c r="I513" s="6">
        <f>ROUND((E513*G513-H513)/(1+'Settings'!$B$6/100),2)</f>
        <v>57.77</v>
      </c>
      <c r="J513" s="8">
        <v>0.0</v>
      </c>
      <c r="K513" s="3" t="inlineStr">
        <is>
          <t xml:space="preserve">TRUE</t>
        </is>
      </c>
      <c r="L513" s="3"/>
    </row>
    <row r="514">
      <c r="A514" s="3" t="inlineStr">
        <is>
          <t xml:space="preserve">#1377</t>
        </is>
      </c>
      <c r="B514" s="3" t="inlineStr">
        <is>
          <t xml:space="preserve">2026-03-24</t>
        </is>
      </c>
      <c r="C514" s="3" t="inlineStr">
        <is>
          <t xml:space="preserve">SKU-B</t>
        </is>
      </c>
      <c r="D514" s="3" t="inlineStr">
        <is>
          <t xml:space="preserve">Barrier Balm</t>
        </is>
      </c>
      <c r="E514" s="6">
        <f>IF('Settings'!$B$11="Scenario",IFERROR(INDEX('Catalogue'!$E$3:$E$100,MATCH(C514,'Catalogue'!$B$3:$B$100,0)),F514),F514)</f>
        <v>19</v>
      </c>
      <c r="F514" s="8">
        <v>19</v>
      </c>
      <c r="G514" s="3">
        <v>2</v>
      </c>
      <c r="H514" s="6">
        <f>IF('Settings'!$B$11="Scenario",ROUND(E514*G514*IFERROR(SUMIF('Pricing &amp; promotions'!$A$6:$A$8,L514,'Pricing &amp; promotions'!$B$6:$B$8)/100,0),2),J514)</f>
        <v>0.0</v>
      </c>
      <c r="I514" s="6">
        <f>ROUND((E514*G514-H514)/(1+'Settings'!$B$6/100),2)</f>
        <v>31.4</v>
      </c>
      <c r="J514" s="8">
        <v>0.0</v>
      </c>
      <c r="K514" s="3" t="inlineStr">
        <is>
          <t xml:space="preserve">TRUE</t>
        </is>
      </c>
      <c r="L514" s="3"/>
    </row>
    <row r="515">
      <c r="A515" s="3" t="inlineStr">
        <is>
          <t xml:space="preserve">#1378</t>
        </is>
      </c>
      <c r="B515" s="3" t="inlineStr">
        <is>
          <t xml:space="preserve">2026-03-24</t>
        </is>
      </c>
      <c r="C515" s="3" t="inlineStr">
        <is>
          <t xml:space="preserve">SKU-D</t>
        </is>
      </c>
      <c r="D515" s="3" t="inlineStr">
        <is>
          <t xml:space="preserve">Daily Duo</t>
        </is>
      </c>
      <c r="E515" s="6">
        <f>IF('Settings'!$B$11="Scenario",IFERROR(INDEX('Catalogue'!$E$3:$E$100,MATCH(C515,'Catalogue'!$B$3:$B$100,0)),F515),F515)</f>
        <v>79</v>
      </c>
      <c r="F515" s="8">
        <v>79</v>
      </c>
      <c r="G515" s="3">
        <v>2</v>
      </c>
      <c r="H515" s="6">
        <f>IF('Settings'!$B$11="Scenario",ROUND(E515*G515*IFERROR(SUMIF('Pricing &amp; promotions'!$A$6:$A$8,L515,'Pricing &amp; promotions'!$B$6:$B$8)/100,0),2),J515)</f>
        <v>15.8</v>
      </c>
      <c r="I515" s="6">
        <f>ROUND((E515*G515-H515)/(1+'Settings'!$B$6/100),2)</f>
        <v>117.52</v>
      </c>
      <c r="J515" s="8">
        <v>15.8</v>
      </c>
      <c r="K515" s="3" t="inlineStr">
        <is>
          <t xml:space="preserve">TRUE</t>
        </is>
      </c>
      <c r="L515" s="3" t="inlineStr">
        <is>
          <t xml:space="preserve">WELCOME10</t>
        </is>
      </c>
    </row>
    <row r="516">
      <c r="A516" s="3" t="inlineStr">
        <is>
          <t xml:space="preserve">#1379</t>
        </is>
      </c>
      <c r="B516" s="3" t="inlineStr">
        <is>
          <t xml:space="preserve">2026-03-24</t>
        </is>
      </c>
      <c r="C516" s="3" t="inlineStr">
        <is>
          <t xml:space="preserve">SKU-A</t>
        </is>
      </c>
      <c r="D516" s="3" t="inlineStr">
        <is>
          <t xml:space="preserve">Renewal Serum</t>
        </is>
      </c>
      <c r="E516" s="6">
        <f>IF('Settings'!$B$11="Scenario",IFERROR(INDEX('Catalogue'!$E$3:$E$100,MATCH(C516,'Catalogue'!$B$3:$B$100,0)),F516),F516)</f>
        <v>69.9</v>
      </c>
      <c r="F516" s="8">
        <v>69.9</v>
      </c>
      <c r="G516" s="3">
        <v>1</v>
      </c>
      <c r="H516" s="6">
        <f>IF('Settings'!$B$11="Scenario",ROUND(E516*G516*IFERROR(SUMIF('Pricing &amp; promotions'!$A$6:$A$8,L516,'Pricing &amp; promotions'!$B$6:$B$8)/100,0),2),J516)</f>
        <v>6.99</v>
      </c>
      <c r="I516" s="6">
        <f>ROUND((E516*G516-H516)/(1+'Settings'!$B$6/100),2)</f>
        <v>51.99</v>
      </c>
      <c r="J516" s="8">
        <v>6.99</v>
      </c>
      <c r="K516" s="3" t="inlineStr">
        <is>
          <t xml:space="preserve">TRUE</t>
        </is>
      </c>
      <c r="L516" s="3" t="inlineStr">
        <is>
          <t xml:space="preserve">WELCOME10</t>
        </is>
      </c>
    </row>
    <row r="517">
      <c r="A517" s="3" t="inlineStr">
        <is>
          <t xml:space="preserve">#1380</t>
        </is>
      </c>
      <c r="B517" s="3" t="inlineStr">
        <is>
          <t xml:space="preserve">2026-03-24</t>
        </is>
      </c>
      <c r="C517" s="3" t="inlineStr">
        <is>
          <t xml:space="preserve">SKU-A</t>
        </is>
      </c>
      <c r="D517" s="3" t="inlineStr">
        <is>
          <t xml:space="preserve">Renewal Serum</t>
        </is>
      </c>
      <c r="E517" s="6">
        <f>IF('Settings'!$B$11="Scenario",IFERROR(INDEX('Catalogue'!$E$3:$E$100,MATCH(C517,'Catalogue'!$B$3:$B$100,0)),F517),F517)</f>
        <v>69.9</v>
      </c>
      <c r="F517" s="8">
        <v>69.9</v>
      </c>
      <c r="G517" s="3">
        <v>1</v>
      </c>
      <c r="H517" s="6">
        <f>IF('Settings'!$B$11="Scenario",ROUND(E517*G517*IFERROR(SUMIF('Pricing &amp; promotions'!$A$6:$A$8,L517,'Pricing &amp; promotions'!$B$6:$B$8)/100,0),2),J517)</f>
        <v>0.0</v>
      </c>
      <c r="I517" s="6">
        <f>ROUND((E517*G517-H517)/(1+'Settings'!$B$6/100),2)</f>
        <v>57.77</v>
      </c>
      <c r="J517" s="8">
        <v>0.0</v>
      </c>
      <c r="K517" s="3" t="inlineStr">
        <is>
          <t xml:space="preserve">TRUE</t>
        </is>
      </c>
      <c r="L517" s="3"/>
    </row>
    <row r="518">
      <c r="A518" s="3" t="inlineStr">
        <is>
          <t xml:space="preserve">#1381</t>
        </is>
      </c>
      <c r="B518" s="3" t="inlineStr">
        <is>
          <t xml:space="preserve">2026-03-26</t>
        </is>
      </c>
      <c r="C518" s="3" t="inlineStr">
        <is>
          <t xml:space="preserve">SKU-C</t>
        </is>
      </c>
      <c r="D518" s="3" t="inlineStr">
        <is>
          <t xml:space="preserve">Contour Stone</t>
        </is>
      </c>
      <c r="E518" s="6">
        <f>IF('Settings'!$B$11="Scenario",IFERROR(INDEX('Catalogue'!$E$3:$E$100,MATCH(C518,'Catalogue'!$B$3:$B$100,0)),F518),F518)</f>
        <v>29</v>
      </c>
      <c r="F518" s="8">
        <v>29</v>
      </c>
      <c r="G518" s="3">
        <v>1</v>
      </c>
      <c r="H518" s="6">
        <f>IF('Settings'!$B$11="Scenario",ROUND(E518*G518*IFERROR(SUMIF('Pricing &amp; promotions'!$A$6:$A$8,L518,'Pricing &amp; promotions'!$B$6:$B$8)/100,0),2),J518)</f>
        <v>2.9</v>
      </c>
      <c r="I518" s="6">
        <f>ROUND((E518*G518-H518)/(1+'Settings'!$B$6/100),2)</f>
        <v>21.57</v>
      </c>
      <c r="J518" s="8">
        <v>2.9</v>
      </c>
      <c r="K518" s="3" t="inlineStr">
        <is>
          <t xml:space="preserve">TRUE</t>
        </is>
      </c>
      <c r="L518" s="3" t="inlineStr">
        <is>
          <t xml:space="preserve">WELCOME10</t>
        </is>
      </c>
    </row>
    <row r="519">
      <c r="A519" s="3" t="inlineStr">
        <is>
          <t xml:space="preserve">#1382</t>
        </is>
      </c>
      <c r="B519" s="3" t="inlineStr">
        <is>
          <t xml:space="preserve">2026-03-27</t>
        </is>
      </c>
      <c r="C519" s="3" t="inlineStr">
        <is>
          <t xml:space="preserve">SKU-A</t>
        </is>
      </c>
      <c r="D519" s="3" t="inlineStr">
        <is>
          <t xml:space="preserve">Renewal Serum</t>
        </is>
      </c>
      <c r="E519" s="6">
        <f>IF('Settings'!$B$11="Scenario",IFERROR(INDEX('Catalogue'!$E$3:$E$100,MATCH(C519,'Catalogue'!$B$3:$B$100,0)),F519),F519)</f>
        <v>69.9</v>
      </c>
      <c r="F519" s="8">
        <v>69.9</v>
      </c>
      <c r="G519" s="3">
        <v>1</v>
      </c>
      <c r="H519" s="6">
        <f>IF('Settings'!$B$11="Scenario",ROUND(E519*G519*IFERROR(SUMIF('Pricing &amp; promotions'!$A$6:$A$8,L519,'Pricing &amp; promotions'!$B$6:$B$8)/100,0),2),J519)</f>
        <v>0.0</v>
      </c>
      <c r="I519" s="6">
        <f>ROUND((E519*G519-H519)/(1+'Settings'!$B$6/100),2)</f>
        <v>57.77</v>
      </c>
      <c r="J519" s="8">
        <v>0.0</v>
      </c>
      <c r="K519" s="3" t="inlineStr">
        <is>
          <t xml:space="preserve">TRUE</t>
        </is>
      </c>
      <c r="L519" s="3"/>
    </row>
    <row r="520">
      <c r="A520" s="3" t="inlineStr">
        <is>
          <t xml:space="preserve">#1382</t>
        </is>
      </c>
      <c r="B520" s="3" t="inlineStr">
        <is>
          <t xml:space="preserve">2026-03-27</t>
        </is>
      </c>
      <c r="C520" s="3" t="inlineStr">
        <is>
          <t xml:space="preserve">SKU-D</t>
        </is>
      </c>
      <c r="D520" s="3" t="inlineStr">
        <is>
          <t xml:space="preserve">Daily Duo</t>
        </is>
      </c>
      <c r="E520" s="6">
        <f>IF('Settings'!$B$11="Scenario",IFERROR(INDEX('Catalogue'!$E$3:$E$100,MATCH(C520,'Catalogue'!$B$3:$B$100,0)),F520),F520)</f>
        <v>79</v>
      </c>
      <c r="F520" s="8">
        <v>79</v>
      </c>
      <c r="G520" s="3">
        <v>1</v>
      </c>
      <c r="H520" s="6">
        <f>IF('Settings'!$B$11="Scenario",ROUND(E520*G520*IFERROR(SUMIF('Pricing &amp; promotions'!$A$6:$A$8,L520,'Pricing &amp; promotions'!$B$6:$B$8)/100,0),2),J520)</f>
        <v>0.0</v>
      </c>
      <c r="I520" s="6">
        <f>ROUND((E520*G520-H520)/(1+'Settings'!$B$6/100),2)</f>
        <v>65.29</v>
      </c>
      <c r="J520" s="8">
        <v>0.0</v>
      </c>
      <c r="K520" s="3" t="inlineStr">
        <is>
          <t xml:space="preserve">TRUE</t>
        </is>
      </c>
      <c r="L520" s="3"/>
    </row>
    <row r="521">
      <c r="A521" s="3" t="inlineStr">
        <is>
          <t xml:space="preserve">#1383</t>
        </is>
      </c>
      <c r="B521" s="3" t="inlineStr">
        <is>
          <t xml:space="preserve">2026-03-28</t>
        </is>
      </c>
      <c r="C521" s="3" t="inlineStr">
        <is>
          <t xml:space="preserve">SKU-E</t>
        </is>
      </c>
      <c r="D521" s="3" t="inlineStr">
        <is>
          <t xml:space="preserve">Complete Ritual</t>
        </is>
      </c>
      <c r="E521" s="6">
        <f>IF('Settings'!$B$11="Scenario",IFERROR(INDEX('Catalogue'!$E$3:$E$100,MATCH(C521,'Catalogue'!$B$3:$B$100,0)),F521),F521)</f>
        <v>89</v>
      </c>
      <c r="F521" s="8">
        <v>89</v>
      </c>
      <c r="G521" s="3">
        <v>1</v>
      </c>
      <c r="H521" s="6">
        <f>IF('Settings'!$B$11="Scenario",ROUND(E521*G521*IFERROR(SUMIF('Pricing &amp; promotions'!$A$6:$A$8,L521,'Pricing &amp; promotions'!$B$6:$B$8)/100,0),2),J521)</f>
        <v>0.0</v>
      </c>
      <c r="I521" s="6">
        <f>ROUND((E521*G521-H521)/(1+'Settings'!$B$6/100),2)</f>
        <v>73.55</v>
      </c>
      <c r="J521" s="8">
        <v>0.0</v>
      </c>
      <c r="K521" s="3" t="inlineStr">
        <is>
          <t xml:space="preserve">TRUE</t>
        </is>
      </c>
      <c r="L521" s="3"/>
    </row>
    <row r="522">
      <c r="A522" s="3" t="inlineStr">
        <is>
          <t xml:space="preserve">#1383</t>
        </is>
      </c>
      <c r="B522" s="3" t="inlineStr">
        <is>
          <t xml:space="preserve">2026-03-28</t>
        </is>
      </c>
      <c r="C522" s="3" t="inlineStr">
        <is>
          <t xml:space="preserve">SKU-B</t>
        </is>
      </c>
      <c r="D522" s="3" t="inlineStr">
        <is>
          <t xml:space="preserve">Barrier Balm</t>
        </is>
      </c>
      <c r="E522" s="6">
        <f>IF('Settings'!$B$11="Scenario",IFERROR(INDEX('Catalogue'!$E$3:$E$100,MATCH(C522,'Catalogue'!$B$3:$B$100,0)),F522),F522)</f>
        <v>19</v>
      </c>
      <c r="F522" s="8">
        <v>19</v>
      </c>
      <c r="G522" s="3">
        <v>2</v>
      </c>
      <c r="H522" s="6">
        <f>IF('Settings'!$B$11="Scenario",ROUND(E522*G522*IFERROR(SUMIF('Pricing &amp; promotions'!$A$6:$A$8,L522,'Pricing &amp; promotions'!$B$6:$B$8)/100,0),2),J522)</f>
        <v>0.0</v>
      </c>
      <c r="I522" s="6">
        <f>ROUND((E522*G522-H522)/(1+'Settings'!$B$6/100),2)</f>
        <v>31.4</v>
      </c>
      <c r="J522" s="8">
        <v>0.0</v>
      </c>
      <c r="K522" s="3" t="inlineStr">
        <is>
          <t xml:space="preserve">TRUE</t>
        </is>
      </c>
      <c r="L522" s="3"/>
    </row>
    <row r="523">
      <c r="A523" s="3" t="inlineStr">
        <is>
          <t xml:space="preserve">#1384</t>
        </is>
      </c>
      <c r="B523" s="3" t="inlineStr">
        <is>
          <t xml:space="preserve">2026-03-28</t>
        </is>
      </c>
      <c r="C523" s="3" t="inlineStr">
        <is>
          <t xml:space="preserve">SKU-G</t>
        </is>
      </c>
      <c r="D523" s="3" t="inlineStr">
        <is>
          <t xml:space="preserve">Daily Reset Set</t>
        </is>
      </c>
      <c r="E523" s="6">
        <f>IF('Settings'!$B$11="Scenario",IFERROR(INDEX('Catalogue'!$E$3:$E$100,MATCH(C523,'Catalogue'!$B$3:$B$100,0)),F523),F523)</f>
        <v>69</v>
      </c>
      <c r="F523" s="8">
        <v>69</v>
      </c>
      <c r="G523" s="3">
        <v>1</v>
      </c>
      <c r="H523" s="6">
        <f>IF('Settings'!$B$11="Scenario",ROUND(E523*G523*IFERROR(SUMIF('Pricing &amp; promotions'!$A$6:$A$8,L523,'Pricing &amp; promotions'!$B$6:$B$8)/100,0),2),J523)</f>
        <v>6.9</v>
      </c>
      <c r="I523" s="6">
        <f>ROUND((E523*G523-H523)/(1+'Settings'!$B$6/100),2)</f>
        <v>51.32</v>
      </c>
      <c r="J523" s="8">
        <v>6.9</v>
      </c>
      <c r="K523" s="3" t="inlineStr">
        <is>
          <t xml:space="preserve">TRUE</t>
        </is>
      </c>
      <c r="L523" s="3" t="inlineStr">
        <is>
          <t xml:space="preserve">WELCOME10</t>
        </is>
      </c>
    </row>
    <row r="524">
      <c r="A524" s="3" t="inlineStr">
        <is>
          <t xml:space="preserve">#1384</t>
        </is>
      </c>
      <c r="B524" s="3" t="inlineStr">
        <is>
          <t xml:space="preserve">2026-03-28</t>
        </is>
      </c>
      <c r="C524" s="3" t="inlineStr">
        <is>
          <t xml:space="preserve">SKU-D</t>
        </is>
      </c>
      <c r="D524" s="3" t="inlineStr">
        <is>
          <t xml:space="preserve">Daily Duo</t>
        </is>
      </c>
      <c r="E524" s="6">
        <f>IF('Settings'!$B$11="Scenario",IFERROR(INDEX('Catalogue'!$E$3:$E$100,MATCH(C524,'Catalogue'!$B$3:$B$100,0)),F524),F524)</f>
        <v>79</v>
      </c>
      <c r="F524" s="8">
        <v>79</v>
      </c>
      <c r="G524" s="3">
        <v>1</v>
      </c>
      <c r="H524" s="6">
        <f>IF('Settings'!$B$11="Scenario",ROUND(E524*G524*IFERROR(SUMIF('Pricing &amp; promotions'!$A$6:$A$8,L524,'Pricing &amp; promotions'!$B$6:$B$8)/100,0),2),J524)</f>
        <v>7.9</v>
      </c>
      <c r="I524" s="6">
        <f>ROUND((E524*G524-H524)/(1+'Settings'!$B$6/100),2)</f>
        <v>58.76</v>
      </c>
      <c r="J524" s="8">
        <v>7.9</v>
      </c>
      <c r="K524" s="3" t="inlineStr">
        <is>
          <t xml:space="preserve">TRUE</t>
        </is>
      </c>
      <c r="L524" s="3" t="inlineStr">
        <is>
          <t xml:space="preserve">WELCOME10</t>
        </is>
      </c>
    </row>
    <row r="525">
      <c r="A525" s="3" t="inlineStr">
        <is>
          <t xml:space="preserve">#1385</t>
        </is>
      </c>
      <c r="B525" s="3" t="inlineStr">
        <is>
          <t xml:space="preserve">2026-03-28</t>
        </is>
      </c>
      <c r="C525" s="3" t="inlineStr">
        <is>
          <t xml:space="preserve">SKU-A</t>
        </is>
      </c>
      <c r="D525" s="3" t="inlineStr">
        <is>
          <t xml:space="preserve">Renewal Serum</t>
        </is>
      </c>
      <c r="E525" s="6">
        <f>IF('Settings'!$B$11="Scenario",IFERROR(INDEX('Catalogue'!$E$3:$E$100,MATCH(C525,'Catalogue'!$B$3:$B$100,0)),F525),F525)</f>
        <v>69.9</v>
      </c>
      <c r="F525" s="8">
        <v>69.9</v>
      </c>
      <c r="G525" s="3">
        <v>1</v>
      </c>
      <c r="H525" s="6">
        <f>IF('Settings'!$B$11="Scenario",ROUND(E525*G525*IFERROR(SUMIF('Pricing &amp; promotions'!$A$6:$A$8,L525,'Pricing &amp; promotions'!$B$6:$B$8)/100,0),2),J525)</f>
        <v>10.49</v>
      </c>
      <c r="I525" s="6">
        <f>ROUND((E525*G525-H525)/(1+'Settings'!$B$6/100),2)</f>
        <v>49.1</v>
      </c>
      <c r="J525" s="8">
        <v>10.49</v>
      </c>
      <c r="K525" s="3" t="inlineStr">
        <is>
          <t xml:space="preserve">TRUE</t>
        </is>
      </c>
      <c r="L525" s="3" t="inlineStr">
        <is>
          <t xml:space="preserve">SUMMER15</t>
        </is>
      </c>
    </row>
    <row r="526">
      <c r="A526" s="3" t="inlineStr">
        <is>
          <t xml:space="preserve">#1386</t>
        </is>
      </c>
      <c r="B526" s="3" t="inlineStr">
        <is>
          <t xml:space="preserve">2026-03-28</t>
        </is>
      </c>
      <c r="C526" s="3" t="inlineStr">
        <is>
          <t xml:space="preserve">SKU-D</t>
        </is>
      </c>
      <c r="D526" s="3" t="inlineStr">
        <is>
          <t xml:space="preserve">Daily Duo</t>
        </is>
      </c>
      <c r="E526" s="6">
        <f>IF('Settings'!$B$11="Scenario",IFERROR(INDEX('Catalogue'!$E$3:$E$100,MATCH(C526,'Catalogue'!$B$3:$B$100,0)),F526),F526)</f>
        <v>79</v>
      </c>
      <c r="F526" s="8">
        <v>79</v>
      </c>
      <c r="G526" s="3">
        <v>1</v>
      </c>
      <c r="H526" s="6">
        <f>IF('Settings'!$B$11="Scenario",ROUND(E526*G526*IFERROR(SUMIF('Pricing &amp; promotions'!$A$6:$A$8,L526,'Pricing &amp; promotions'!$B$6:$B$8)/100,0),2),J526)</f>
        <v>7.9</v>
      </c>
      <c r="I526" s="6">
        <f>ROUND((E526*G526-H526)/(1+'Settings'!$B$6/100),2)</f>
        <v>58.76</v>
      </c>
      <c r="J526" s="8">
        <v>7.9</v>
      </c>
      <c r="K526" s="3" t="inlineStr">
        <is>
          <t xml:space="preserve">TRUE</t>
        </is>
      </c>
      <c r="L526" s="3" t="inlineStr">
        <is>
          <t xml:space="preserve">WELCOME10</t>
        </is>
      </c>
    </row>
    <row r="527">
      <c r="A527" s="3" t="inlineStr">
        <is>
          <t xml:space="preserve">#1387</t>
        </is>
      </c>
      <c r="B527" s="3" t="inlineStr">
        <is>
          <t xml:space="preserve">2026-03-29</t>
        </is>
      </c>
      <c r="C527" s="3" t="inlineStr">
        <is>
          <t xml:space="preserve">SKU-D</t>
        </is>
      </c>
      <c r="D527" s="3" t="inlineStr">
        <is>
          <t xml:space="preserve">Daily Duo</t>
        </is>
      </c>
      <c r="E527" s="6">
        <f>IF('Settings'!$B$11="Scenario",IFERROR(INDEX('Catalogue'!$E$3:$E$100,MATCH(C527,'Catalogue'!$B$3:$B$100,0)),F527),F527)</f>
        <v>79</v>
      </c>
      <c r="F527" s="8">
        <v>79</v>
      </c>
      <c r="G527" s="3">
        <v>1</v>
      </c>
      <c r="H527" s="6">
        <f>IF('Settings'!$B$11="Scenario",ROUND(E527*G527*IFERROR(SUMIF('Pricing &amp; promotions'!$A$6:$A$8,L527,'Pricing &amp; promotions'!$B$6:$B$8)/100,0),2),J527)</f>
        <v>0.0</v>
      </c>
      <c r="I527" s="6">
        <f>ROUND((E527*G527-H527)/(1+'Settings'!$B$6/100),2)</f>
        <v>65.29</v>
      </c>
      <c r="J527" s="8">
        <v>0.0</v>
      </c>
      <c r="K527" s="3" t="inlineStr">
        <is>
          <t xml:space="preserve">TRUE</t>
        </is>
      </c>
      <c r="L527" s="3"/>
    </row>
    <row r="528">
      <c r="A528" s="3" t="inlineStr">
        <is>
          <t xml:space="preserve">#1388</t>
        </is>
      </c>
      <c r="B528" s="3" t="inlineStr">
        <is>
          <t xml:space="preserve">2026-03-29</t>
        </is>
      </c>
      <c r="C528" s="3" t="inlineStr">
        <is>
          <t xml:space="preserve">SKU-D</t>
        </is>
      </c>
      <c r="D528" s="3" t="inlineStr">
        <is>
          <t xml:space="preserve">Daily Duo</t>
        </is>
      </c>
      <c r="E528" s="6">
        <f>IF('Settings'!$B$11="Scenario",IFERROR(INDEX('Catalogue'!$E$3:$E$100,MATCH(C528,'Catalogue'!$B$3:$B$100,0)),F528),F528)</f>
        <v>79</v>
      </c>
      <c r="F528" s="8">
        <v>79</v>
      </c>
      <c r="G528" s="3">
        <v>1</v>
      </c>
      <c r="H528" s="6">
        <f>IF('Settings'!$B$11="Scenario",ROUND(E528*G528*IFERROR(SUMIF('Pricing &amp; promotions'!$A$6:$A$8,L528,'Pricing &amp; promotions'!$B$6:$B$8)/100,0),2),J528)</f>
        <v>0.0</v>
      </c>
      <c r="I528" s="6">
        <f>ROUND((E528*G528-H528)/(1+'Settings'!$B$6/100),2)</f>
        <v>65.29</v>
      </c>
      <c r="J528" s="8">
        <v>0.0</v>
      </c>
      <c r="K528" s="3" t="inlineStr">
        <is>
          <t xml:space="preserve">TRUE</t>
        </is>
      </c>
      <c r="L528" s="3"/>
    </row>
    <row r="529">
      <c r="A529" s="3" t="inlineStr">
        <is>
          <t xml:space="preserve">#1389</t>
        </is>
      </c>
      <c r="B529" s="3" t="inlineStr">
        <is>
          <t xml:space="preserve">2026-03-29</t>
        </is>
      </c>
      <c r="C529" s="3" t="inlineStr">
        <is>
          <t xml:space="preserve">SKU-E</t>
        </is>
      </c>
      <c r="D529" s="3" t="inlineStr">
        <is>
          <t xml:space="preserve">Complete Ritual</t>
        </is>
      </c>
      <c r="E529" s="6">
        <f>IF('Settings'!$B$11="Scenario",IFERROR(INDEX('Catalogue'!$E$3:$E$100,MATCH(C529,'Catalogue'!$B$3:$B$100,0)),F529),F529)</f>
        <v>89</v>
      </c>
      <c r="F529" s="8">
        <v>89</v>
      </c>
      <c r="G529" s="3">
        <v>1</v>
      </c>
      <c r="H529" s="6">
        <f>IF('Settings'!$B$11="Scenario",ROUND(E529*G529*IFERROR(SUMIF('Pricing &amp; promotions'!$A$6:$A$8,L529,'Pricing &amp; promotions'!$B$6:$B$8)/100,0),2),J529)</f>
        <v>0.0</v>
      </c>
      <c r="I529" s="6">
        <f>ROUND((E529*G529-H529)/(1+'Settings'!$B$6/100),2)</f>
        <v>73.55</v>
      </c>
      <c r="J529" s="8">
        <v>0.0</v>
      </c>
      <c r="K529" s="3" t="inlineStr">
        <is>
          <t xml:space="preserve">TRUE</t>
        </is>
      </c>
      <c r="L529" s="3"/>
    </row>
    <row r="530">
      <c r="A530" s="3" t="inlineStr">
        <is>
          <t xml:space="preserve">#1390</t>
        </is>
      </c>
      <c r="B530" s="3" t="inlineStr">
        <is>
          <t xml:space="preserve">2026-03-30</t>
        </is>
      </c>
      <c r="C530" s="3" t="inlineStr">
        <is>
          <t xml:space="preserve">SKU-C</t>
        </is>
      </c>
      <c r="D530" s="3" t="inlineStr">
        <is>
          <t xml:space="preserve">Contour Stone</t>
        </is>
      </c>
      <c r="E530" s="6">
        <f>IF('Settings'!$B$11="Scenario",IFERROR(INDEX('Catalogue'!$E$3:$E$100,MATCH(C530,'Catalogue'!$B$3:$B$100,0)),F530),F530)</f>
        <v>29</v>
      </c>
      <c r="F530" s="8">
        <v>29</v>
      </c>
      <c r="G530" s="3">
        <v>1</v>
      </c>
      <c r="H530" s="6">
        <f>IF('Settings'!$B$11="Scenario",ROUND(E530*G530*IFERROR(SUMIF('Pricing &amp; promotions'!$A$6:$A$8,L530,'Pricing &amp; promotions'!$B$6:$B$8)/100,0),2),J530)</f>
        <v>0.0</v>
      </c>
      <c r="I530" s="6">
        <f>ROUND((E530*G530-H530)/(1+'Settings'!$B$6/100),2)</f>
        <v>23.97</v>
      </c>
      <c r="J530" s="8">
        <v>0.0</v>
      </c>
      <c r="K530" s="3" t="inlineStr">
        <is>
          <t xml:space="preserve">TRUE</t>
        </is>
      </c>
      <c r="L530" s="3"/>
    </row>
    <row r="531">
      <c r="A531" s="3" t="inlineStr">
        <is>
          <t xml:space="preserve">#1390</t>
        </is>
      </c>
      <c r="B531" s="3" t="inlineStr">
        <is>
          <t xml:space="preserve">2026-03-30</t>
        </is>
      </c>
      <c r="C531" s="3" t="inlineStr">
        <is>
          <t xml:space="preserve">SKU-B</t>
        </is>
      </c>
      <c r="D531" s="3" t="inlineStr">
        <is>
          <t xml:space="preserve">Barrier Balm</t>
        </is>
      </c>
      <c r="E531" s="6">
        <f>IF('Settings'!$B$11="Scenario",IFERROR(INDEX('Catalogue'!$E$3:$E$100,MATCH(C531,'Catalogue'!$B$3:$B$100,0)),F531),F531)</f>
        <v>19</v>
      </c>
      <c r="F531" s="8">
        <v>19</v>
      </c>
      <c r="G531" s="3">
        <v>1</v>
      </c>
      <c r="H531" s="6">
        <f>IF('Settings'!$B$11="Scenario",ROUND(E531*G531*IFERROR(SUMIF('Pricing &amp; promotions'!$A$6:$A$8,L531,'Pricing &amp; promotions'!$B$6:$B$8)/100,0),2),J531)</f>
        <v>0.0</v>
      </c>
      <c r="I531" s="6">
        <f>ROUND((E531*G531-H531)/(1+'Settings'!$B$6/100),2)</f>
        <v>15.7</v>
      </c>
      <c r="J531" s="8">
        <v>0.0</v>
      </c>
      <c r="K531" s="3" t="inlineStr">
        <is>
          <t xml:space="preserve">TRUE</t>
        </is>
      </c>
      <c r="L531" s="3"/>
    </row>
    <row r="532">
      <c r="A532" s="3" t="inlineStr">
        <is>
          <t xml:space="preserve">#1391</t>
        </is>
      </c>
      <c r="B532" s="3" t="inlineStr">
        <is>
          <t xml:space="preserve">2026-03-30</t>
        </is>
      </c>
      <c r="C532" s="3" t="inlineStr">
        <is>
          <t xml:space="preserve">SKU-A</t>
        </is>
      </c>
      <c r="D532" s="3" t="inlineStr">
        <is>
          <t xml:space="preserve">Renewal Serum</t>
        </is>
      </c>
      <c r="E532" s="6">
        <f>IF('Settings'!$B$11="Scenario",IFERROR(INDEX('Catalogue'!$E$3:$E$100,MATCH(C532,'Catalogue'!$B$3:$B$100,0)),F532),F532)</f>
        <v>69.9</v>
      </c>
      <c r="F532" s="8">
        <v>69.9</v>
      </c>
      <c r="G532" s="3">
        <v>1</v>
      </c>
      <c r="H532" s="6">
        <f>IF('Settings'!$B$11="Scenario",ROUND(E532*G532*IFERROR(SUMIF('Pricing &amp; promotions'!$A$6:$A$8,L532,'Pricing &amp; promotions'!$B$6:$B$8)/100,0),2),J532)</f>
        <v>10.49</v>
      </c>
      <c r="I532" s="6">
        <f>ROUND((E532*G532-H532)/(1+'Settings'!$B$6/100),2)</f>
        <v>49.1</v>
      </c>
      <c r="J532" s="8">
        <v>10.49</v>
      </c>
      <c r="K532" s="3" t="inlineStr">
        <is>
          <t xml:space="preserve">TRUE</t>
        </is>
      </c>
      <c r="L532" s="3" t="inlineStr">
        <is>
          <t xml:space="preserve">SUMMER15</t>
        </is>
      </c>
    </row>
    <row r="533">
      <c r="A533" s="3" t="inlineStr">
        <is>
          <t xml:space="preserve">#1391</t>
        </is>
      </c>
      <c r="B533" s="3" t="inlineStr">
        <is>
          <t xml:space="preserve">2026-03-30</t>
        </is>
      </c>
      <c r="C533" s="3" t="inlineStr">
        <is>
          <t xml:space="preserve">SKU-G</t>
        </is>
      </c>
      <c r="D533" s="3" t="inlineStr">
        <is>
          <t xml:space="preserve">Daily Reset Set</t>
        </is>
      </c>
      <c r="E533" s="6">
        <f>IF('Settings'!$B$11="Scenario",IFERROR(INDEX('Catalogue'!$E$3:$E$100,MATCH(C533,'Catalogue'!$B$3:$B$100,0)),F533),F533)</f>
        <v>69</v>
      </c>
      <c r="F533" s="8">
        <v>69</v>
      </c>
      <c r="G533" s="3">
        <v>2</v>
      </c>
      <c r="H533" s="6">
        <f>IF('Settings'!$B$11="Scenario",ROUND(E533*G533*IFERROR(SUMIF('Pricing &amp; promotions'!$A$6:$A$8,L533,'Pricing &amp; promotions'!$B$6:$B$8)/100,0),2),J533)</f>
        <v>20.7</v>
      </c>
      <c r="I533" s="6">
        <f>ROUND((E533*G533-H533)/(1+'Settings'!$B$6/100),2)</f>
        <v>96.94</v>
      </c>
      <c r="J533" s="8">
        <v>20.7</v>
      </c>
      <c r="K533" s="3" t="inlineStr">
        <is>
          <t xml:space="preserve">TRUE</t>
        </is>
      </c>
      <c r="L533" s="3" t="inlineStr">
        <is>
          <t xml:space="preserve">SUMMER15</t>
        </is>
      </c>
    </row>
    <row r="534">
      <c r="A534" s="3" t="inlineStr">
        <is>
          <t xml:space="preserve">#1392</t>
        </is>
      </c>
      <c r="B534" s="3" t="inlineStr">
        <is>
          <t xml:space="preserve">2026-03-31</t>
        </is>
      </c>
      <c r="C534" s="3" t="inlineStr">
        <is>
          <t xml:space="preserve">SKU-E</t>
        </is>
      </c>
      <c r="D534" s="3" t="inlineStr">
        <is>
          <t xml:space="preserve">Complete Ritual</t>
        </is>
      </c>
      <c r="E534" s="6">
        <f>IF('Settings'!$B$11="Scenario",IFERROR(INDEX('Catalogue'!$E$3:$E$100,MATCH(C534,'Catalogue'!$B$3:$B$100,0)),F534),F534)</f>
        <v>89</v>
      </c>
      <c r="F534" s="8">
        <v>89</v>
      </c>
      <c r="G534" s="3">
        <v>1</v>
      </c>
      <c r="H534" s="6">
        <f>IF('Settings'!$B$11="Scenario",ROUND(E534*G534*IFERROR(SUMIF('Pricing &amp; promotions'!$A$6:$A$8,L534,'Pricing &amp; promotions'!$B$6:$B$8)/100,0),2),J534)</f>
        <v>0.0</v>
      </c>
      <c r="I534" s="6">
        <f>ROUND((E534*G534-H534)/(1+'Settings'!$B$6/100),2)</f>
        <v>73.55</v>
      </c>
      <c r="J534" s="8">
        <v>0.0</v>
      </c>
      <c r="K534" s="3" t="inlineStr">
        <is>
          <t xml:space="preserve">TRUE</t>
        </is>
      </c>
      <c r="L534" s="3"/>
    </row>
    <row r="535">
      <c r="A535" s="3" t="inlineStr">
        <is>
          <t xml:space="preserve">#1392</t>
        </is>
      </c>
      <c r="B535" s="3" t="inlineStr">
        <is>
          <t xml:space="preserve">2026-03-31</t>
        </is>
      </c>
      <c r="C535" s="3" t="inlineStr">
        <is>
          <t xml:space="preserve">SKU-D</t>
        </is>
      </c>
      <c r="D535" s="3" t="inlineStr">
        <is>
          <t xml:space="preserve">Daily Duo</t>
        </is>
      </c>
      <c r="E535" s="6">
        <f>IF('Settings'!$B$11="Scenario",IFERROR(INDEX('Catalogue'!$E$3:$E$100,MATCH(C535,'Catalogue'!$B$3:$B$100,0)),F535),F535)</f>
        <v>79</v>
      </c>
      <c r="F535" s="8">
        <v>79</v>
      </c>
      <c r="G535" s="3">
        <v>1</v>
      </c>
      <c r="H535" s="6">
        <f>IF('Settings'!$B$11="Scenario",ROUND(E535*G535*IFERROR(SUMIF('Pricing &amp; promotions'!$A$6:$A$8,L535,'Pricing &amp; promotions'!$B$6:$B$8)/100,0),2),J535)</f>
        <v>0.0</v>
      </c>
      <c r="I535" s="6">
        <f>ROUND((E535*G535-H535)/(1+'Settings'!$B$6/100),2)</f>
        <v>65.29</v>
      </c>
      <c r="J535" s="8">
        <v>0.0</v>
      </c>
      <c r="K535" s="3" t="inlineStr">
        <is>
          <t xml:space="preserve">TRUE</t>
        </is>
      </c>
      <c r="L535" s="3"/>
    </row>
    <row r="536">
      <c r="A536" s="3" t="inlineStr">
        <is>
          <t xml:space="preserve">#1393</t>
        </is>
      </c>
      <c r="B536" s="3" t="inlineStr">
        <is>
          <t xml:space="preserve">2026-03-31</t>
        </is>
      </c>
      <c r="C536" s="3" t="inlineStr">
        <is>
          <t xml:space="preserve">SKU-D</t>
        </is>
      </c>
      <c r="D536" s="3" t="inlineStr">
        <is>
          <t xml:space="preserve">Daily Duo</t>
        </is>
      </c>
      <c r="E536" s="6">
        <f>IF('Settings'!$B$11="Scenario",IFERROR(INDEX('Catalogue'!$E$3:$E$100,MATCH(C536,'Catalogue'!$B$3:$B$100,0)),F536),F536)</f>
        <v>79</v>
      </c>
      <c r="F536" s="8">
        <v>79</v>
      </c>
      <c r="G536" s="3">
        <v>1</v>
      </c>
      <c r="H536" s="6">
        <f>IF('Settings'!$B$11="Scenario",ROUND(E536*G536*IFERROR(SUMIF('Pricing &amp; promotions'!$A$6:$A$8,L536,'Pricing &amp; promotions'!$B$6:$B$8)/100,0),2),J536)</f>
        <v>11.85</v>
      </c>
      <c r="I536" s="6">
        <f>ROUND((E536*G536-H536)/(1+'Settings'!$B$6/100),2)</f>
        <v>55.5</v>
      </c>
      <c r="J536" s="8">
        <v>11.85</v>
      </c>
      <c r="K536" s="3" t="inlineStr">
        <is>
          <t xml:space="preserve">TRUE</t>
        </is>
      </c>
      <c r="L536" s="3" t="inlineStr">
        <is>
          <t xml:space="preserve">SUMMER15</t>
        </is>
      </c>
    </row>
    <row r="537">
      <c r="A537" s="3" t="inlineStr">
        <is>
          <t xml:space="preserve">#1394</t>
        </is>
      </c>
      <c r="B537" s="3" t="inlineStr">
        <is>
          <t xml:space="preserve">2026-04-01</t>
        </is>
      </c>
      <c r="C537" s="3" t="inlineStr">
        <is>
          <t xml:space="preserve">SKU-A</t>
        </is>
      </c>
      <c r="D537" s="3" t="inlineStr">
        <is>
          <t xml:space="preserve">Renewal Serum</t>
        </is>
      </c>
      <c r="E537" s="6">
        <f>IF('Settings'!$B$11="Scenario",IFERROR(INDEX('Catalogue'!$E$3:$E$100,MATCH(C537,'Catalogue'!$B$3:$B$100,0)),F537),F537)</f>
        <v>69.9</v>
      </c>
      <c r="F537" s="8">
        <v>69.9</v>
      </c>
      <c r="G537" s="3">
        <v>1</v>
      </c>
      <c r="H537" s="6">
        <f>IF('Settings'!$B$11="Scenario",ROUND(E537*G537*IFERROR(SUMIF('Pricing &amp; promotions'!$A$6:$A$8,L537,'Pricing &amp; promotions'!$B$6:$B$8)/100,0),2),J537)</f>
        <v>0.0</v>
      </c>
      <c r="I537" s="6">
        <f>ROUND((E537*G537-H537)/(1+'Settings'!$B$6/100),2)</f>
        <v>57.77</v>
      </c>
      <c r="J537" s="8">
        <v>0.0</v>
      </c>
      <c r="K537" s="3" t="inlineStr">
        <is>
          <t xml:space="preserve">TRUE</t>
        </is>
      </c>
      <c r="L537" s="3"/>
    </row>
    <row r="538">
      <c r="A538" s="3" t="inlineStr">
        <is>
          <t xml:space="preserve">#1395</t>
        </is>
      </c>
      <c r="B538" s="3" t="inlineStr">
        <is>
          <t xml:space="preserve">2026-04-01</t>
        </is>
      </c>
      <c r="C538" s="3" t="inlineStr">
        <is>
          <t xml:space="preserve">SKU-F</t>
        </is>
      </c>
      <c r="D538" s="3" t="inlineStr">
        <is>
          <t xml:space="preserve">Cloud Cleanser</t>
        </is>
      </c>
      <c r="E538" s="6">
        <f>IF('Settings'!$B$11="Scenario",IFERROR(INDEX('Catalogue'!$E$3:$E$100,MATCH(C538,'Catalogue'!$B$3:$B$100,0)),F538),F538)</f>
        <v>34</v>
      </c>
      <c r="F538" s="8">
        <v>34</v>
      </c>
      <c r="G538" s="3">
        <v>1</v>
      </c>
      <c r="H538" s="6">
        <f>IF('Settings'!$B$11="Scenario",ROUND(E538*G538*IFERROR(SUMIF('Pricing &amp; promotions'!$A$6:$A$8,L538,'Pricing &amp; promotions'!$B$6:$B$8)/100,0),2),J538)</f>
        <v>3.4</v>
      </c>
      <c r="I538" s="6">
        <f>ROUND((E538*G538-H538)/(1+'Settings'!$B$6/100),2)</f>
        <v>25.29</v>
      </c>
      <c r="J538" s="8">
        <v>3.4</v>
      </c>
      <c r="K538" s="3" t="inlineStr">
        <is>
          <t xml:space="preserve">TRUE</t>
        </is>
      </c>
      <c r="L538" s="3" t="inlineStr">
        <is>
          <t xml:space="preserve">WELCOME10</t>
        </is>
      </c>
    </row>
    <row r="539">
      <c r="A539" s="3" t="inlineStr">
        <is>
          <t xml:space="preserve">#1396</t>
        </is>
      </c>
      <c r="B539" s="3" t="inlineStr">
        <is>
          <t xml:space="preserve">2026-04-01</t>
        </is>
      </c>
      <c r="C539" s="3" t="inlineStr">
        <is>
          <t xml:space="preserve">SKU-B</t>
        </is>
      </c>
      <c r="D539" s="3" t="inlineStr">
        <is>
          <t xml:space="preserve">Barrier Balm</t>
        </is>
      </c>
      <c r="E539" s="6">
        <f>IF('Settings'!$B$11="Scenario",IFERROR(INDEX('Catalogue'!$E$3:$E$100,MATCH(C539,'Catalogue'!$B$3:$B$100,0)),F539),F539)</f>
        <v>19</v>
      </c>
      <c r="F539" s="8">
        <v>19</v>
      </c>
      <c r="G539" s="3">
        <v>1</v>
      </c>
      <c r="H539" s="6">
        <f>IF('Settings'!$B$11="Scenario",ROUND(E539*G539*IFERROR(SUMIF('Pricing &amp; promotions'!$A$6:$A$8,L539,'Pricing &amp; promotions'!$B$6:$B$8)/100,0),2),J539)</f>
        <v>3.8</v>
      </c>
      <c r="I539" s="6">
        <f>ROUND((E539*G539-H539)/(1+'Settings'!$B$6/100),2)</f>
        <v>12.56</v>
      </c>
      <c r="J539" s="8">
        <v>3.8</v>
      </c>
      <c r="K539" s="3" t="inlineStr">
        <is>
          <t xml:space="preserve">TRUE</t>
        </is>
      </c>
      <c r="L539" s="3" t="inlineStr">
        <is>
          <t xml:space="preserve">VIP20</t>
        </is>
      </c>
    </row>
    <row r="540">
      <c r="A540" s="3" t="inlineStr">
        <is>
          <t xml:space="preserve">#1396</t>
        </is>
      </c>
      <c r="B540" s="3" t="inlineStr">
        <is>
          <t xml:space="preserve">2026-04-01</t>
        </is>
      </c>
      <c r="C540" s="3" t="inlineStr">
        <is>
          <t xml:space="preserve">SKU-G</t>
        </is>
      </c>
      <c r="D540" s="3" t="inlineStr">
        <is>
          <t xml:space="preserve">Daily Reset Set</t>
        </is>
      </c>
      <c r="E540" s="6">
        <f>IF('Settings'!$B$11="Scenario",IFERROR(INDEX('Catalogue'!$E$3:$E$100,MATCH(C540,'Catalogue'!$B$3:$B$100,0)),F540),F540)</f>
        <v>69</v>
      </c>
      <c r="F540" s="8">
        <v>69</v>
      </c>
      <c r="G540" s="3">
        <v>1</v>
      </c>
      <c r="H540" s="6">
        <f>IF('Settings'!$B$11="Scenario",ROUND(E540*G540*IFERROR(SUMIF('Pricing &amp; promotions'!$A$6:$A$8,L540,'Pricing &amp; promotions'!$B$6:$B$8)/100,0),2),J540)</f>
        <v>13.8</v>
      </c>
      <c r="I540" s="6">
        <f>ROUND((E540*G540-H540)/(1+'Settings'!$B$6/100),2)</f>
        <v>45.62</v>
      </c>
      <c r="J540" s="8">
        <v>13.8</v>
      </c>
      <c r="K540" s="3" t="inlineStr">
        <is>
          <t xml:space="preserve">TRUE</t>
        </is>
      </c>
      <c r="L540" s="3" t="inlineStr">
        <is>
          <t xml:space="preserve">VIP20</t>
        </is>
      </c>
    </row>
    <row r="541">
      <c r="A541" s="3" t="inlineStr">
        <is>
          <t xml:space="preserve">#1397</t>
        </is>
      </c>
      <c r="B541" s="3" t="inlineStr">
        <is>
          <t xml:space="preserve">2026-04-03</t>
        </is>
      </c>
      <c r="C541" s="3" t="inlineStr">
        <is>
          <t xml:space="preserve">SKU-D</t>
        </is>
      </c>
      <c r="D541" s="3" t="inlineStr">
        <is>
          <t xml:space="preserve">Daily Duo</t>
        </is>
      </c>
      <c r="E541" s="6">
        <f>IF('Settings'!$B$11="Scenario",IFERROR(INDEX('Catalogue'!$E$3:$E$100,MATCH(C541,'Catalogue'!$B$3:$B$100,0)),F541),F541)</f>
        <v>79</v>
      </c>
      <c r="F541" s="8">
        <v>79</v>
      </c>
      <c r="G541" s="3">
        <v>1</v>
      </c>
      <c r="H541" s="6">
        <f>IF('Settings'!$B$11="Scenario",ROUND(E541*G541*IFERROR(SUMIF('Pricing &amp; promotions'!$A$6:$A$8,L541,'Pricing &amp; promotions'!$B$6:$B$8)/100,0),2),J541)</f>
        <v>11.85</v>
      </c>
      <c r="I541" s="6">
        <f>ROUND((E541*G541-H541)/(1+'Settings'!$B$6/100),2)</f>
        <v>55.5</v>
      </c>
      <c r="J541" s="8">
        <v>11.85</v>
      </c>
      <c r="K541" s="3" t="inlineStr">
        <is>
          <t xml:space="preserve">TRUE</t>
        </is>
      </c>
      <c r="L541" s="3" t="inlineStr">
        <is>
          <t xml:space="preserve">SUMMER15</t>
        </is>
      </c>
    </row>
    <row r="542">
      <c r="A542" s="3" t="inlineStr">
        <is>
          <t xml:space="preserve">#1398</t>
        </is>
      </c>
      <c r="B542" s="3" t="inlineStr">
        <is>
          <t xml:space="preserve">2026-04-04</t>
        </is>
      </c>
      <c r="C542" s="3" t="inlineStr">
        <is>
          <t xml:space="preserve">SKU-B</t>
        </is>
      </c>
      <c r="D542" s="3" t="inlineStr">
        <is>
          <t xml:space="preserve">Barrier Balm</t>
        </is>
      </c>
      <c r="E542" s="6">
        <f>IF('Settings'!$B$11="Scenario",IFERROR(INDEX('Catalogue'!$E$3:$E$100,MATCH(C542,'Catalogue'!$B$3:$B$100,0)),F542),F542)</f>
        <v>19</v>
      </c>
      <c r="F542" s="8">
        <v>19</v>
      </c>
      <c r="G542" s="3">
        <v>2</v>
      </c>
      <c r="H542" s="6">
        <f>IF('Settings'!$B$11="Scenario",ROUND(E542*G542*IFERROR(SUMIF('Pricing &amp; promotions'!$A$6:$A$8,L542,'Pricing &amp; promotions'!$B$6:$B$8)/100,0),2),J542)</f>
        <v>0.0</v>
      </c>
      <c r="I542" s="6">
        <f>ROUND((E542*G542-H542)/(1+'Settings'!$B$6/100),2)</f>
        <v>31.4</v>
      </c>
      <c r="J542" s="8">
        <v>0.0</v>
      </c>
      <c r="K542" s="3" t="inlineStr">
        <is>
          <t xml:space="preserve">TRUE</t>
        </is>
      </c>
      <c r="L542" s="3"/>
    </row>
    <row r="543">
      <c r="A543" s="3" t="inlineStr">
        <is>
          <t xml:space="preserve">#1399</t>
        </is>
      </c>
      <c r="B543" s="3" t="inlineStr">
        <is>
          <t xml:space="preserve">2026-04-04</t>
        </is>
      </c>
      <c r="C543" s="3" t="inlineStr">
        <is>
          <t xml:space="preserve">SKU-G</t>
        </is>
      </c>
      <c r="D543" s="3" t="inlineStr">
        <is>
          <t xml:space="preserve">Daily Reset Set</t>
        </is>
      </c>
      <c r="E543" s="6">
        <f>IF('Settings'!$B$11="Scenario",IFERROR(INDEX('Catalogue'!$E$3:$E$100,MATCH(C543,'Catalogue'!$B$3:$B$100,0)),F543),F543)</f>
        <v>69</v>
      </c>
      <c r="F543" s="8">
        <v>69</v>
      </c>
      <c r="G543" s="3">
        <v>1</v>
      </c>
      <c r="H543" s="6">
        <f>IF('Settings'!$B$11="Scenario",ROUND(E543*G543*IFERROR(SUMIF('Pricing &amp; promotions'!$A$6:$A$8,L543,'Pricing &amp; promotions'!$B$6:$B$8)/100,0),2),J543)</f>
        <v>0.0</v>
      </c>
      <c r="I543" s="6">
        <f>ROUND((E543*G543-H543)/(1+'Settings'!$B$6/100),2)</f>
        <v>57.02</v>
      </c>
      <c r="J543" s="8">
        <v>0.0</v>
      </c>
      <c r="K543" s="3" t="inlineStr">
        <is>
          <t xml:space="preserve">TRUE</t>
        </is>
      </c>
      <c r="L543" s="3"/>
    </row>
    <row r="544">
      <c r="A544" s="3" t="inlineStr">
        <is>
          <t xml:space="preserve">#1399</t>
        </is>
      </c>
      <c r="B544" s="3" t="inlineStr">
        <is>
          <t xml:space="preserve">2026-04-04</t>
        </is>
      </c>
      <c r="C544" s="3" t="inlineStr">
        <is>
          <t xml:space="preserve">SKU-B</t>
        </is>
      </c>
      <c r="D544" s="3" t="inlineStr">
        <is>
          <t xml:space="preserve">Barrier Balm</t>
        </is>
      </c>
      <c r="E544" s="6">
        <f>IF('Settings'!$B$11="Scenario",IFERROR(INDEX('Catalogue'!$E$3:$E$100,MATCH(C544,'Catalogue'!$B$3:$B$100,0)),F544),F544)</f>
        <v>19</v>
      </c>
      <c r="F544" s="8">
        <v>19</v>
      </c>
      <c r="G544" s="3">
        <v>1</v>
      </c>
      <c r="H544" s="6">
        <f>IF('Settings'!$B$11="Scenario",ROUND(E544*G544*IFERROR(SUMIF('Pricing &amp; promotions'!$A$6:$A$8,L544,'Pricing &amp; promotions'!$B$6:$B$8)/100,0),2),J544)</f>
        <v>0.0</v>
      </c>
      <c r="I544" s="6">
        <f>ROUND((E544*G544-H544)/(1+'Settings'!$B$6/100),2)</f>
        <v>15.7</v>
      </c>
      <c r="J544" s="8">
        <v>0.0</v>
      </c>
      <c r="K544" s="3" t="inlineStr">
        <is>
          <t xml:space="preserve">TRUE</t>
        </is>
      </c>
      <c r="L544" s="3"/>
    </row>
    <row r="545">
      <c r="A545" s="3" t="inlineStr">
        <is>
          <t xml:space="preserve">#1400</t>
        </is>
      </c>
      <c r="B545" s="3" t="inlineStr">
        <is>
          <t xml:space="preserve">2026-04-05</t>
        </is>
      </c>
      <c r="C545" s="3" t="inlineStr">
        <is>
          <t xml:space="preserve">SKU-A</t>
        </is>
      </c>
      <c r="D545" s="3" t="inlineStr">
        <is>
          <t xml:space="preserve">Renewal Serum</t>
        </is>
      </c>
      <c r="E545" s="6">
        <f>IF('Settings'!$B$11="Scenario",IFERROR(INDEX('Catalogue'!$E$3:$E$100,MATCH(C545,'Catalogue'!$B$3:$B$100,0)),F545),F545)</f>
        <v>69.9</v>
      </c>
      <c r="F545" s="8">
        <v>69.9</v>
      </c>
      <c r="G545" s="3">
        <v>1</v>
      </c>
      <c r="H545" s="6">
        <f>IF('Settings'!$B$11="Scenario",ROUND(E545*G545*IFERROR(SUMIF('Pricing &amp; promotions'!$A$6:$A$8,L545,'Pricing &amp; promotions'!$B$6:$B$8)/100,0),2),J545)</f>
        <v>0.0</v>
      </c>
      <c r="I545" s="6">
        <f>ROUND((E545*G545-H545)/(1+'Settings'!$B$6/100),2)</f>
        <v>57.77</v>
      </c>
      <c r="J545" s="8">
        <v>0.0</v>
      </c>
      <c r="K545" s="3" t="inlineStr">
        <is>
          <t xml:space="preserve">TRUE</t>
        </is>
      </c>
      <c r="L545" s="3"/>
    </row>
    <row r="546">
      <c r="A546" s="3" t="inlineStr">
        <is>
          <t xml:space="preserve">#1401</t>
        </is>
      </c>
      <c r="B546" s="3" t="inlineStr">
        <is>
          <t xml:space="preserve">2026-04-05</t>
        </is>
      </c>
      <c r="C546" s="3" t="inlineStr">
        <is>
          <t xml:space="preserve">SKU-D</t>
        </is>
      </c>
      <c r="D546" s="3" t="inlineStr">
        <is>
          <t xml:space="preserve">Daily Duo</t>
        </is>
      </c>
      <c r="E546" s="6">
        <f>IF('Settings'!$B$11="Scenario",IFERROR(INDEX('Catalogue'!$E$3:$E$100,MATCH(C546,'Catalogue'!$B$3:$B$100,0)),F546),F546)</f>
        <v>79</v>
      </c>
      <c r="F546" s="8">
        <v>79</v>
      </c>
      <c r="G546" s="3">
        <v>1</v>
      </c>
      <c r="H546" s="6">
        <f>IF('Settings'!$B$11="Scenario",ROUND(E546*G546*IFERROR(SUMIF('Pricing &amp; promotions'!$A$6:$A$8,L546,'Pricing &amp; promotions'!$B$6:$B$8)/100,0),2),J546)</f>
        <v>0.0</v>
      </c>
      <c r="I546" s="6">
        <f>ROUND((E546*G546-H546)/(1+'Settings'!$B$6/100),2)</f>
        <v>65.29</v>
      </c>
      <c r="J546" s="8">
        <v>0.0</v>
      </c>
      <c r="K546" s="3" t="inlineStr">
        <is>
          <t xml:space="preserve">TRUE</t>
        </is>
      </c>
      <c r="L546" s="3"/>
    </row>
    <row r="547">
      <c r="A547" s="3" t="inlineStr">
        <is>
          <t xml:space="preserve">#1402</t>
        </is>
      </c>
      <c r="B547" s="3" t="inlineStr">
        <is>
          <t xml:space="preserve">2026-04-05</t>
        </is>
      </c>
      <c r="C547" s="3" t="inlineStr">
        <is>
          <t xml:space="preserve">SKU-E</t>
        </is>
      </c>
      <c r="D547" s="3" t="inlineStr">
        <is>
          <t xml:space="preserve">Complete Ritual</t>
        </is>
      </c>
      <c r="E547" s="6">
        <f>IF('Settings'!$B$11="Scenario",IFERROR(INDEX('Catalogue'!$E$3:$E$100,MATCH(C547,'Catalogue'!$B$3:$B$100,0)),F547),F547)</f>
        <v>89</v>
      </c>
      <c r="F547" s="8">
        <v>89</v>
      </c>
      <c r="G547" s="3">
        <v>1</v>
      </c>
      <c r="H547" s="6">
        <f>IF('Settings'!$B$11="Scenario",ROUND(E547*G547*IFERROR(SUMIF('Pricing &amp; promotions'!$A$6:$A$8,L547,'Pricing &amp; promotions'!$B$6:$B$8)/100,0),2),J547)</f>
        <v>0.0</v>
      </c>
      <c r="I547" s="6">
        <f>ROUND((E547*G547-H547)/(1+'Settings'!$B$6/100),2)</f>
        <v>73.55</v>
      </c>
      <c r="J547" s="8">
        <v>0.0</v>
      </c>
      <c r="K547" s="3" t="inlineStr">
        <is>
          <t xml:space="preserve">TRUE</t>
        </is>
      </c>
      <c r="L547" s="3"/>
    </row>
    <row r="548">
      <c r="A548" s="3" t="inlineStr">
        <is>
          <t xml:space="preserve">#1402</t>
        </is>
      </c>
      <c r="B548" s="3" t="inlineStr">
        <is>
          <t xml:space="preserve">2026-04-05</t>
        </is>
      </c>
      <c r="C548" s="3" t="inlineStr">
        <is>
          <t xml:space="preserve">SKU-A</t>
        </is>
      </c>
      <c r="D548" s="3" t="inlineStr">
        <is>
          <t xml:space="preserve">Renewal Serum</t>
        </is>
      </c>
      <c r="E548" s="6">
        <f>IF('Settings'!$B$11="Scenario",IFERROR(INDEX('Catalogue'!$E$3:$E$100,MATCH(C548,'Catalogue'!$B$3:$B$100,0)),F548),F548)</f>
        <v>69.9</v>
      </c>
      <c r="F548" s="8">
        <v>69.9</v>
      </c>
      <c r="G548" s="3">
        <v>1</v>
      </c>
      <c r="H548" s="6">
        <f>IF('Settings'!$B$11="Scenario",ROUND(E548*G548*IFERROR(SUMIF('Pricing &amp; promotions'!$A$6:$A$8,L548,'Pricing &amp; promotions'!$B$6:$B$8)/100,0),2),J548)</f>
        <v>0.0</v>
      </c>
      <c r="I548" s="6">
        <f>ROUND((E548*G548-H548)/(1+'Settings'!$B$6/100),2)</f>
        <v>57.77</v>
      </c>
      <c r="J548" s="8">
        <v>0.0</v>
      </c>
      <c r="K548" s="3" t="inlineStr">
        <is>
          <t xml:space="preserve">TRUE</t>
        </is>
      </c>
      <c r="L548" s="3"/>
    </row>
    <row r="549">
      <c r="A549" s="3" t="inlineStr">
        <is>
          <t xml:space="preserve">#1402</t>
        </is>
      </c>
      <c r="B549" s="3" t="inlineStr">
        <is>
          <t xml:space="preserve">2026-04-05</t>
        </is>
      </c>
      <c r="C549" s="3" t="inlineStr">
        <is>
          <t xml:space="preserve">SKU-F</t>
        </is>
      </c>
      <c r="D549" s="3" t="inlineStr">
        <is>
          <t xml:space="preserve">Cloud Cleanser</t>
        </is>
      </c>
      <c r="E549" s="6">
        <f>IF('Settings'!$B$11="Scenario",IFERROR(INDEX('Catalogue'!$E$3:$E$100,MATCH(C549,'Catalogue'!$B$3:$B$100,0)),F549),F549)</f>
        <v>34</v>
      </c>
      <c r="F549" s="8">
        <v>34</v>
      </c>
      <c r="G549" s="3">
        <v>1</v>
      </c>
      <c r="H549" s="6">
        <f>IF('Settings'!$B$11="Scenario",ROUND(E549*G549*IFERROR(SUMIF('Pricing &amp; promotions'!$A$6:$A$8,L549,'Pricing &amp; promotions'!$B$6:$B$8)/100,0),2),J549)</f>
        <v>0.0</v>
      </c>
      <c r="I549" s="6">
        <f>ROUND((E549*G549-H549)/(1+'Settings'!$B$6/100),2)</f>
        <v>28.1</v>
      </c>
      <c r="J549" s="8">
        <v>0.0</v>
      </c>
      <c r="K549" s="3" t="inlineStr">
        <is>
          <t xml:space="preserve">TRUE</t>
        </is>
      </c>
      <c r="L549" s="3"/>
    </row>
    <row r="550">
      <c r="A550" s="3" t="inlineStr">
        <is>
          <t xml:space="preserve">#1403</t>
        </is>
      </c>
      <c r="B550" s="3" t="inlineStr">
        <is>
          <t xml:space="preserve">2026-04-06</t>
        </is>
      </c>
      <c r="C550" s="3" t="inlineStr">
        <is>
          <t xml:space="preserve">SKU-A</t>
        </is>
      </c>
      <c r="D550" s="3" t="inlineStr">
        <is>
          <t xml:space="preserve">Renewal Serum</t>
        </is>
      </c>
      <c r="E550" s="6">
        <f>IF('Settings'!$B$11="Scenario",IFERROR(INDEX('Catalogue'!$E$3:$E$100,MATCH(C550,'Catalogue'!$B$3:$B$100,0)),F550),F550)</f>
        <v>69.9</v>
      </c>
      <c r="F550" s="8">
        <v>69.9</v>
      </c>
      <c r="G550" s="3">
        <v>1</v>
      </c>
      <c r="H550" s="6">
        <f>IF('Settings'!$B$11="Scenario",ROUND(E550*G550*IFERROR(SUMIF('Pricing &amp; promotions'!$A$6:$A$8,L550,'Pricing &amp; promotions'!$B$6:$B$8)/100,0),2),J550)</f>
        <v>0.0</v>
      </c>
      <c r="I550" s="6">
        <f>ROUND((E550*G550-H550)/(1+'Settings'!$B$6/100),2)</f>
        <v>57.77</v>
      </c>
      <c r="J550" s="8">
        <v>0.0</v>
      </c>
      <c r="K550" s="3" t="inlineStr">
        <is>
          <t xml:space="preserve">TRUE</t>
        </is>
      </c>
      <c r="L550" s="3"/>
    </row>
    <row r="551">
      <c r="A551" s="3" t="inlineStr">
        <is>
          <t xml:space="preserve">#1404</t>
        </is>
      </c>
      <c r="B551" s="3" t="inlineStr">
        <is>
          <t xml:space="preserve">2026-04-06</t>
        </is>
      </c>
      <c r="C551" s="3" t="inlineStr">
        <is>
          <t xml:space="preserve">SKU-G</t>
        </is>
      </c>
      <c r="D551" s="3" t="inlineStr">
        <is>
          <t xml:space="preserve">Daily Reset Set</t>
        </is>
      </c>
      <c r="E551" s="6">
        <f>IF('Settings'!$B$11="Scenario",IFERROR(INDEX('Catalogue'!$E$3:$E$100,MATCH(C551,'Catalogue'!$B$3:$B$100,0)),F551),F551)</f>
        <v>69</v>
      </c>
      <c r="F551" s="8">
        <v>69</v>
      </c>
      <c r="G551" s="3">
        <v>2</v>
      </c>
      <c r="H551" s="6">
        <f>IF('Settings'!$B$11="Scenario",ROUND(E551*G551*IFERROR(SUMIF('Pricing &amp; promotions'!$A$6:$A$8,L551,'Pricing &amp; promotions'!$B$6:$B$8)/100,0),2),J551)</f>
        <v>0.0</v>
      </c>
      <c r="I551" s="6">
        <f>ROUND((E551*G551-H551)/(1+'Settings'!$B$6/100),2)</f>
        <v>114.05</v>
      </c>
      <c r="J551" s="8">
        <v>0.0</v>
      </c>
      <c r="K551" s="3" t="inlineStr">
        <is>
          <t xml:space="preserve">TRUE</t>
        </is>
      </c>
      <c r="L551" s="3"/>
    </row>
    <row r="552">
      <c r="A552" s="3" t="inlineStr">
        <is>
          <t xml:space="preserve">#1404</t>
        </is>
      </c>
      <c r="B552" s="3" t="inlineStr">
        <is>
          <t xml:space="preserve">2026-04-06</t>
        </is>
      </c>
      <c r="C552" s="3" t="inlineStr">
        <is>
          <t xml:space="preserve">SKU-B</t>
        </is>
      </c>
      <c r="D552" s="3" t="inlineStr">
        <is>
          <t xml:space="preserve">Barrier Balm</t>
        </is>
      </c>
      <c r="E552" s="6">
        <f>IF('Settings'!$B$11="Scenario",IFERROR(INDEX('Catalogue'!$E$3:$E$100,MATCH(C552,'Catalogue'!$B$3:$B$100,0)),F552),F552)</f>
        <v>19</v>
      </c>
      <c r="F552" s="8">
        <v>19</v>
      </c>
      <c r="G552" s="3">
        <v>1</v>
      </c>
      <c r="H552" s="6">
        <f>IF('Settings'!$B$11="Scenario",ROUND(E552*G552*IFERROR(SUMIF('Pricing &amp; promotions'!$A$6:$A$8,L552,'Pricing &amp; promotions'!$B$6:$B$8)/100,0),2),J552)</f>
        <v>0.0</v>
      </c>
      <c r="I552" s="6">
        <f>ROUND((E552*G552-H552)/(1+'Settings'!$B$6/100),2)</f>
        <v>15.7</v>
      </c>
      <c r="J552" s="8">
        <v>0.0</v>
      </c>
      <c r="K552" s="3" t="inlineStr">
        <is>
          <t xml:space="preserve">TRUE</t>
        </is>
      </c>
      <c r="L552" s="3"/>
    </row>
    <row r="553">
      <c r="A553" s="3" t="inlineStr">
        <is>
          <t xml:space="preserve">#1405</t>
        </is>
      </c>
      <c r="B553" s="3" t="inlineStr">
        <is>
          <t xml:space="preserve">2026-04-08</t>
        </is>
      </c>
      <c r="C553" s="3" t="inlineStr">
        <is>
          <t xml:space="preserve">SKU-A</t>
        </is>
      </c>
      <c r="D553" s="3" t="inlineStr">
        <is>
          <t xml:space="preserve">Renewal Serum</t>
        </is>
      </c>
      <c r="E553" s="6">
        <f>IF('Settings'!$B$11="Scenario",IFERROR(INDEX('Catalogue'!$E$3:$E$100,MATCH(C553,'Catalogue'!$B$3:$B$100,0)),F553),F553)</f>
        <v>69.9</v>
      </c>
      <c r="F553" s="8">
        <v>69.9</v>
      </c>
      <c r="G553" s="3">
        <v>1</v>
      </c>
      <c r="H553" s="6">
        <f>IF('Settings'!$B$11="Scenario",ROUND(E553*G553*IFERROR(SUMIF('Pricing &amp; promotions'!$A$6:$A$8,L553,'Pricing &amp; promotions'!$B$6:$B$8)/100,0),2),J553)</f>
        <v>10.49</v>
      </c>
      <c r="I553" s="6">
        <f>ROUND((E553*G553-H553)/(1+'Settings'!$B$6/100),2)</f>
        <v>49.1</v>
      </c>
      <c r="J553" s="8">
        <v>10.49</v>
      </c>
      <c r="K553" s="3" t="inlineStr">
        <is>
          <t xml:space="preserve">TRUE</t>
        </is>
      </c>
      <c r="L553" s="3" t="inlineStr">
        <is>
          <t xml:space="preserve">SUMMER15</t>
        </is>
      </c>
    </row>
    <row r="554">
      <c r="A554" s="3" t="inlineStr">
        <is>
          <t xml:space="preserve">#1406</t>
        </is>
      </c>
      <c r="B554" s="3" t="inlineStr">
        <is>
          <t xml:space="preserve">2026-04-09</t>
        </is>
      </c>
      <c r="C554" s="3" t="inlineStr">
        <is>
          <t xml:space="preserve">SKU-G</t>
        </is>
      </c>
      <c r="D554" s="3" t="inlineStr">
        <is>
          <t xml:space="preserve">Daily Reset Set</t>
        </is>
      </c>
      <c r="E554" s="6">
        <f>IF('Settings'!$B$11="Scenario",IFERROR(INDEX('Catalogue'!$E$3:$E$100,MATCH(C554,'Catalogue'!$B$3:$B$100,0)),F554),F554)</f>
        <v>69</v>
      </c>
      <c r="F554" s="8">
        <v>69</v>
      </c>
      <c r="G554" s="3">
        <v>1</v>
      </c>
      <c r="H554" s="6">
        <f>IF('Settings'!$B$11="Scenario",ROUND(E554*G554*IFERROR(SUMIF('Pricing &amp; promotions'!$A$6:$A$8,L554,'Pricing &amp; promotions'!$B$6:$B$8)/100,0),2),J554)</f>
        <v>0.0</v>
      </c>
      <c r="I554" s="6">
        <f>ROUND((E554*G554-H554)/(1+'Settings'!$B$6/100),2)</f>
        <v>57.02</v>
      </c>
      <c r="J554" s="8">
        <v>0.0</v>
      </c>
      <c r="K554" s="3" t="inlineStr">
        <is>
          <t xml:space="preserve">TRUE</t>
        </is>
      </c>
      <c r="L554" s="3"/>
    </row>
    <row r="555">
      <c r="A555" s="3" t="inlineStr">
        <is>
          <t xml:space="preserve">#1407</t>
        </is>
      </c>
      <c r="B555" s="3" t="inlineStr">
        <is>
          <t xml:space="preserve">2026-04-09</t>
        </is>
      </c>
      <c r="C555" s="3" t="inlineStr">
        <is>
          <t xml:space="preserve">SKU-A</t>
        </is>
      </c>
      <c r="D555" s="3" t="inlineStr">
        <is>
          <t xml:space="preserve">Renewal Serum</t>
        </is>
      </c>
      <c r="E555" s="6">
        <f>IF('Settings'!$B$11="Scenario",IFERROR(INDEX('Catalogue'!$E$3:$E$100,MATCH(C555,'Catalogue'!$B$3:$B$100,0)),F555),F555)</f>
        <v>69.9</v>
      </c>
      <c r="F555" s="8">
        <v>69.9</v>
      </c>
      <c r="G555" s="3">
        <v>1</v>
      </c>
      <c r="H555" s="6">
        <f>IF('Settings'!$B$11="Scenario",ROUND(E555*G555*IFERROR(SUMIF('Pricing &amp; promotions'!$A$6:$A$8,L555,'Pricing &amp; promotions'!$B$6:$B$8)/100,0),2),J555)</f>
        <v>10.49</v>
      </c>
      <c r="I555" s="6">
        <f>ROUND((E555*G555-H555)/(1+'Settings'!$B$6/100),2)</f>
        <v>49.1</v>
      </c>
      <c r="J555" s="8">
        <v>10.49</v>
      </c>
      <c r="K555" s="3" t="inlineStr">
        <is>
          <t xml:space="preserve">TRUE</t>
        </is>
      </c>
      <c r="L555" s="3" t="inlineStr">
        <is>
          <t xml:space="preserve">SUMMER15</t>
        </is>
      </c>
    </row>
    <row r="556">
      <c r="A556" s="3" t="inlineStr">
        <is>
          <t xml:space="preserve">#1408</t>
        </is>
      </c>
      <c r="B556" s="3" t="inlineStr">
        <is>
          <t xml:space="preserve">2026-04-10</t>
        </is>
      </c>
      <c r="C556" s="3" t="inlineStr">
        <is>
          <t xml:space="preserve">SKU-A</t>
        </is>
      </c>
      <c r="D556" s="3" t="inlineStr">
        <is>
          <t xml:space="preserve">Renewal Serum</t>
        </is>
      </c>
      <c r="E556" s="6">
        <f>IF('Settings'!$B$11="Scenario",IFERROR(INDEX('Catalogue'!$E$3:$E$100,MATCH(C556,'Catalogue'!$B$3:$B$100,0)),F556),F556)</f>
        <v>69.9</v>
      </c>
      <c r="F556" s="8">
        <v>69.9</v>
      </c>
      <c r="G556" s="3">
        <v>1</v>
      </c>
      <c r="H556" s="6">
        <f>IF('Settings'!$B$11="Scenario",ROUND(E556*G556*IFERROR(SUMIF('Pricing &amp; promotions'!$A$6:$A$8,L556,'Pricing &amp; promotions'!$B$6:$B$8)/100,0),2),J556)</f>
        <v>0.0</v>
      </c>
      <c r="I556" s="6">
        <f>ROUND((E556*G556-H556)/(1+'Settings'!$B$6/100),2)</f>
        <v>57.77</v>
      </c>
      <c r="J556" s="8">
        <v>0.0</v>
      </c>
      <c r="K556" s="3" t="inlineStr">
        <is>
          <t xml:space="preserve">TRUE</t>
        </is>
      </c>
      <c r="L556" s="3"/>
    </row>
    <row r="557">
      <c r="A557" s="3" t="inlineStr">
        <is>
          <t xml:space="preserve">#1408</t>
        </is>
      </c>
      <c r="B557" s="3" t="inlineStr">
        <is>
          <t xml:space="preserve">2026-04-10</t>
        </is>
      </c>
      <c r="C557" s="3" t="inlineStr">
        <is>
          <t xml:space="preserve">SKU-F</t>
        </is>
      </c>
      <c r="D557" s="3" t="inlineStr">
        <is>
          <t xml:space="preserve">Cloud Cleanser</t>
        </is>
      </c>
      <c r="E557" s="6">
        <f>IF('Settings'!$B$11="Scenario",IFERROR(INDEX('Catalogue'!$E$3:$E$100,MATCH(C557,'Catalogue'!$B$3:$B$100,0)),F557),F557)</f>
        <v>34</v>
      </c>
      <c r="F557" s="8">
        <v>34</v>
      </c>
      <c r="G557" s="3">
        <v>1</v>
      </c>
      <c r="H557" s="6">
        <f>IF('Settings'!$B$11="Scenario",ROUND(E557*G557*IFERROR(SUMIF('Pricing &amp; promotions'!$A$6:$A$8,L557,'Pricing &amp; promotions'!$B$6:$B$8)/100,0),2),J557)</f>
        <v>0.0</v>
      </c>
      <c r="I557" s="6">
        <f>ROUND((E557*G557-H557)/(1+'Settings'!$B$6/100),2)</f>
        <v>28.1</v>
      </c>
      <c r="J557" s="8">
        <v>0.0</v>
      </c>
      <c r="K557" s="3" t="inlineStr">
        <is>
          <t xml:space="preserve">TRUE</t>
        </is>
      </c>
      <c r="L557" s="3"/>
    </row>
    <row r="558">
      <c r="A558" s="3" t="inlineStr">
        <is>
          <t xml:space="preserve">#1408</t>
        </is>
      </c>
      <c r="B558" s="3" t="inlineStr">
        <is>
          <t xml:space="preserve">2026-04-10</t>
        </is>
      </c>
      <c r="C558" s="3" t="inlineStr">
        <is>
          <t xml:space="preserve">SKU-E</t>
        </is>
      </c>
      <c r="D558" s="3" t="inlineStr">
        <is>
          <t xml:space="preserve">Complete Ritual</t>
        </is>
      </c>
      <c r="E558" s="6">
        <f>IF('Settings'!$B$11="Scenario",IFERROR(INDEX('Catalogue'!$E$3:$E$100,MATCH(C558,'Catalogue'!$B$3:$B$100,0)),F558),F558)</f>
        <v>89</v>
      </c>
      <c r="F558" s="8">
        <v>89</v>
      </c>
      <c r="G558" s="3">
        <v>1</v>
      </c>
      <c r="H558" s="6">
        <f>IF('Settings'!$B$11="Scenario",ROUND(E558*G558*IFERROR(SUMIF('Pricing &amp; promotions'!$A$6:$A$8,L558,'Pricing &amp; promotions'!$B$6:$B$8)/100,0),2),J558)</f>
        <v>0.0</v>
      </c>
      <c r="I558" s="6">
        <f>ROUND((E558*G558-H558)/(1+'Settings'!$B$6/100),2)</f>
        <v>73.55</v>
      </c>
      <c r="J558" s="8">
        <v>0.0</v>
      </c>
      <c r="K558" s="3" t="inlineStr">
        <is>
          <t xml:space="preserve">TRUE</t>
        </is>
      </c>
      <c r="L558" s="3"/>
    </row>
    <row r="559">
      <c r="A559" s="3" t="inlineStr">
        <is>
          <t xml:space="preserve">#1409</t>
        </is>
      </c>
      <c r="B559" s="3" t="inlineStr">
        <is>
          <t xml:space="preserve">2026-04-10</t>
        </is>
      </c>
      <c r="C559" s="3" t="inlineStr">
        <is>
          <t xml:space="preserve">SKU-D</t>
        </is>
      </c>
      <c r="D559" s="3" t="inlineStr">
        <is>
          <t xml:space="preserve">Daily Duo</t>
        </is>
      </c>
      <c r="E559" s="6">
        <f>IF('Settings'!$B$11="Scenario",IFERROR(INDEX('Catalogue'!$E$3:$E$100,MATCH(C559,'Catalogue'!$B$3:$B$100,0)),F559),F559)</f>
        <v>79</v>
      </c>
      <c r="F559" s="8">
        <v>79</v>
      </c>
      <c r="G559" s="3">
        <v>1</v>
      </c>
      <c r="H559" s="6">
        <f>IF('Settings'!$B$11="Scenario",ROUND(E559*G559*IFERROR(SUMIF('Pricing &amp; promotions'!$A$6:$A$8,L559,'Pricing &amp; promotions'!$B$6:$B$8)/100,0),2),J559)</f>
        <v>15.8</v>
      </c>
      <c r="I559" s="6">
        <f>ROUND((E559*G559-H559)/(1+'Settings'!$B$6/100),2)</f>
        <v>52.23</v>
      </c>
      <c r="J559" s="8">
        <v>15.8</v>
      </c>
      <c r="K559" s="3" t="inlineStr">
        <is>
          <t xml:space="preserve">TRUE</t>
        </is>
      </c>
      <c r="L559" s="3" t="inlineStr">
        <is>
          <t xml:space="preserve">VIP20</t>
        </is>
      </c>
    </row>
    <row r="560">
      <c r="A560" s="3" t="inlineStr">
        <is>
          <t xml:space="preserve">#1410</t>
        </is>
      </c>
      <c r="B560" s="3" t="inlineStr">
        <is>
          <t xml:space="preserve">2026-04-10</t>
        </is>
      </c>
      <c r="C560" s="3" t="inlineStr">
        <is>
          <t xml:space="preserve">SKU-G</t>
        </is>
      </c>
      <c r="D560" s="3" t="inlineStr">
        <is>
          <t xml:space="preserve">Daily Reset Set</t>
        </is>
      </c>
      <c r="E560" s="6">
        <f>IF('Settings'!$B$11="Scenario",IFERROR(INDEX('Catalogue'!$E$3:$E$100,MATCH(C560,'Catalogue'!$B$3:$B$100,0)),F560),F560)</f>
        <v>69</v>
      </c>
      <c r="F560" s="8">
        <v>69</v>
      </c>
      <c r="G560" s="3">
        <v>1</v>
      </c>
      <c r="H560" s="6">
        <f>IF('Settings'!$B$11="Scenario",ROUND(E560*G560*IFERROR(SUMIF('Pricing &amp; promotions'!$A$6:$A$8,L560,'Pricing &amp; promotions'!$B$6:$B$8)/100,0),2),J560)</f>
        <v>6.9</v>
      </c>
      <c r="I560" s="6">
        <f>ROUND((E560*G560-H560)/(1+'Settings'!$B$6/100),2)</f>
        <v>51.32</v>
      </c>
      <c r="J560" s="8">
        <v>6.9</v>
      </c>
      <c r="K560" s="3" t="inlineStr">
        <is>
          <t xml:space="preserve">TRUE</t>
        </is>
      </c>
      <c r="L560" s="3" t="inlineStr">
        <is>
          <t xml:space="preserve">WELCOME10</t>
        </is>
      </c>
    </row>
    <row r="561">
      <c r="A561" s="3" t="inlineStr">
        <is>
          <t xml:space="preserve">#1411</t>
        </is>
      </c>
      <c r="B561" s="3" t="inlineStr">
        <is>
          <t xml:space="preserve">2026-04-11</t>
        </is>
      </c>
      <c r="C561" s="3" t="inlineStr">
        <is>
          <t xml:space="preserve">SKU-D</t>
        </is>
      </c>
      <c r="D561" s="3" t="inlineStr">
        <is>
          <t xml:space="preserve">Daily Duo</t>
        </is>
      </c>
      <c r="E561" s="6">
        <f>IF('Settings'!$B$11="Scenario",IFERROR(INDEX('Catalogue'!$E$3:$E$100,MATCH(C561,'Catalogue'!$B$3:$B$100,0)),F561),F561)</f>
        <v>79</v>
      </c>
      <c r="F561" s="8">
        <v>79</v>
      </c>
      <c r="G561" s="3">
        <v>1</v>
      </c>
      <c r="H561" s="6">
        <f>IF('Settings'!$B$11="Scenario",ROUND(E561*G561*IFERROR(SUMIF('Pricing &amp; promotions'!$A$6:$A$8,L561,'Pricing &amp; promotions'!$B$6:$B$8)/100,0),2),J561)</f>
        <v>7.9</v>
      </c>
      <c r="I561" s="6">
        <f>ROUND((E561*G561-H561)/(1+'Settings'!$B$6/100),2)</f>
        <v>58.76</v>
      </c>
      <c r="J561" s="8">
        <v>7.9</v>
      </c>
      <c r="K561" s="3" t="inlineStr">
        <is>
          <t xml:space="preserve">TRUE</t>
        </is>
      </c>
      <c r="L561" s="3" t="inlineStr">
        <is>
          <t xml:space="preserve">WELCOME10</t>
        </is>
      </c>
    </row>
    <row r="562">
      <c r="A562" s="3" t="inlineStr">
        <is>
          <t xml:space="preserve">#1412</t>
        </is>
      </c>
      <c r="B562" s="3" t="inlineStr">
        <is>
          <t xml:space="preserve">2026-04-11</t>
        </is>
      </c>
      <c r="C562" s="3" t="inlineStr">
        <is>
          <t xml:space="preserve">SKU-C</t>
        </is>
      </c>
      <c r="D562" s="3" t="inlineStr">
        <is>
          <t xml:space="preserve">Contour Stone</t>
        </is>
      </c>
      <c r="E562" s="6">
        <f>IF('Settings'!$B$11="Scenario",IFERROR(INDEX('Catalogue'!$E$3:$E$100,MATCH(C562,'Catalogue'!$B$3:$B$100,0)),F562),F562)</f>
        <v>29</v>
      </c>
      <c r="F562" s="8">
        <v>29</v>
      </c>
      <c r="G562" s="3">
        <v>1</v>
      </c>
      <c r="H562" s="6">
        <f>IF('Settings'!$B$11="Scenario",ROUND(E562*G562*IFERROR(SUMIF('Pricing &amp; promotions'!$A$6:$A$8,L562,'Pricing &amp; promotions'!$B$6:$B$8)/100,0),2),J562)</f>
        <v>0.0</v>
      </c>
      <c r="I562" s="6">
        <f>ROUND((E562*G562-H562)/(1+'Settings'!$B$6/100),2)</f>
        <v>23.97</v>
      </c>
      <c r="J562" s="8">
        <v>0.0</v>
      </c>
      <c r="K562" s="3" t="inlineStr">
        <is>
          <t xml:space="preserve">TRUE</t>
        </is>
      </c>
      <c r="L562" s="3"/>
    </row>
    <row r="563">
      <c r="A563" s="3" t="inlineStr">
        <is>
          <t xml:space="preserve">#1413</t>
        </is>
      </c>
      <c r="B563" s="3" t="inlineStr">
        <is>
          <t xml:space="preserve">2026-04-12</t>
        </is>
      </c>
      <c r="C563" s="3" t="inlineStr">
        <is>
          <t xml:space="preserve">SKU-F</t>
        </is>
      </c>
      <c r="D563" s="3" t="inlineStr">
        <is>
          <t xml:space="preserve">Cloud Cleanser</t>
        </is>
      </c>
      <c r="E563" s="6">
        <f>IF('Settings'!$B$11="Scenario",IFERROR(INDEX('Catalogue'!$E$3:$E$100,MATCH(C563,'Catalogue'!$B$3:$B$100,0)),F563),F563)</f>
        <v>34</v>
      </c>
      <c r="F563" s="8">
        <v>34</v>
      </c>
      <c r="G563" s="3">
        <v>1</v>
      </c>
      <c r="H563" s="6">
        <f>IF('Settings'!$B$11="Scenario",ROUND(E563*G563*IFERROR(SUMIF('Pricing &amp; promotions'!$A$6:$A$8,L563,'Pricing &amp; promotions'!$B$6:$B$8)/100,0),2),J563)</f>
        <v>3.4</v>
      </c>
      <c r="I563" s="6">
        <f>ROUND((E563*G563-H563)/(1+'Settings'!$B$6/100),2)</f>
        <v>25.29</v>
      </c>
      <c r="J563" s="8">
        <v>3.4</v>
      </c>
      <c r="K563" s="3" t="inlineStr">
        <is>
          <t xml:space="preserve">TRUE</t>
        </is>
      </c>
      <c r="L563" s="3" t="inlineStr">
        <is>
          <t xml:space="preserve">WELCOME10</t>
        </is>
      </c>
    </row>
    <row r="564">
      <c r="A564" s="3" t="inlineStr">
        <is>
          <t xml:space="preserve">#1414</t>
        </is>
      </c>
      <c r="B564" s="3" t="inlineStr">
        <is>
          <t xml:space="preserve">2026-04-13</t>
        </is>
      </c>
      <c r="C564" s="3" t="inlineStr">
        <is>
          <t xml:space="preserve">SKU-E</t>
        </is>
      </c>
      <c r="D564" s="3" t="inlineStr">
        <is>
          <t xml:space="preserve">Complete Ritual</t>
        </is>
      </c>
      <c r="E564" s="6">
        <f>IF('Settings'!$B$11="Scenario",IFERROR(INDEX('Catalogue'!$E$3:$E$100,MATCH(C564,'Catalogue'!$B$3:$B$100,0)),F564),F564)</f>
        <v>89</v>
      </c>
      <c r="F564" s="8">
        <v>89</v>
      </c>
      <c r="G564" s="3">
        <v>1</v>
      </c>
      <c r="H564" s="6">
        <f>IF('Settings'!$B$11="Scenario",ROUND(E564*G564*IFERROR(SUMIF('Pricing &amp; promotions'!$A$6:$A$8,L564,'Pricing &amp; promotions'!$B$6:$B$8)/100,0),2),J564)</f>
        <v>0.0</v>
      </c>
      <c r="I564" s="6">
        <f>ROUND((E564*G564-H564)/(1+'Settings'!$B$6/100),2)</f>
        <v>73.55</v>
      </c>
      <c r="J564" s="8">
        <v>0.0</v>
      </c>
      <c r="K564" s="3" t="inlineStr">
        <is>
          <t xml:space="preserve">TRUE</t>
        </is>
      </c>
      <c r="L564" s="3"/>
    </row>
    <row r="565">
      <c r="A565" s="3" t="inlineStr">
        <is>
          <t xml:space="preserve">#1414</t>
        </is>
      </c>
      <c r="B565" s="3" t="inlineStr">
        <is>
          <t xml:space="preserve">2026-04-13</t>
        </is>
      </c>
      <c r="C565" s="3" t="inlineStr">
        <is>
          <t xml:space="preserve">SKU-C</t>
        </is>
      </c>
      <c r="D565" s="3" t="inlineStr">
        <is>
          <t xml:space="preserve">Contour Stone</t>
        </is>
      </c>
      <c r="E565" s="6">
        <f>IF('Settings'!$B$11="Scenario",IFERROR(INDEX('Catalogue'!$E$3:$E$100,MATCH(C565,'Catalogue'!$B$3:$B$100,0)),F565),F565)</f>
        <v>29</v>
      </c>
      <c r="F565" s="8">
        <v>29</v>
      </c>
      <c r="G565" s="3">
        <v>1</v>
      </c>
      <c r="H565" s="6">
        <f>IF('Settings'!$B$11="Scenario",ROUND(E565*G565*IFERROR(SUMIF('Pricing &amp; promotions'!$A$6:$A$8,L565,'Pricing &amp; promotions'!$B$6:$B$8)/100,0),2),J565)</f>
        <v>0.0</v>
      </c>
      <c r="I565" s="6">
        <f>ROUND((E565*G565-H565)/(1+'Settings'!$B$6/100),2)</f>
        <v>23.97</v>
      </c>
      <c r="J565" s="8">
        <v>0.0</v>
      </c>
      <c r="K565" s="3" t="inlineStr">
        <is>
          <t xml:space="preserve">TRUE</t>
        </is>
      </c>
      <c r="L565" s="3"/>
    </row>
    <row r="566">
      <c r="A566" s="3" t="inlineStr">
        <is>
          <t xml:space="preserve">#1415</t>
        </is>
      </c>
      <c r="B566" s="3" t="inlineStr">
        <is>
          <t xml:space="preserve">2026-04-13</t>
        </is>
      </c>
      <c r="C566" s="3" t="inlineStr">
        <is>
          <t xml:space="preserve">SKU-A</t>
        </is>
      </c>
      <c r="D566" s="3" t="inlineStr">
        <is>
          <t xml:space="preserve">Renewal Serum</t>
        </is>
      </c>
      <c r="E566" s="6">
        <f>IF('Settings'!$B$11="Scenario",IFERROR(INDEX('Catalogue'!$E$3:$E$100,MATCH(C566,'Catalogue'!$B$3:$B$100,0)),F566),F566)</f>
        <v>69.9</v>
      </c>
      <c r="F566" s="8">
        <v>69.9</v>
      </c>
      <c r="G566" s="3">
        <v>1</v>
      </c>
      <c r="H566" s="6">
        <f>IF('Settings'!$B$11="Scenario",ROUND(E566*G566*IFERROR(SUMIF('Pricing &amp; promotions'!$A$6:$A$8,L566,'Pricing &amp; promotions'!$B$6:$B$8)/100,0),2),J566)</f>
        <v>6.99</v>
      </c>
      <c r="I566" s="6">
        <f>ROUND((E566*G566-H566)/(1+'Settings'!$B$6/100),2)</f>
        <v>51.99</v>
      </c>
      <c r="J566" s="8">
        <v>6.99</v>
      </c>
      <c r="K566" s="3" t="inlineStr">
        <is>
          <t xml:space="preserve">TRUE</t>
        </is>
      </c>
      <c r="L566" s="3" t="inlineStr">
        <is>
          <t xml:space="preserve">WELCOME10</t>
        </is>
      </c>
    </row>
    <row r="567">
      <c r="A567" s="3" t="inlineStr">
        <is>
          <t xml:space="preserve">#1415</t>
        </is>
      </c>
      <c r="B567" s="3" t="inlineStr">
        <is>
          <t xml:space="preserve">2026-04-13</t>
        </is>
      </c>
      <c r="C567" s="3" t="inlineStr">
        <is>
          <t xml:space="preserve">SKU-G</t>
        </is>
      </c>
      <c r="D567" s="3" t="inlineStr">
        <is>
          <t xml:space="preserve">Daily Reset Set</t>
        </is>
      </c>
      <c r="E567" s="6">
        <f>IF('Settings'!$B$11="Scenario",IFERROR(INDEX('Catalogue'!$E$3:$E$100,MATCH(C567,'Catalogue'!$B$3:$B$100,0)),F567),F567)</f>
        <v>69</v>
      </c>
      <c r="F567" s="8">
        <v>69</v>
      </c>
      <c r="G567" s="3">
        <v>1</v>
      </c>
      <c r="H567" s="6">
        <f>IF('Settings'!$B$11="Scenario",ROUND(E567*G567*IFERROR(SUMIF('Pricing &amp; promotions'!$A$6:$A$8,L567,'Pricing &amp; promotions'!$B$6:$B$8)/100,0),2),J567)</f>
        <v>6.9</v>
      </c>
      <c r="I567" s="6">
        <f>ROUND((E567*G567-H567)/(1+'Settings'!$B$6/100),2)</f>
        <v>51.32</v>
      </c>
      <c r="J567" s="8">
        <v>6.9</v>
      </c>
      <c r="K567" s="3" t="inlineStr">
        <is>
          <t xml:space="preserve">TRUE</t>
        </is>
      </c>
      <c r="L567" s="3" t="inlineStr">
        <is>
          <t xml:space="preserve">WELCOME10</t>
        </is>
      </c>
    </row>
    <row r="568">
      <c r="A568" s="3" t="inlineStr">
        <is>
          <t xml:space="preserve">#1416</t>
        </is>
      </c>
      <c r="B568" s="3" t="inlineStr">
        <is>
          <t xml:space="preserve">2026-04-13</t>
        </is>
      </c>
      <c r="C568" s="3" t="inlineStr">
        <is>
          <t xml:space="preserve">SKU-D</t>
        </is>
      </c>
      <c r="D568" s="3" t="inlineStr">
        <is>
          <t xml:space="preserve">Daily Duo</t>
        </is>
      </c>
      <c r="E568" s="6">
        <f>IF('Settings'!$B$11="Scenario",IFERROR(INDEX('Catalogue'!$E$3:$E$100,MATCH(C568,'Catalogue'!$B$3:$B$100,0)),F568),F568)</f>
        <v>79</v>
      </c>
      <c r="F568" s="8">
        <v>79</v>
      </c>
      <c r="G568" s="3">
        <v>1</v>
      </c>
      <c r="H568" s="6">
        <f>IF('Settings'!$B$11="Scenario",ROUND(E568*G568*IFERROR(SUMIF('Pricing &amp; promotions'!$A$6:$A$8,L568,'Pricing &amp; promotions'!$B$6:$B$8)/100,0),2),J568)</f>
        <v>0.0</v>
      </c>
      <c r="I568" s="6">
        <f>ROUND((E568*G568-H568)/(1+'Settings'!$B$6/100),2)</f>
        <v>65.29</v>
      </c>
      <c r="J568" s="8">
        <v>0.0</v>
      </c>
      <c r="K568" s="3" t="inlineStr">
        <is>
          <t xml:space="preserve">TRUE</t>
        </is>
      </c>
      <c r="L568" s="3"/>
    </row>
    <row r="569">
      <c r="A569" s="3" t="inlineStr">
        <is>
          <t xml:space="preserve">#1416</t>
        </is>
      </c>
      <c r="B569" s="3" t="inlineStr">
        <is>
          <t xml:space="preserve">2026-04-13</t>
        </is>
      </c>
      <c r="C569" s="3" t="inlineStr">
        <is>
          <t xml:space="preserve">SKU-G</t>
        </is>
      </c>
      <c r="D569" s="3" t="inlineStr">
        <is>
          <t xml:space="preserve">Daily Reset Set</t>
        </is>
      </c>
      <c r="E569" s="6">
        <f>IF('Settings'!$B$11="Scenario",IFERROR(INDEX('Catalogue'!$E$3:$E$100,MATCH(C569,'Catalogue'!$B$3:$B$100,0)),F569),F569)</f>
        <v>69</v>
      </c>
      <c r="F569" s="8">
        <v>69</v>
      </c>
      <c r="G569" s="3">
        <v>1</v>
      </c>
      <c r="H569" s="6">
        <f>IF('Settings'!$B$11="Scenario",ROUND(E569*G569*IFERROR(SUMIF('Pricing &amp; promotions'!$A$6:$A$8,L569,'Pricing &amp; promotions'!$B$6:$B$8)/100,0),2),J569)</f>
        <v>0.0</v>
      </c>
      <c r="I569" s="6">
        <f>ROUND((E569*G569-H569)/(1+'Settings'!$B$6/100),2)</f>
        <v>57.02</v>
      </c>
      <c r="J569" s="8">
        <v>0.0</v>
      </c>
      <c r="K569" s="3" t="inlineStr">
        <is>
          <t xml:space="preserve">TRUE</t>
        </is>
      </c>
      <c r="L569" s="3"/>
    </row>
    <row r="570">
      <c r="A570" s="3" t="inlineStr">
        <is>
          <t xml:space="preserve">#1417</t>
        </is>
      </c>
      <c r="B570" s="3" t="inlineStr">
        <is>
          <t xml:space="preserve">2026-04-14</t>
        </is>
      </c>
      <c r="C570" s="3" t="inlineStr">
        <is>
          <t xml:space="preserve">SKU-F</t>
        </is>
      </c>
      <c r="D570" s="3" t="inlineStr">
        <is>
          <t xml:space="preserve">Cloud Cleanser</t>
        </is>
      </c>
      <c r="E570" s="6">
        <f>IF('Settings'!$B$11="Scenario",IFERROR(INDEX('Catalogue'!$E$3:$E$100,MATCH(C570,'Catalogue'!$B$3:$B$100,0)),F570),F570)</f>
        <v>34</v>
      </c>
      <c r="F570" s="8">
        <v>34</v>
      </c>
      <c r="G570" s="3">
        <v>1</v>
      </c>
      <c r="H570" s="6">
        <f>IF('Settings'!$B$11="Scenario",ROUND(E570*G570*IFERROR(SUMIF('Pricing &amp; promotions'!$A$6:$A$8,L570,'Pricing &amp; promotions'!$B$6:$B$8)/100,0),2),J570)</f>
        <v>0.0</v>
      </c>
      <c r="I570" s="6">
        <f>ROUND((E570*G570-H570)/(1+'Settings'!$B$6/100),2)</f>
        <v>28.1</v>
      </c>
      <c r="J570" s="8">
        <v>0.0</v>
      </c>
      <c r="K570" s="3" t="inlineStr">
        <is>
          <t xml:space="preserve">TRUE</t>
        </is>
      </c>
      <c r="L570" s="3"/>
    </row>
    <row r="571">
      <c r="A571" s="3" t="inlineStr">
        <is>
          <t xml:space="preserve">#1418</t>
        </is>
      </c>
      <c r="B571" s="3" t="inlineStr">
        <is>
          <t xml:space="preserve">2026-04-14</t>
        </is>
      </c>
      <c r="C571" s="3" t="inlineStr">
        <is>
          <t xml:space="preserve">SKU-A</t>
        </is>
      </c>
      <c r="D571" s="3" t="inlineStr">
        <is>
          <t xml:space="preserve">Renewal Serum</t>
        </is>
      </c>
      <c r="E571" s="6">
        <f>IF('Settings'!$B$11="Scenario",IFERROR(INDEX('Catalogue'!$E$3:$E$100,MATCH(C571,'Catalogue'!$B$3:$B$100,0)),F571),F571)</f>
        <v>69.9</v>
      </c>
      <c r="F571" s="8">
        <v>69.9</v>
      </c>
      <c r="G571" s="3">
        <v>1</v>
      </c>
      <c r="H571" s="6">
        <f>IF('Settings'!$B$11="Scenario",ROUND(E571*G571*IFERROR(SUMIF('Pricing &amp; promotions'!$A$6:$A$8,L571,'Pricing &amp; promotions'!$B$6:$B$8)/100,0),2),J571)</f>
        <v>0.0</v>
      </c>
      <c r="I571" s="6">
        <f>ROUND((E571*G571-H571)/(1+'Settings'!$B$6/100),2)</f>
        <v>57.77</v>
      </c>
      <c r="J571" s="8">
        <v>0.0</v>
      </c>
      <c r="K571" s="3" t="inlineStr">
        <is>
          <t xml:space="preserve">TRUE</t>
        </is>
      </c>
      <c r="L571" s="3"/>
    </row>
    <row r="572">
      <c r="A572" s="3" t="inlineStr">
        <is>
          <t xml:space="preserve">#1419</t>
        </is>
      </c>
      <c r="B572" s="3" t="inlineStr">
        <is>
          <t xml:space="preserve">2026-04-15</t>
        </is>
      </c>
      <c r="C572" s="3" t="inlineStr">
        <is>
          <t xml:space="preserve">SKU-D</t>
        </is>
      </c>
      <c r="D572" s="3" t="inlineStr">
        <is>
          <t xml:space="preserve">Daily Duo</t>
        </is>
      </c>
      <c r="E572" s="6">
        <f>IF('Settings'!$B$11="Scenario",IFERROR(INDEX('Catalogue'!$E$3:$E$100,MATCH(C572,'Catalogue'!$B$3:$B$100,0)),F572),F572)</f>
        <v>79</v>
      </c>
      <c r="F572" s="8">
        <v>79</v>
      </c>
      <c r="G572" s="3">
        <v>1</v>
      </c>
      <c r="H572" s="6">
        <f>IF('Settings'!$B$11="Scenario",ROUND(E572*G572*IFERROR(SUMIF('Pricing &amp; promotions'!$A$6:$A$8,L572,'Pricing &amp; promotions'!$B$6:$B$8)/100,0),2),J572)</f>
        <v>0.0</v>
      </c>
      <c r="I572" s="6">
        <f>ROUND((E572*G572-H572)/(1+'Settings'!$B$6/100),2)</f>
        <v>65.29</v>
      </c>
      <c r="J572" s="8">
        <v>0.0</v>
      </c>
      <c r="K572" s="3" t="inlineStr">
        <is>
          <t xml:space="preserve">TRUE</t>
        </is>
      </c>
      <c r="L572" s="3"/>
    </row>
    <row r="573">
      <c r="A573" s="3" t="inlineStr">
        <is>
          <t xml:space="preserve">#1420</t>
        </is>
      </c>
      <c r="B573" s="3" t="inlineStr">
        <is>
          <t xml:space="preserve">2026-04-15</t>
        </is>
      </c>
      <c r="C573" s="3" t="inlineStr">
        <is>
          <t xml:space="preserve">SKU-E</t>
        </is>
      </c>
      <c r="D573" s="3" t="inlineStr">
        <is>
          <t xml:space="preserve">Complete Ritual</t>
        </is>
      </c>
      <c r="E573" s="6">
        <f>IF('Settings'!$B$11="Scenario",IFERROR(INDEX('Catalogue'!$E$3:$E$100,MATCH(C573,'Catalogue'!$B$3:$B$100,0)),F573),F573)</f>
        <v>89</v>
      </c>
      <c r="F573" s="8">
        <v>89</v>
      </c>
      <c r="G573" s="3">
        <v>1</v>
      </c>
      <c r="H573" s="6">
        <f>IF('Settings'!$B$11="Scenario",ROUND(E573*G573*IFERROR(SUMIF('Pricing &amp; promotions'!$A$6:$A$8,L573,'Pricing &amp; promotions'!$B$6:$B$8)/100,0),2),J573)</f>
        <v>0.0</v>
      </c>
      <c r="I573" s="6">
        <f>ROUND((E573*G573-H573)/(1+'Settings'!$B$6/100),2)</f>
        <v>73.55</v>
      </c>
      <c r="J573" s="8">
        <v>0.0</v>
      </c>
      <c r="K573" s="3" t="inlineStr">
        <is>
          <t xml:space="preserve">TRUE</t>
        </is>
      </c>
      <c r="L573" s="3"/>
    </row>
    <row r="574">
      <c r="A574" s="3" t="inlineStr">
        <is>
          <t xml:space="preserve">#1421</t>
        </is>
      </c>
      <c r="B574" s="3" t="inlineStr">
        <is>
          <t xml:space="preserve">2026-04-15</t>
        </is>
      </c>
      <c r="C574" s="3" t="inlineStr">
        <is>
          <t xml:space="preserve">SKU-G</t>
        </is>
      </c>
      <c r="D574" s="3" t="inlineStr">
        <is>
          <t xml:space="preserve">Daily Reset Set</t>
        </is>
      </c>
      <c r="E574" s="6">
        <f>IF('Settings'!$B$11="Scenario",IFERROR(INDEX('Catalogue'!$E$3:$E$100,MATCH(C574,'Catalogue'!$B$3:$B$100,0)),F574),F574)</f>
        <v>69</v>
      </c>
      <c r="F574" s="8">
        <v>69</v>
      </c>
      <c r="G574" s="3">
        <v>1</v>
      </c>
      <c r="H574" s="6">
        <f>IF('Settings'!$B$11="Scenario",ROUND(E574*G574*IFERROR(SUMIF('Pricing &amp; promotions'!$A$6:$A$8,L574,'Pricing &amp; promotions'!$B$6:$B$8)/100,0),2),J574)</f>
        <v>6.9</v>
      </c>
      <c r="I574" s="6">
        <f>ROUND((E574*G574-H574)/(1+'Settings'!$B$6/100),2)</f>
        <v>51.32</v>
      </c>
      <c r="J574" s="8">
        <v>6.9</v>
      </c>
      <c r="K574" s="3" t="inlineStr">
        <is>
          <t xml:space="preserve">TRUE</t>
        </is>
      </c>
      <c r="L574" s="3" t="inlineStr">
        <is>
          <t xml:space="preserve">WELCOME10</t>
        </is>
      </c>
    </row>
    <row r="575">
      <c r="A575" s="3" t="inlineStr">
        <is>
          <t xml:space="preserve">#1422</t>
        </is>
      </c>
      <c r="B575" s="3" t="inlineStr">
        <is>
          <t xml:space="preserve">2026-04-16</t>
        </is>
      </c>
      <c r="C575" s="3" t="inlineStr">
        <is>
          <t xml:space="preserve">SKU-D</t>
        </is>
      </c>
      <c r="D575" s="3" t="inlineStr">
        <is>
          <t xml:space="preserve">Daily Duo</t>
        </is>
      </c>
      <c r="E575" s="6">
        <f>IF('Settings'!$B$11="Scenario",IFERROR(INDEX('Catalogue'!$E$3:$E$100,MATCH(C575,'Catalogue'!$B$3:$B$100,0)),F575),F575)</f>
        <v>79</v>
      </c>
      <c r="F575" s="8">
        <v>79</v>
      </c>
      <c r="G575" s="3">
        <v>1</v>
      </c>
      <c r="H575" s="6">
        <f>IF('Settings'!$B$11="Scenario",ROUND(E575*G575*IFERROR(SUMIF('Pricing &amp; promotions'!$A$6:$A$8,L575,'Pricing &amp; promotions'!$B$6:$B$8)/100,0),2),J575)</f>
        <v>15.8</v>
      </c>
      <c r="I575" s="6">
        <f>ROUND((E575*G575-H575)/(1+'Settings'!$B$6/100),2)</f>
        <v>52.23</v>
      </c>
      <c r="J575" s="8">
        <v>15.8</v>
      </c>
      <c r="K575" s="3" t="inlineStr">
        <is>
          <t xml:space="preserve">TRUE</t>
        </is>
      </c>
      <c r="L575" s="3" t="inlineStr">
        <is>
          <t xml:space="preserve">VIP20</t>
        </is>
      </c>
    </row>
    <row r="576">
      <c r="A576" s="3" t="inlineStr">
        <is>
          <t xml:space="preserve">#1423</t>
        </is>
      </c>
      <c r="B576" s="3" t="inlineStr">
        <is>
          <t xml:space="preserve">2026-04-16</t>
        </is>
      </c>
      <c r="C576" s="3" t="inlineStr">
        <is>
          <t xml:space="preserve">SKU-E</t>
        </is>
      </c>
      <c r="D576" s="3" t="inlineStr">
        <is>
          <t xml:space="preserve">Complete Ritual</t>
        </is>
      </c>
      <c r="E576" s="6">
        <f>IF('Settings'!$B$11="Scenario",IFERROR(INDEX('Catalogue'!$E$3:$E$100,MATCH(C576,'Catalogue'!$B$3:$B$100,0)),F576),F576)</f>
        <v>89</v>
      </c>
      <c r="F576" s="8">
        <v>89</v>
      </c>
      <c r="G576" s="3">
        <v>1</v>
      </c>
      <c r="H576" s="6">
        <f>IF('Settings'!$B$11="Scenario",ROUND(E576*G576*IFERROR(SUMIF('Pricing &amp; promotions'!$A$6:$A$8,L576,'Pricing &amp; promotions'!$B$6:$B$8)/100,0),2),J576)</f>
        <v>17.8</v>
      </c>
      <c r="I576" s="6">
        <f>ROUND((E576*G576-H576)/(1+'Settings'!$B$6/100),2)</f>
        <v>58.84</v>
      </c>
      <c r="J576" s="8">
        <v>17.8</v>
      </c>
      <c r="K576" s="3" t="inlineStr">
        <is>
          <t xml:space="preserve">TRUE</t>
        </is>
      </c>
      <c r="L576" s="3" t="inlineStr">
        <is>
          <t xml:space="preserve">VIP20</t>
        </is>
      </c>
    </row>
    <row r="577">
      <c r="A577" s="3" t="inlineStr">
        <is>
          <t xml:space="preserve">#1424</t>
        </is>
      </c>
      <c r="B577" s="3" t="inlineStr">
        <is>
          <t xml:space="preserve">2026-04-16</t>
        </is>
      </c>
      <c r="C577" s="3" t="inlineStr">
        <is>
          <t xml:space="preserve">SKU-A</t>
        </is>
      </c>
      <c r="D577" s="3" t="inlineStr">
        <is>
          <t xml:space="preserve">Renewal Serum</t>
        </is>
      </c>
      <c r="E577" s="6">
        <f>IF('Settings'!$B$11="Scenario",IFERROR(INDEX('Catalogue'!$E$3:$E$100,MATCH(C577,'Catalogue'!$B$3:$B$100,0)),F577),F577)</f>
        <v>69.9</v>
      </c>
      <c r="F577" s="8">
        <v>69.9</v>
      </c>
      <c r="G577" s="3">
        <v>1</v>
      </c>
      <c r="H577" s="6">
        <f>IF('Settings'!$B$11="Scenario",ROUND(E577*G577*IFERROR(SUMIF('Pricing &amp; promotions'!$A$6:$A$8,L577,'Pricing &amp; promotions'!$B$6:$B$8)/100,0),2),J577)</f>
        <v>0.0</v>
      </c>
      <c r="I577" s="6">
        <f>ROUND((E577*G577-H577)/(1+'Settings'!$B$6/100),2)</f>
        <v>57.77</v>
      </c>
      <c r="J577" s="8">
        <v>0.0</v>
      </c>
      <c r="K577" s="3" t="inlineStr">
        <is>
          <t xml:space="preserve">TRUE</t>
        </is>
      </c>
      <c r="L577" s="3"/>
    </row>
    <row r="578">
      <c r="A578" s="3" t="inlineStr">
        <is>
          <t xml:space="preserve">#1425</t>
        </is>
      </c>
      <c r="B578" s="3" t="inlineStr">
        <is>
          <t xml:space="preserve">2026-04-17</t>
        </is>
      </c>
      <c r="C578" s="3" t="inlineStr">
        <is>
          <t xml:space="preserve">SKU-D</t>
        </is>
      </c>
      <c r="D578" s="3" t="inlineStr">
        <is>
          <t xml:space="preserve">Daily Duo</t>
        </is>
      </c>
      <c r="E578" s="6">
        <f>IF('Settings'!$B$11="Scenario",IFERROR(INDEX('Catalogue'!$E$3:$E$100,MATCH(C578,'Catalogue'!$B$3:$B$100,0)),F578),F578)</f>
        <v>79</v>
      </c>
      <c r="F578" s="8">
        <v>79</v>
      </c>
      <c r="G578" s="3">
        <v>1</v>
      </c>
      <c r="H578" s="6">
        <f>IF('Settings'!$B$11="Scenario",ROUND(E578*G578*IFERROR(SUMIF('Pricing &amp; promotions'!$A$6:$A$8,L578,'Pricing &amp; promotions'!$B$6:$B$8)/100,0),2),J578)</f>
        <v>0.0</v>
      </c>
      <c r="I578" s="6">
        <f>ROUND((E578*G578-H578)/(1+'Settings'!$B$6/100),2)</f>
        <v>65.29</v>
      </c>
      <c r="J578" s="8">
        <v>0.0</v>
      </c>
      <c r="K578" s="3" t="inlineStr">
        <is>
          <t xml:space="preserve">TRUE</t>
        </is>
      </c>
      <c r="L578" s="3"/>
    </row>
    <row r="579">
      <c r="A579" s="3" t="inlineStr">
        <is>
          <t xml:space="preserve">#1426</t>
        </is>
      </c>
      <c r="B579" s="3" t="inlineStr">
        <is>
          <t xml:space="preserve">2026-04-17</t>
        </is>
      </c>
      <c r="C579" s="3" t="inlineStr">
        <is>
          <t xml:space="preserve">SKU-D</t>
        </is>
      </c>
      <c r="D579" s="3" t="inlineStr">
        <is>
          <t xml:space="preserve">Daily Duo</t>
        </is>
      </c>
      <c r="E579" s="6">
        <f>IF('Settings'!$B$11="Scenario",IFERROR(INDEX('Catalogue'!$E$3:$E$100,MATCH(C579,'Catalogue'!$B$3:$B$100,0)),F579),F579)</f>
        <v>79</v>
      </c>
      <c r="F579" s="8">
        <v>79</v>
      </c>
      <c r="G579" s="3">
        <v>1</v>
      </c>
      <c r="H579" s="6">
        <f>IF('Settings'!$B$11="Scenario",ROUND(E579*G579*IFERROR(SUMIF('Pricing &amp; promotions'!$A$6:$A$8,L579,'Pricing &amp; promotions'!$B$6:$B$8)/100,0),2),J579)</f>
        <v>7.9</v>
      </c>
      <c r="I579" s="6">
        <f>ROUND((E579*G579-H579)/(1+'Settings'!$B$6/100),2)</f>
        <v>58.76</v>
      </c>
      <c r="J579" s="8">
        <v>7.9</v>
      </c>
      <c r="K579" s="3" t="inlineStr">
        <is>
          <t xml:space="preserve">TRUE</t>
        </is>
      </c>
      <c r="L579" s="3" t="inlineStr">
        <is>
          <t xml:space="preserve">WELCOME10</t>
        </is>
      </c>
    </row>
    <row r="580">
      <c r="A580" s="3" t="inlineStr">
        <is>
          <t xml:space="preserve">#1426</t>
        </is>
      </c>
      <c r="B580" s="3" t="inlineStr">
        <is>
          <t xml:space="preserve">2026-04-17</t>
        </is>
      </c>
      <c r="C580" s="3" t="inlineStr">
        <is>
          <t xml:space="preserve">SKU-E</t>
        </is>
      </c>
      <c r="D580" s="3" t="inlineStr">
        <is>
          <t xml:space="preserve">Complete Ritual</t>
        </is>
      </c>
      <c r="E580" s="6">
        <f>IF('Settings'!$B$11="Scenario",IFERROR(INDEX('Catalogue'!$E$3:$E$100,MATCH(C580,'Catalogue'!$B$3:$B$100,0)),F580),F580)</f>
        <v>89</v>
      </c>
      <c r="F580" s="8">
        <v>89</v>
      </c>
      <c r="G580" s="3">
        <v>1</v>
      </c>
      <c r="H580" s="6">
        <f>IF('Settings'!$B$11="Scenario",ROUND(E580*G580*IFERROR(SUMIF('Pricing &amp; promotions'!$A$6:$A$8,L580,'Pricing &amp; promotions'!$B$6:$B$8)/100,0),2),J580)</f>
        <v>8.9</v>
      </c>
      <c r="I580" s="6">
        <f>ROUND((E580*G580-H580)/(1+'Settings'!$B$6/100),2)</f>
        <v>66.2</v>
      </c>
      <c r="J580" s="8">
        <v>8.9</v>
      </c>
      <c r="K580" s="3" t="inlineStr">
        <is>
          <t xml:space="preserve">TRUE</t>
        </is>
      </c>
      <c r="L580" s="3" t="inlineStr">
        <is>
          <t xml:space="preserve">WELCOME10</t>
        </is>
      </c>
    </row>
    <row r="581">
      <c r="A581" s="3" t="inlineStr">
        <is>
          <t xml:space="preserve">#1427</t>
        </is>
      </c>
      <c r="B581" s="3" t="inlineStr">
        <is>
          <t xml:space="preserve">2026-04-19</t>
        </is>
      </c>
      <c r="C581" s="3" t="inlineStr">
        <is>
          <t xml:space="preserve">SKU-D</t>
        </is>
      </c>
      <c r="D581" s="3" t="inlineStr">
        <is>
          <t xml:space="preserve">Daily Duo</t>
        </is>
      </c>
      <c r="E581" s="6">
        <f>IF('Settings'!$B$11="Scenario",IFERROR(INDEX('Catalogue'!$E$3:$E$100,MATCH(C581,'Catalogue'!$B$3:$B$100,0)),F581),F581)</f>
        <v>79</v>
      </c>
      <c r="F581" s="8">
        <v>79</v>
      </c>
      <c r="G581" s="3">
        <v>2</v>
      </c>
      <c r="H581" s="6">
        <f>IF('Settings'!$B$11="Scenario",ROUND(E581*G581*IFERROR(SUMIF('Pricing &amp; promotions'!$A$6:$A$8,L581,'Pricing &amp; promotions'!$B$6:$B$8)/100,0),2),J581)</f>
        <v>0.0</v>
      </c>
      <c r="I581" s="6">
        <f>ROUND((E581*G581-H581)/(1+'Settings'!$B$6/100),2)</f>
        <v>130.58</v>
      </c>
      <c r="J581" s="8">
        <v>0.0</v>
      </c>
      <c r="K581" s="3" t="inlineStr">
        <is>
          <t xml:space="preserve">TRUE</t>
        </is>
      </c>
      <c r="L581" s="3"/>
    </row>
    <row r="582">
      <c r="A582" s="3" t="inlineStr">
        <is>
          <t xml:space="preserve">#1428</t>
        </is>
      </c>
      <c r="B582" s="3" t="inlineStr">
        <is>
          <t xml:space="preserve">2026-04-19</t>
        </is>
      </c>
      <c r="C582" s="3" t="inlineStr">
        <is>
          <t xml:space="preserve">SKU-E</t>
        </is>
      </c>
      <c r="D582" s="3" t="inlineStr">
        <is>
          <t xml:space="preserve">Complete Ritual</t>
        </is>
      </c>
      <c r="E582" s="6">
        <f>IF('Settings'!$B$11="Scenario",IFERROR(INDEX('Catalogue'!$E$3:$E$100,MATCH(C582,'Catalogue'!$B$3:$B$100,0)),F582),F582)</f>
        <v>89</v>
      </c>
      <c r="F582" s="8">
        <v>89</v>
      </c>
      <c r="G582" s="3">
        <v>2</v>
      </c>
      <c r="H582" s="6">
        <f>IF('Settings'!$B$11="Scenario",ROUND(E582*G582*IFERROR(SUMIF('Pricing &amp; promotions'!$A$6:$A$8,L582,'Pricing &amp; promotions'!$B$6:$B$8)/100,0),2),J582)</f>
        <v>26.7</v>
      </c>
      <c r="I582" s="6">
        <f>ROUND((E582*G582-H582)/(1+'Settings'!$B$6/100),2)</f>
        <v>125.04</v>
      </c>
      <c r="J582" s="8">
        <v>26.7</v>
      </c>
      <c r="K582" s="3" t="inlineStr">
        <is>
          <t xml:space="preserve">TRUE</t>
        </is>
      </c>
      <c r="L582" s="3" t="inlineStr">
        <is>
          <t xml:space="preserve">SUMMER15</t>
        </is>
      </c>
    </row>
    <row r="583">
      <c r="A583" s="3" t="inlineStr">
        <is>
          <t xml:space="preserve">#1428</t>
        </is>
      </c>
      <c r="B583" s="3" t="inlineStr">
        <is>
          <t xml:space="preserve">2026-04-19</t>
        </is>
      </c>
      <c r="C583" s="3" t="inlineStr">
        <is>
          <t xml:space="preserve">SKU-G</t>
        </is>
      </c>
      <c r="D583" s="3" t="inlineStr">
        <is>
          <t xml:space="preserve">Daily Reset Set</t>
        </is>
      </c>
      <c r="E583" s="6">
        <f>IF('Settings'!$B$11="Scenario",IFERROR(INDEX('Catalogue'!$E$3:$E$100,MATCH(C583,'Catalogue'!$B$3:$B$100,0)),F583),F583)</f>
        <v>69</v>
      </c>
      <c r="F583" s="8">
        <v>69</v>
      </c>
      <c r="G583" s="3">
        <v>1</v>
      </c>
      <c r="H583" s="6">
        <f>IF('Settings'!$B$11="Scenario",ROUND(E583*G583*IFERROR(SUMIF('Pricing &amp; promotions'!$A$6:$A$8,L583,'Pricing &amp; promotions'!$B$6:$B$8)/100,0),2),J583)</f>
        <v>10.35</v>
      </c>
      <c r="I583" s="6">
        <f>ROUND((E583*G583-H583)/(1+'Settings'!$B$6/100),2)</f>
        <v>48.47</v>
      </c>
      <c r="J583" s="8">
        <v>10.35</v>
      </c>
      <c r="K583" s="3" t="inlineStr">
        <is>
          <t xml:space="preserve">TRUE</t>
        </is>
      </c>
      <c r="L583" s="3" t="inlineStr">
        <is>
          <t xml:space="preserve">SUMMER15</t>
        </is>
      </c>
    </row>
    <row r="584">
      <c r="A584" s="3" t="inlineStr">
        <is>
          <t xml:space="preserve">#1429</t>
        </is>
      </c>
      <c r="B584" s="3" t="inlineStr">
        <is>
          <t xml:space="preserve">2026-04-19</t>
        </is>
      </c>
      <c r="C584" s="3" t="inlineStr">
        <is>
          <t xml:space="preserve">SKU-D</t>
        </is>
      </c>
      <c r="D584" s="3" t="inlineStr">
        <is>
          <t xml:space="preserve">Daily Duo</t>
        </is>
      </c>
      <c r="E584" s="6">
        <f>IF('Settings'!$B$11="Scenario",IFERROR(INDEX('Catalogue'!$E$3:$E$100,MATCH(C584,'Catalogue'!$B$3:$B$100,0)),F584),F584)</f>
        <v>79</v>
      </c>
      <c r="F584" s="8">
        <v>79</v>
      </c>
      <c r="G584" s="3">
        <v>1</v>
      </c>
      <c r="H584" s="6">
        <f>IF('Settings'!$B$11="Scenario",ROUND(E584*G584*IFERROR(SUMIF('Pricing &amp; promotions'!$A$6:$A$8,L584,'Pricing &amp; promotions'!$B$6:$B$8)/100,0),2),J584)</f>
        <v>0.0</v>
      </c>
      <c r="I584" s="6">
        <f>ROUND((E584*G584-H584)/(1+'Settings'!$B$6/100),2)</f>
        <v>65.29</v>
      </c>
      <c r="J584" s="8">
        <v>0.0</v>
      </c>
      <c r="K584" s="3" t="inlineStr">
        <is>
          <t xml:space="preserve">TRUE</t>
        </is>
      </c>
      <c r="L584" s="3"/>
    </row>
    <row r="585">
      <c r="A585" s="3" t="inlineStr">
        <is>
          <t xml:space="preserve">#1430</t>
        </is>
      </c>
      <c r="B585" s="3" t="inlineStr">
        <is>
          <t xml:space="preserve">2026-04-20</t>
        </is>
      </c>
      <c r="C585" s="3" t="inlineStr">
        <is>
          <t xml:space="preserve">SKU-G</t>
        </is>
      </c>
      <c r="D585" s="3" t="inlineStr">
        <is>
          <t xml:space="preserve">Daily Reset Set</t>
        </is>
      </c>
      <c r="E585" s="6">
        <f>IF('Settings'!$B$11="Scenario",IFERROR(INDEX('Catalogue'!$E$3:$E$100,MATCH(C585,'Catalogue'!$B$3:$B$100,0)),F585),F585)</f>
        <v>69</v>
      </c>
      <c r="F585" s="8">
        <v>69</v>
      </c>
      <c r="G585" s="3">
        <v>1</v>
      </c>
      <c r="H585" s="6">
        <f>IF('Settings'!$B$11="Scenario",ROUND(E585*G585*IFERROR(SUMIF('Pricing &amp; promotions'!$A$6:$A$8,L585,'Pricing &amp; promotions'!$B$6:$B$8)/100,0),2),J585)</f>
        <v>10.35</v>
      </c>
      <c r="I585" s="6">
        <f>ROUND((E585*G585-H585)/(1+'Settings'!$B$6/100),2)</f>
        <v>48.47</v>
      </c>
      <c r="J585" s="8">
        <v>10.35</v>
      </c>
      <c r="K585" s="3" t="inlineStr">
        <is>
          <t xml:space="preserve">TRUE</t>
        </is>
      </c>
      <c r="L585" s="3" t="inlineStr">
        <is>
          <t xml:space="preserve">SUMMER15</t>
        </is>
      </c>
    </row>
    <row r="586">
      <c r="A586" s="3" t="inlineStr">
        <is>
          <t xml:space="preserve">#1430</t>
        </is>
      </c>
      <c r="B586" s="3" t="inlineStr">
        <is>
          <t xml:space="preserve">2026-04-20</t>
        </is>
      </c>
      <c r="C586" s="3" t="inlineStr">
        <is>
          <t xml:space="preserve">SKU-A</t>
        </is>
      </c>
      <c r="D586" s="3" t="inlineStr">
        <is>
          <t xml:space="preserve">Renewal Serum</t>
        </is>
      </c>
      <c r="E586" s="6">
        <f>IF('Settings'!$B$11="Scenario",IFERROR(INDEX('Catalogue'!$E$3:$E$100,MATCH(C586,'Catalogue'!$B$3:$B$100,0)),F586),F586)</f>
        <v>69.9</v>
      </c>
      <c r="F586" s="8">
        <v>69.9</v>
      </c>
      <c r="G586" s="3">
        <v>1</v>
      </c>
      <c r="H586" s="6">
        <f>IF('Settings'!$B$11="Scenario",ROUND(E586*G586*IFERROR(SUMIF('Pricing &amp; promotions'!$A$6:$A$8,L586,'Pricing &amp; promotions'!$B$6:$B$8)/100,0),2),J586)</f>
        <v>10.49</v>
      </c>
      <c r="I586" s="6">
        <f>ROUND((E586*G586-H586)/(1+'Settings'!$B$6/100),2)</f>
        <v>49.1</v>
      </c>
      <c r="J586" s="8">
        <v>10.49</v>
      </c>
      <c r="K586" s="3" t="inlineStr">
        <is>
          <t xml:space="preserve">TRUE</t>
        </is>
      </c>
      <c r="L586" s="3" t="inlineStr">
        <is>
          <t xml:space="preserve">SUMMER15</t>
        </is>
      </c>
    </row>
    <row r="587">
      <c r="A587" s="3" t="inlineStr">
        <is>
          <t xml:space="preserve">#1431</t>
        </is>
      </c>
      <c r="B587" s="3" t="inlineStr">
        <is>
          <t xml:space="preserve">2026-04-20</t>
        </is>
      </c>
      <c r="C587" s="3" t="inlineStr">
        <is>
          <t xml:space="preserve">SKU-D</t>
        </is>
      </c>
      <c r="D587" s="3" t="inlineStr">
        <is>
          <t xml:space="preserve">Daily Duo</t>
        </is>
      </c>
      <c r="E587" s="6">
        <f>IF('Settings'!$B$11="Scenario",IFERROR(INDEX('Catalogue'!$E$3:$E$100,MATCH(C587,'Catalogue'!$B$3:$B$100,0)),F587),F587)</f>
        <v>79</v>
      </c>
      <c r="F587" s="8">
        <v>79</v>
      </c>
      <c r="G587" s="3">
        <v>1</v>
      </c>
      <c r="H587" s="6">
        <f>IF('Settings'!$B$11="Scenario",ROUND(E587*G587*IFERROR(SUMIF('Pricing &amp; promotions'!$A$6:$A$8,L587,'Pricing &amp; promotions'!$B$6:$B$8)/100,0),2),J587)</f>
        <v>0.0</v>
      </c>
      <c r="I587" s="6">
        <f>ROUND((E587*G587-H587)/(1+'Settings'!$B$6/100),2)</f>
        <v>65.29</v>
      </c>
      <c r="J587" s="8">
        <v>0.0</v>
      </c>
      <c r="K587" s="3" t="inlineStr">
        <is>
          <t xml:space="preserve">TRUE</t>
        </is>
      </c>
      <c r="L587" s="3"/>
    </row>
    <row r="588">
      <c r="A588" s="3" t="inlineStr">
        <is>
          <t xml:space="preserve">#1432</t>
        </is>
      </c>
      <c r="B588" s="3" t="inlineStr">
        <is>
          <t xml:space="preserve">2026-04-21</t>
        </is>
      </c>
      <c r="C588" s="3" t="inlineStr">
        <is>
          <t xml:space="preserve">SKU-E</t>
        </is>
      </c>
      <c r="D588" s="3" t="inlineStr">
        <is>
          <t xml:space="preserve">Complete Ritual</t>
        </is>
      </c>
      <c r="E588" s="6">
        <f>IF('Settings'!$B$11="Scenario",IFERROR(INDEX('Catalogue'!$E$3:$E$100,MATCH(C588,'Catalogue'!$B$3:$B$100,0)),F588),F588)</f>
        <v>89</v>
      </c>
      <c r="F588" s="8">
        <v>89</v>
      </c>
      <c r="G588" s="3">
        <v>1</v>
      </c>
      <c r="H588" s="6">
        <f>IF('Settings'!$B$11="Scenario",ROUND(E588*G588*IFERROR(SUMIF('Pricing &amp; promotions'!$A$6:$A$8,L588,'Pricing &amp; promotions'!$B$6:$B$8)/100,0),2),J588)</f>
        <v>0.0</v>
      </c>
      <c r="I588" s="6">
        <f>ROUND((E588*G588-H588)/(1+'Settings'!$B$6/100),2)</f>
        <v>73.55</v>
      </c>
      <c r="J588" s="8">
        <v>0.0</v>
      </c>
      <c r="K588" s="3" t="inlineStr">
        <is>
          <t xml:space="preserve">TRUE</t>
        </is>
      </c>
      <c r="L588" s="3"/>
    </row>
    <row r="589">
      <c r="A589" s="3" t="inlineStr">
        <is>
          <t xml:space="preserve">#1432</t>
        </is>
      </c>
      <c r="B589" s="3" t="inlineStr">
        <is>
          <t xml:space="preserve">2026-04-21</t>
        </is>
      </c>
      <c r="C589" s="3" t="inlineStr">
        <is>
          <t xml:space="preserve">SKU-B</t>
        </is>
      </c>
      <c r="D589" s="3" t="inlineStr">
        <is>
          <t xml:space="preserve">Barrier Balm</t>
        </is>
      </c>
      <c r="E589" s="6">
        <f>IF('Settings'!$B$11="Scenario",IFERROR(INDEX('Catalogue'!$E$3:$E$100,MATCH(C589,'Catalogue'!$B$3:$B$100,0)),F589),F589)</f>
        <v>19</v>
      </c>
      <c r="F589" s="8">
        <v>19</v>
      </c>
      <c r="G589" s="3">
        <v>1</v>
      </c>
      <c r="H589" s="6">
        <f>IF('Settings'!$B$11="Scenario",ROUND(E589*G589*IFERROR(SUMIF('Pricing &amp; promotions'!$A$6:$A$8,L589,'Pricing &amp; promotions'!$B$6:$B$8)/100,0),2),J589)</f>
        <v>0.0</v>
      </c>
      <c r="I589" s="6">
        <f>ROUND((E589*G589-H589)/(1+'Settings'!$B$6/100),2)</f>
        <v>15.7</v>
      </c>
      <c r="J589" s="8">
        <v>0.0</v>
      </c>
      <c r="K589" s="3" t="inlineStr">
        <is>
          <t xml:space="preserve">TRUE</t>
        </is>
      </c>
      <c r="L589" s="3"/>
    </row>
    <row r="590">
      <c r="A590" s="3" t="inlineStr">
        <is>
          <t xml:space="preserve">#1433</t>
        </is>
      </c>
      <c r="B590" s="3" t="inlineStr">
        <is>
          <t xml:space="preserve">2026-04-22</t>
        </is>
      </c>
      <c r="C590" s="3" t="inlineStr">
        <is>
          <t xml:space="preserve">SKU-A</t>
        </is>
      </c>
      <c r="D590" s="3" t="inlineStr">
        <is>
          <t xml:space="preserve">Renewal Serum</t>
        </is>
      </c>
      <c r="E590" s="6">
        <f>IF('Settings'!$B$11="Scenario",IFERROR(INDEX('Catalogue'!$E$3:$E$100,MATCH(C590,'Catalogue'!$B$3:$B$100,0)),F590),F590)</f>
        <v>69.9</v>
      </c>
      <c r="F590" s="8">
        <v>69.9</v>
      </c>
      <c r="G590" s="3">
        <v>1</v>
      </c>
      <c r="H590" s="6">
        <f>IF('Settings'!$B$11="Scenario",ROUND(E590*G590*IFERROR(SUMIF('Pricing &amp; promotions'!$A$6:$A$8,L590,'Pricing &amp; promotions'!$B$6:$B$8)/100,0),2),J590)</f>
        <v>0.0</v>
      </c>
      <c r="I590" s="6">
        <f>ROUND((E590*G590-H590)/(1+'Settings'!$B$6/100),2)</f>
        <v>57.77</v>
      </c>
      <c r="J590" s="8">
        <v>0.0</v>
      </c>
      <c r="K590" s="3" t="inlineStr">
        <is>
          <t xml:space="preserve">TRUE</t>
        </is>
      </c>
      <c r="L590" s="3"/>
    </row>
    <row r="591">
      <c r="A591" s="3" t="inlineStr">
        <is>
          <t xml:space="preserve">#1433</t>
        </is>
      </c>
      <c r="B591" s="3" t="inlineStr">
        <is>
          <t xml:space="preserve">2026-04-22</t>
        </is>
      </c>
      <c r="C591" s="3" t="inlineStr">
        <is>
          <t xml:space="preserve">SKU-G</t>
        </is>
      </c>
      <c r="D591" s="3" t="inlineStr">
        <is>
          <t xml:space="preserve">Daily Reset Set</t>
        </is>
      </c>
      <c r="E591" s="6">
        <f>IF('Settings'!$B$11="Scenario",IFERROR(INDEX('Catalogue'!$E$3:$E$100,MATCH(C591,'Catalogue'!$B$3:$B$100,0)),F591),F591)</f>
        <v>69</v>
      </c>
      <c r="F591" s="8">
        <v>69</v>
      </c>
      <c r="G591" s="3">
        <v>2</v>
      </c>
      <c r="H591" s="6">
        <f>IF('Settings'!$B$11="Scenario",ROUND(E591*G591*IFERROR(SUMIF('Pricing &amp; promotions'!$A$6:$A$8,L591,'Pricing &amp; promotions'!$B$6:$B$8)/100,0),2),J591)</f>
        <v>0.0</v>
      </c>
      <c r="I591" s="6">
        <f>ROUND((E591*G591-H591)/(1+'Settings'!$B$6/100),2)</f>
        <v>114.05</v>
      </c>
      <c r="J591" s="8">
        <v>0.0</v>
      </c>
      <c r="K591" s="3" t="inlineStr">
        <is>
          <t xml:space="preserve">TRUE</t>
        </is>
      </c>
      <c r="L591" s="3"/>
    </row>
    <row r="592">
      <c r="A592" s="3" t="inlineStr">
        <is>
          <t xml:space="preserve">#1434</t>
        </is>
      </c>
      <c r="B592" s="3" t="inlineStr">
        <is>
          <t xml:space="preserve">2026-04-22</t>
        </is>
      </c>
      <c r="C592" s="3" t="inlineStr">
        <is>
          <t xml:space="preserve">SKU-G</t>
        </is>
      </c>
      <c r="D592" s="3" t="inlineStr">
        <is>
          <t xml:space="preserve">Daily Reset Set</t>
        </is>
      </c>
      <c r="E592" s="6">
        <f>IF('Settings'!$B$11="Scenario",IFERROR(INDEX('Catalogue'!$E$3:$E$100,MATCH(C592,'Catalogue'!$B$3:$B$100,0)),F592),F592)</f>
        <v>69</v>
      </c>
      <c r="F592" s="8">
        <v>69</v>
      </c>
      <c r="G592" s="3">
        <v>2</v>
      </c>
      <c r="H592" s="6">
        <f>IF('Settings'!$B$11="Scenario",ROUND(E592*G592*IFERROR(SUMIF('Pricing &amp; promotions'!$A$6:$A$8,L592,'Pricing &amp; promotions'!$B$6:$B$8)/100,0),2),J592)</f>
        <v>20.7</v>
      </c>
      <c r="I592" s="6">
        <f>ROUND((E592*G592-H592)/(1+'Settings'!$B$6/100),2)</f>
        <v>96.94</v>
      </c>
      <c r="J592" s="8">
        <v>20.7</v>
      </c>
      <c r="K592" s="3" t="inlineStr">
        <is>
          <t xml:space="preserve">TRUE</t>
        </is>
      </c>
      <c r="L592" s="3" t="inlineStr">
        <is>
          <t xml:space="preserve">SUMMER15</t>
        </is>
      </c>
    </row>
    <row r="593">
      <c r="A593" s="3" t="inlineStr">
        <is>
          <t xml:space="preserve">#1435</t>
        </is>
      </c>
      <c r="B593" s="3" t="inlineStr">
        <is>
          <t xml:space="preserve">2026-04-24</t>
        </is>
      </c>
      <c r="C593" s="3" t="inlineStr">
        <is>
          <t xml:space="preserve">SKU-D</t>
        </is>
      </c>
      <c r="D593" s="3" t="inlineStr">
        <is>
          <t xml:space="preserve">Daily Duo</t>
        </is>
      </c>
      <c r="E593" s="6">
        <f>IF('Settings'!$B$11="Scenario",IFERROR(INDEX('Catalogue'!$E$3:$E$100,MATCH(C593,'Catalogue'!$B$3:$B$100,0)),F593),F593)</f>
        <v>79</v>
      </c>
      <c r="F593" s="8">
        <v>79</v>
      </c>
      <c r="G593" s="3">
        <v>2</v>
      </c>
      <c r="H593" s="6">
        <f>IF('Settings'!$B$11="Scenario",ROUND(E593*G593*IFERROR(SUMIF('Pricing &amp; promotions'!$A$6:$A$8,L593,'Pricing &amp; promotions'!$B$6:$B$8)/100,0),2),J593)</f>
        <v>23.7</v>
      </c>
      <c r="I593" s="6">
        <f>ROUND((E593*G593-H593)/(1+'Settings'!$B$6/100),2)</f>
        <v>110.99</v>
      </c>
      <c r="J593" s="8">
        <v>23.7</v>
      </c>
      <c r="K593" s="3" t="inlineStr">
        <is>
          <t xml:space="preserve">TRUE</t>
        </is>
      </c>
      <c r="L593" s="3" t="inlineStr">
        <is>
          <t xml:space="preserve">SUMMER15</t>
        </is>
      </c>
    </row>
    <row r="594">
      <c r="A594" s="3" t="inlineStr">
        <is>
          <t xml:space="preserve">#1436</t>
        </is>
      </c>
      <c r="B594" s="3" t="inlineStr">
        <is>
          <t xml:space="preserve">2026-04-24</t>
        </is>
      </c>
      <c r="C594" s="3" t="inlineStr">
        <is>
          <t xml:space="preserve">SKU-A</t>
        </is>
      </c>
      <c r="D594" s="3" t="inlineStr">
        <is>
          <t xml:space="preserve">Renewal Serum</t>
        </is>
      </c>
      <c r="E594" s="6">
        <f>IF('Settings'!$B$11="Scenario",IFERROR(INDEX('Catalogue'!$E$3:$E$100,MATCH(C594,'Catalogue'!$B$3:$B$100,0)),F594),F594)</f>
        <v>69.9</v>
      </c>
      <c r="F594" s="8">
        <v>69.9</v>
      </c>
      <c r="G594" s="3">
        <v>1</v>
      </c>
      <c r="H594" s="6">
        <f>IF('Settings'!$B$11="Scenario",ROUND(E594*G594*IFERROR(SUMIF('Pricing &amp; promotions'!$A$6:$A$8,L594,'Pricing &amp; promotions'!$B$6:$B$8)/100,0),2),J594)</f>
        <v>0.0</v>
      </c>
      <c r="I594" s="6">
        <f>ROUND((E594*G594-H594)/(1+'Settings'!$B$6/100),2)</f>
        <v>57.77</v>
      </c>
      <c r="J594" s="8">
        <v>0.0</v>
      </c>
      <c r="K594" s="3" t="inlineStr">
        <is>
          <t xml:space="preserve">TRUE</t>
        </is>
      </c>
      <c r="L594" s="3"/>
    </row>
    <row r="595">
      <c r="A595" s="3" t="inlineStr">
        <is>
          <t xml:space="preserve">#1437</t>
        </is>
      </c>
      <c r="B595" s="3" t="inlineStr">
        <is>
          <t xml:space="preserve">2026-04-25</t>
        </is>
      </c>
      <c r="C595" s="3" t="inlineStr">
        <is>
          <t xml:space="preserve">SKU-E</t>
        </is>
      </c>
      <c r="D595" s="3" t="inlineStr">
        <is>
          <t xml:space="preserve">Complete Ritual</t>
        </is>
      </c>
      <c r="E595" s="6">
        <f>IF('Settings'!$B$11="Scenario",IFERROR(INDEX('Catalogue'!$E$3:$E$100,MATCH(C595,'Catalogue'!$B$3:$B$100,0)),F595),F595)</f>
        <v>89</v>
      </c>
      <c r="F595" s="8">
        <v>89</v>
      </c>
      <c r="G595" s="3">
        <v>1</v>
      </c>
      <c r="H595" s="6">
        <f>IF('Settings'!$B$11="Scenario",ROUND(E595*G595*IFERROR(SUMIF('Pricing &amp; promotions'!$A$6:$A$8,L595,'Pricing &amp; promotions'!$B$6:$B$8)/100,0),2),J595)</f>
        <v>0.0</v>
      </c>
      <c r="I595" s="6">
        <f>ROUND((E595*G595-H595)/(1+'Settings'!$B$6/100),2)</f>
        <v>73.55</v>
      </c>
      <c r="J595" s="8">
        <v>0.0</v>
      </c>
      <c r="K595" s="3" t="inlineStr">
        <is>
          <t xml:space="preserve">TRUE</t>
        </is>
      </c>
      <c r="L595" s="3"/>
    </row>
    <row r="596">
      <c r="A596" s="3" t="inlineStr">
        <is>
          <t xml:space="preserve">#1438</t>
        </is>
      </c>
      <c r="B596" s="3" t="inlineStr">
        <is>
          <t xml:space="preserve">2026-04-25</t>
        </is>
      </c>
      <c r="C596" s="3" t="inlineStr">
        <is>
          <t xml:space="preserve">SKU-F</t>
        </is>
      </c>
      <c r="D596" s="3" t="inlineStr">
        <is>
          <t xml:space="preserve">Cloud Cleanser</t>
        </is>
      </c>
      <c r="E596" s="6">
        <f>IF('Settings'!$B$11="Scenario",IFERROR(INDEX('Catalogue'!$E$3:$E$100,MATCH(C596,'Catalogue'!$B$3:$B$100,0)),F596),F596)</f>
        <v>34</v>
      </c>
      <c r="F596" s="8">
        <v>34</v>
      </c>
      <c r="G596" s="3">
        <v>1</v>
      </c>
      <c r="H596" s="6">
        <f>IF('Settings'!$B$11="Scenario",ROUND(E596*G596*IFERROR(SUMIF('Pricing &amp; promotions'!$A$6:$A$8,L596,'Pricing &amp; promotions'!$B$6:$B$8)/100,0),2),J596)</f>
        <v>0.0</v>
      </c>
      <c r="I596" s="6">
        <f>ROUND((E596*G596-H596)/(1+'Settings'!$B$6/100),2)</f>
        <v>28.1</v>
      </c>
      <c r="J596" s="8">
        <v>0.0</v>
      </c>
      <c r="K596" s="3" t="inlineStr">
        <is>
          <t xml:space="preserve">TRUE</t>
        </is>
      </c>
      <c r="L596" s="3"/>
    </row>
    <row r="597">
      <c r="A597" s="3" t="inlineStr">
        <is>
          <t xml:space="preserve">#1438</t>
        </is>
      </c>
      <c r="B597" s="3" t="inlineStr">
        <is>
          <t xml:space="preserve">2026-04-25</t>
        </is>
      </c>
      <c r="C597" s="3" t="inlineStr">
        <is>
          <t xml:space="preserve">SKU-D</t>
        </is>
      </c>
      <c r="D597" s="3" t="inlineStr">
        <is>
          <t xml:space="preserve">Daily Duo</t>
        </is>
      </c>
      <c r="E597" s="6">
        <f>IF('Settings'!$B$11="Scenario",IFERROR(INDEX('Catalogue'!$E$3:$E$100,MATCH(C597,'Catalogue'!$B$3:$B$100,0)),F597),F597)</f>
        <v>79</v>
      </c>
      <c r="F597" s="8">
        <v>79</v>
      </c>
      <c r="G597" s="3">
        <v>1</v>
      </c>
      <c r="H597" s="6">
        <f>IF('Settings'!$B$11="Scenario",ROUND(E597*G597*IFERROR(SUMIF('Pricing &amp; promotions'!$A$6:$A$8,L597,'Pricing &amp; promotions'!$B$6:$B$8)/100,0),2),J597)</f>
        <v>0.0</v>
      </c>
      <c r="I597" s="6">
        <f>ROUND((E597*G597-H597)/(1+'Settings'!$B$6/100),2)</f>
        <v>65.29</v>
      </c>
      <c r="J597" s="8">
        <v>0.0</v>
      </c>
      <c r="K597" s="3" t="inlineStr">
        <is>
          <t xml:space="preserve">TRUE</t>
        </is>
      </c>
      <c r="L597" s="3"/>
    </row>
    <row r="598">
      <c r="A598" s="3" t="inlineStr">
        <is>
          <t xml:space="preserve">#1439</t>
        </is>
      </c>
      <c r="B598" s="3" t="inlineStr">
        <is>
          <t xml:space="preserve">2026-04-25</t>
        </is>
      </c>
      <c r="C598" s="3" t="inlineStr">
        <is>
          <t xml:space="preserve">SKU-B</t>
        </is>
      </c>
      <c r="D598" s="3" t="inlineStr">
        <is>
          <t xml:space="preserve">Barrier Balm</t>
        </is>
      </c>
      <c r="E598" s="6">
        <f>IF('Settings'!$B$11="Scenario",IFERROR(INDEX('Catalogue'!$E$3:$E$100,MATCH(C598,'Catalogue'!$B$3:$B$100,0)),F598),F598)</f>
        <v>19</v>
      </c>
      <c r="F598" s="8">
        <v>19</v>
      </c>
      <c r="G598" s="3">
        <v>1</v>
      </c>
      <c r="H598" s="6">
        <f>IF('Settings'!$B$11="Scenario",ROUND(E598*G598*IFERROR(SUMIF('Pricing &amp; promotions'!$A$6:$A$8,L598,'Pricing &amp; promotions'!$B$6:$B$8)/100,0),2),J598)</f>
        <v>1.9</v>
      </c>
      <c r="I598" s="6">
        <f>ROUND((E598*G598-H598)/(1+'Settings'!$B$6/100),2)</f>
        <v>14.13</v>
      </c>
      <c r="J598" s="8">
        <v>1.9</v>
      </c>
      <c r="K598" s="3" t="inlineStr">
        <is>
          <t xml:space="preserve">TRUE</t>
        </is>
      </c>
      <c r="L598" s="3" t="inlineStr">
        <is>
          <t xml:space="preserve">WELCOME10</t>
        </is>
      </c>
    </row>
    <row r="599">
      <c r="A599" s="3" t="inlineStr">
        <is>
          <t xml:space="preserve">#1439</t>
        </is>
      </c>
      <c r="B599" s="3" t="inlineStr">
        <is>
          <t xml:space="preserve">2026-04-25</t>
        </is>
      </c>
      <c r="C599" s="3" t="inlineStr">
        <is>
          <t xml:space="preserve">SKU-D</t>
        </is>
      </c>
      <c r="D599" s="3" t="inlineStr">
        <is>
          <t xml:space="preserve">Daily Duo</t>
        </is>
      </c>
      <c r="E599" s="6">
        <f>IF('Settings'!$B$11="Scenario",IFERROR(INDEX('Catalogue'!$E$3:$E$100,MATCH(C599,'Catalogue'!$B$3:$B$100,0)),F599),F599)</f>
        <v>79</v>
      </c>
      <c r="F599" s="8">
        <v>79</v>
      </c>
      <c r="G599" s="3">
        <v>1</v>
      </c>
      <c r="H599" s="6">
        <f>IF('Settings'!$B$11="Scenario",ROUND(E599*G599*IFERROR(SUMIF('Pricing &amp; promotions'!$A$6:$A$8,L599,'Pricing &amp; promotions'!$B$6:$B$8)/100,0),2),J599)</f>
        <v>7.9</v>
      </c>
      <c r="I599" s="6">
        <f>ROUND((E599*G599-H599)/(1+'Settings'!$B$6/100),2)</f>
        <v>58.76</v>
      </c>
      <c r="J599" s="8">
        <v>7.9</v>
      </c>
      <c r="K599" s="3" t="inlineStr">
        <is>
          <t xml:space="preserve">TRUE</t>
        </is>
      </c>
      <c r="L599" s="3" t="inlineStr">
        <is>
          <t xml:space="preserve">WELCOME10</t>
        </is>
      </c>
    </row>
    <row r="600">
      <c r="A600" s="3" t="inlineStr">
        <is>
          <t xml:space="preserve">#1440</t>
        </is>
      </c>
      <c r="B600" s="3" t="inlineStr">
        <is>
          <t xml:space="preserve">2026-04-25</t>
        </is>
      </c>
      <c r="C600" s="3" t="inlineStr">
        <is>
          <t xml:space="preserve">SKU-E</t>
        </is>
      </c>
      <c r="D600" s="3" t="inlineStr">
        <is>
          <t xml:space="preserve">Complete Ritual</t>
        </is>
      </c>
      <c r="E600" s="6">
        <f>IF('Settings'!$B$11="Scenario",IFERROR(INDEX('Catalogue'!$E$3:$E$100,MATCH(C600,'Catalogue'!$B$3:$B$100,0)),F600),F600)</f>
        <v>89</v>
      </c>
      <c r="F600" s="8">
        <v>89</v>
      </c>
      <c r="G600" s="3">
        <v>2</v>
      </c>
      <c r="H600" s="6">
        <f>IF('Settings'!$B$11="Scenario",ROUND(E600*G600*IFERROR(SUMIF('Pricing &amp; promotions'!$A$6:$A$8,L600,'Pricing &amp; promotions'!$B$6:$B$8)/100,0),2),J600)</f>
        <v>17.8</v>
      </c>
      <c r="I600" s="6">
        <f>ROUND((E600*G600-H600)/(1+'Settings'!$B$6/100),2)</f>
        <v>132.4</v>
      </c>
      <c r="J600" s="8">
        <v>17.8</v>
      </c>
      <c r="K600" s="3" t="inlineStr">
        <is>
          <t xml:space="preserve">TRUE</t>
        </is>
      </c>
      <c r="L600" s="3" t="inlineStr">
        <is>
          <t xml:space="preserve">WELCOME10</t>
        </is>
      </c>
    </row>
    <row r="601">
      <c r="A601" s="3" t="inlineStr">
        <is>
          <t xml:space="preserve">#1441</t>
        </is>
      </c>
      <c r="B601" s="3" t="inlineStr">
        <is>
          <t xml:space="preserve">2026-04-26</t>
        </is>
      </c>
      <c r="C601" s="3" t="inlineStr">
        <is>
          <t xml:space="preserve">SKU-A</t>
        </is>
      </c>
      <c r="D601" s="3" t="inlineStr">
        <is>
          <t xml:space="preserve">Renewal Serum</t>
        </is>
      </c>
      <c r="E601" s="6">
        <f>IF('Settings'!$B$11="Scenario",IFERROR(INDEX('Catalogue'!$E$3:$E$100,MATCH(C601,'Catalogue'!$B$3:$B$100,0)),F601),F601)</f>
        <v>69.9</v>
      </c>
      <c r="F601" s="8">
        <v>69.9</v>
      </c>
      <c r="G601" s="3">
        <v>1</v>
      </c>
      <c r="H601" s="6">
        <f>IF('Settings'!$B$11="Scenario",ROUND(E601*G601*IFERROR(SUMIF('Pricing &amp; promotions'!$A$6:$A$8,L601,'Pricing &amp; promotions'!$B$6:$B$8)/100,0),2),J601)</f>
        <v>10.49</v>
      </c>
      <c r="I601" s="6">
        <f>ROUND((E601*G601-H601)/(1+'Settings'!$B$6/100),2)</f>
        <v>49.1</v>
      </c>
      <c r="J601" s="8">
        <v>10.49</v>
      </c>
      <c r="K601" s="3" t="inlineStr">
        <is>
          <t xml:space="preserve">TRUE</t>
        </is>
      </c>
      <c r="L601" s="3" t="inlineStr">
        <is>
          <t xml:space="preserve">SUMMER15</t>
        </is>
      </c>
    </row>
    <row r="602">
      <c r="A602" s="3" t="inlineStr">
        <is>
          <t xml:space="preserve">#1442</t>
        </is>
      </c>
      <c r="B602" s="3" t="inlineStr">
        <is>
          <t xml:space="preserve">2026-04-26</t>
        </is>
      </c>
      <c r="C602" s="3" t="inlineStr">
        <is>
          <t xml:space="preserve">SKU-D</t>
        </is>
      </c>
      <c r="D602" s="3" t="inlineStr">
        <is>
          <t xml:space="preserve">Daily Duo</t>
        </is>
      </c>
      <c r="E602" s="6">
        <f>IF('Settings'!$B$11="Scenario",IFERROR(INDEX('Catalogue'!$E$3:$E$100,MATCH(C602,'Catalogue'!$B$3:$B$100,0)),F602),F602)</f>
        <v>79</v>
      </c>
      <c r="F602" s="8">
        <v>79</v>
      </c>
      <c r="G602" s="3">
        <v>1</v>
      </c>
      <c r="H602" s="6">
        <f>IF('Settings'!$B$11="Scenario",ROUND(E602*G602*IFERROR(SUMIF('Pricing &amp; promotions'!$A$6:$A$8,L602,'Pricing &amp; promotions'!$B$6:$B$8)/100,0),2),J602)</f>
        <v>0.0</v>
      </c>
      <c r="I602" s="6">
        <f>ROUND((E602*G602-H602)/(1+'Settings'!$B$6/100),2)</f>
        <v>65.29</v>
      </c>
      <c r="J602" s="8">
        <v>0.0</v>
      </c>
      <c r="K602" s="3" t="inlineStr">
        <is>
          <t xml:space="preserve">TRUE</t>
        </is>
      </c>
      <c r="L602" s="3"/>
    </row>
    <row r="603">
      <c r="A603" s="3" t="inlineStr">
        <is>
          <t xml:space="preserve">#1443</t>
        </is>
      </c>
      <c r="B603" s="3" t="inlineStr">
        <is>
          <t xml:space="preserve">2026-04-26</t>
        </is>
      </c>
      <c r="C603" s="3" t="inlineStr">
        <is>
          <t xml:space="preserve">SKU-A</t>
        </is>
      </c>
      <c r="D603" s="3" t="inlineStr">
        <is>
          <t xml:space="preserve">Renewal Serum</t>
        </is>
      </c>
      <c r="E603" s="6">
        <f>IF('Settings'!$B$11="Scenario",IFERROR(INDEX('Catalogue'!$E$3:$E$100,MATCH(C603,'Catalogue'!$B$3:$B$100,0)),F603),F603)</f>
        <v>69.9</v>
      </c>
      <c r="F603" s="8">
        <v>69.9</v>
      </c>
      <c r="G603" s="3">
        <v>1</v>
      </c>
      <c r="H603" s="6">
        <f>IF('Settings'!$B$11="Scenario",ROUND(E603*G603*IFERROR(SUMIF('Pricing &amp; promotions'!$A$6:$A$8,L603,'Pricing &amp; promotions'!$B$6:$B$8)/100,0),2),J603)</f>
        <v>0.0</v>
      </c>
      <c r="I603" s="6">
        <f>ROUND((E603*G603-H603)/(1+'Settings'!$B$6/100),2)</f>
        <v>57.77</v>
      </c>
      <c r="J603" s="8">
        <v>0.0</v>
      </c>
      <c r="K603" s="3" t="inlineStr">
        <is>
          <t xml:space="preserve">TRUE</t>
        </is>
      </c>
      <c r="L603" s="3"/>
    </row>
    <row r="604">
      <c r="A604" s="3" t="inlineStr">
        <is>
          <t xml:space="preserve">#1443</t>
        </is>
      </c>
      <c r="B604" s="3" t="inlineStr">
        <is>
          <t xml:space="preserve">2026-04-26</t>
        </is>
      </c>
      <c r="C604" s="3" t="inlineStr">
        <is>
          <t xml:space="preserve">SKU-G</t>
        </is>
      </c>
      <c r="D604" s="3" t="inlineStr">
        <is>
          <t xml:space="preserve">Daily Reset Set</t>
        </is>
      </c>
      <c r="E604" s="6">
        <f>IF('Settings'!$B$11="Scenario",IFERROR(INDEX('Catalogue'!$E$3:$E$100,MATCH(C604,'Catalogue'!$B$3:$B$100,0)),F604),F604)</f>
        <v>69</v>
      </c>
      <c r="F604" s="8">
        <v>69</v>
      </c>
      <c r="G604" s="3">
        <v>1</v>
      </c>
      <c r="H604" s="6">
        <f>IF('Settings'!$B$11="Scenario",ROUND(E604*G604*IFERROR(SUMIF('Pricing &amp; promotions'!$A$6:$A$8,L604,'Pricing &amp; promotions'!$B$6:$B$8)/100,0),2),J604)</f>
        <v>0.0</v>
      </c>
      <c r="I604" s="6">
        <f>ROUND((E604*G604-H604)/(1+'Settings'!$B$6/100),2)</f>
        <v>57.02</v>
      </c>
      <c r="J604" s="8">
        <v>0.0</v>
      </c>
      <c r="K604" s="3" t="inlineStr">
        <is>
          <t xml:space="preserve">TRUE</t>
        </is>
      </c>
      <c r="L604" s="3"/>
    </row>
    <row r="605">
      <c r="A605" s="3" t="inlineStr">
        <is>
          <t xml:space="preserve">#1443</t>
        </is>
      </c>
      <c r="B605" s="3" t="inlineStr">
        <is>
          <t xml:space="preserve">2026-04-26</t>
        </is>
      </c>
      <c r="C605" s="3" t="inlineStr">
        <is>
          <t xml:space="preserve">SKU-D</t>
        </is>
      </c>
      <c r="D605" s="3" t="inlineStr">
        <is>
          <t xml:space="preserve">Daily Duo</t>
        </is>
      </c>
      <c r="E605" s="6">
        <f>IF('Settings'!$B$11="Scenario",IFERROR(INDEX('Catalogue'!$E$3:$E$100,MATCH(C605,'Catalogue'!$B$3:$B$100,0)),F605),F605)</f>
        <v>79</v>
      </c>
      <c r="F605" s="8">
        <v>79</v>
      </c>
      <c r="G605" s="3">
        <v>1</v>
      </c>
      <c r="H605" s="6">
        <f>IF('Settings'!$B$11="Scenario",ROUND(E605*G605*IFERROR(SUMIF('Pricing &amp; promotions'!$A$6:$A$8,L605,'Pricing &amp; promotions'!$B$6:$B$8)/100,0),2),J605)</f>
        <v>0.0</v>
      </c>
      <c r="I605" s="6">
        <f>ROUND((E605*G605-H605)/(1+'Settings'!$B$6/100),2)</f>
        <v>65.29</v>
      </c>
      <c r="J605" s="8">
        <v>0.0</v>
      </c>
      <c r="K605" s="3" t="inlineStr">
        <is>
          <t xml:space="preserve">TRUE</t>
        </is>
      </c>
      <c r="L605" s="3"/>
    </row>
    <row r="606">
      <c r="A606" s="3" t="inlineStr">
        <is>
          <t xml:space="preserve">#1444</t>
        </is>
      </c>
      <c r="B606" s="3" t="inlineStr">
        <is>
          <t xml:space="preserve">2026-04-27</t>
        </is>
      </c>
      <c r="C606" s="3" t="inlineStr">
        <is>
          <t xml:space="preserve">SKU-B</t>
        </is>
      </c>
      <c r="D606" s="3" t="inlineStr">
        <is>
          <t xml:space="preserve">Barrier Balm</t>
        </is>
      </c>
      <c r="E606" s="6">
        <f>IF('Settings'!$B$11="Scenario",IFERROR(INDEX('Catalogue'!$E$3:$E$100,MATCH(C606,'Catalogue'!$B$3:$B$100,0)),F606),F606)</f>
        <v>19</v>
      </c>
      <c r="F606" s="8">
        <v>19</v>
      </c>
      <c r="G606" s="3">
        <v>1</v>
      </c>
      <c r="H606" s="6">
        <f>IF('Settings'!$B$11="Scenario",ROUND(E606*G606*IFERROR(SUMIF('Pricing &amp; promotions'!$A$6:$A$8,L606,'Pricing &amp; promotions'!$B$6:$B$8)/100,0),2),J606)</f>
        <v>0.0</v>
      </c>
      <c r="I606" s="6">
        <f>ROUND((E606*G606-H606)/(1+'Settings'!$B$6/100),2)</f>
        <v>15.7</v>
      </c>
      <c r="J606" s="8">
        <v>0.0</v>
      </c>
      <c r="K606" s="3" t="inlineStr">
        <is>
          <t xml:space="preserve">TRUE</t>
        </is>
      </c>
      <c r="L606" s="3"/>
    </row>
    <row r="607">
      <c r="A607" s="3" t="inlineStr">
        <is>
          <t xml:space="preserve">#1445</t>
        </is>
      </c>
      <c r="B607" s="3" t="inlineStr">
        <is>
          <t xml:space="preserve">2026-04-27</t>
        </is>
      </c>
      <c r="C607" s="3" t="inlineStr">
        <is>
          <t xml:space="preserve">SKU-A</t>
        </is>
      </c>
      <c r="D607" s="3" t="inlineStr">
        <is>
          <t xml:space="preserve">Renewal Serum</t>
        </is>
      </c>
      <c r="E607" s="6">
        <f>IF('Settings'!$B$11="Scenario",IFERROR(INDEX('Catalogue'!$E$3:$E$100,MATCH(C607,'Catalogue'!$B$3:$B$100,0)),F607),F607)</f>
        <v>69.9</v>
      </c>
      <c r="F607" s="8">
        <v>69.9</v>
      </c>
      <c r="G607" s="3">
        <v>1</v>
      </c>
      <c r="H607" s="6">
        <f>IF('Settings'!$B$11="Scenario",ROUND(E607*G607*IFERROR(SUMIF('Pricing &amp; promotions'!$A$6:$A$8,L607,'Pricing &amp; promotions'!$B$6:$B$8)/100,0),2),J607)</f>
        <v>13.98</v>
      </c>
      <c r="I607" s="6">
        <f>ROUND((E607*G607-H607)/(1+'Settings'!$B$6/100),2)</f>
        <v>46.21</v>
      </c>
      <c r="J607" s="8">
        <v>13.98</v>
      </c>
      <c r="K607" s="3" t="inlineStr">
        <is>
          <t xml:space="preserve">TRUE</t>
        </is>
      </c>
      <c r="L607" s="3" t="inlineStr">
        <is>
          <t xml:space="preserve">VIP20</t>
        </is>
      </c>
    </row>
    <row r="608">
      <c r="A608" s="3" t="inlineStr">
        <is>
          <t xml:space="preserve">#1445</t>
        </is>
      </c>
      <c r="B608" s="3" t="inlineStr">
        <is>
          <t xml:space="preserve">2026-04-27</t>
        </is>
      </c>
      <c r="C608" s="3" t="inlineStr">
        <is>
          <t xml:space="preserve">SKU-E</t>
        </is>
      </c>
      <c r="D608" s="3" t="inlineStr">
        <is>
          <t xml:space="preserve">Complete Ritual</t>
        </is>
      </c>
      <c r="E608" s="6">
        <f>IF('Settings'!$B$11="Scenario",IFERROR(INDEX('Catalogue'!$E$3:$E$100,MATCH(C608,'Catalogue'!$B$3:$B$100,0)),F608),F608)</f>
        <v>89</v>
      </c>
      <c r="F608" s="8">
        <v>89</v>
      </c>
      <c r="G608" s="3">
        <v>1</v>
      </c>
      <c r="H608" s="6">
        <f>IF('Settings'!$B$11="Scenario",ROUND(E608*G608*IFERROR(SUMIF('Pricing &amp; promotions'!$A$6:$A$8,L608,'Pricing &amp; promotions'!$B$6:$B$8)/100,0),2),J608)</f>
        <v>17.8</v>
      </c>
      <c r="I608" s="6">
        <f>ROUND((E608*G608-H608)/(1+'Settings'!$B$6/100),2)</f>
        <v>58.84</v>
      </c>
      <c r="J608" s="8">
        <v>17.8</v>
      </c>
      <c r="K608" s="3" t="inlineStr">
        <is>
          <t xml:space="preserve">TRUE</t>
        </is>
      </c>
      <c r="L608" s="3" t="inlineStr">
        <is>
          <t xml:space="preserve">VIP20</t>
        </is>
      </c>
    </row>
    <row r="609">
      <c r="A609" s="3" t="inlineStr">
        <is>
          <t xml:space="preserve">#1446</t>
        </is>
      </c>
      <c r="B609" s="3" t="inlineStr">
        <is>
          <t xml:space="preserve">2026-04-29</t>
        </is>
      </c>
      <c r="C609" s="3" t="inlineStr">
        <is>
          <t xml:space="preserve">SKU-A</t>
        </is>
      </c>
      <c r="D609" s="3" t="inlineStr">
        <is>
          <t xml:space="preserve">Renewal Serum</t>
        </is>
      </c>
      <c r="E609" s="6">
        <f>IF('Settings'!$B$11="Scenario",IFERROR(INDEX('Catalogue'!$E$3:$E$100,MATCH(C609,'Catalogue'!$B$3:$B$100,0)),F609),F609)</f>
        <v>69.9</v>
      </c>
      <c r="F609" s="8">
        <v>69.9</v>
      </c>
      <c r="G609" s="3">
        <v>1</v>
      </c>
      <c r="H609" s="6">
        <f>IF('Settings'!$B$11="Scenario",ROUND(E609*G609*IFERROR(SUMIF('Pricing &amp; promotions'!$A$6:$A$8,L609,'Pricing &amp; promotions'!$B$6:$B$8)/100,0),2),J609)</f>
        <v>0.0</v>
      </c>
      <c r="I609" s="6">
        <f>ROUND((E609*G609-H609)/(1+'Settings'!$B$6/100),2)</f>
        <v>57.77</v>
      </c>
      <c r="J609" s="8">
        <v>0.0</v>
      </c>
      <c r="K609" s="3" t="inlineStr">
        <is>
          <t xml:space="preserve">TRUE</t>
        </is>
      </c>
      <c r="L609" s="3"/>
    </row>
    <row r="610">
      <c r="A610" s="3" t="inlineStr">
        <is>
          <t xml:space="preserve">#1446</t>
        </is>
      </c>
      <c r="B610" s="3" t="inlineStr">
        <is>
          <t xml:space="preserve">2026-04-29</t>
        </is>
      </c>
      <c r="C610" s="3" t="inlineStr">
        <is>
          <t xml:space="preserve">SKU-D</t>
        </is>
      </c>
      <c r="D610" s="3" t="inlineStr">
        <is>
          <t xml:space="preserve">Daily Duo</t>
        </is>
      </c>
      <c r="E610" s="6">
        <f>IF('Settings'!$B$11="Scenario",IFERROR(INDEX('Catalogue'!$E$3:$E$100,MATCH(C610,'Catalogue'!$B$3:$B$100,0)),F610),F610)</f>
        <v>79</v>
      </c>
      <c r="F610" s="8">
        <v>79</v>
      </c>
      <c r="G610" s="3">
        <v>2</v>
      </c>
      <c r="H610" s="6">
        <f>IF('Settings'!$B$11="Scenario",ROUND(E610*G610*IFERROR(SUMIF('Pricing &amp; promotions'!$A$6:$A$8,L610,'Pricing &amp; promotions'!$B$6:$B$8)/100,0),2),J610)</f>
        <v>0.0</v>
      </c>
      <c r="I610" s="6">
        <f>ROUND((E610*G610-H610)/(1+'Settings'!$B$6/100),2)</f>
        <v>130.58</v>
      </c>
      <c r="J610" s="8">
        <v>0.0</v>
      </c>
      <c r="K610" s="3" t="inlineStr">
        <is>
          <t xml:space="preserve">TRUE</t>
        </is>
      </c>
      <c r="L610" s="3"/>
    </row>
    <row r="611">
      <c r="A611" s="3" t="inlineStr">
        <is>
          <t xml:space="preserve">#1447</t>
        </is>
      </c>
      <c r="B611" s="3" t="inlineStr">
        <is>
          <t xml:space="preserve">2026-04-29</t>
        </is>
      </c>
      <c r="C611" s="3" t="inlineStr">
        <is>
          <t xml:space="preserve">SKU-D</t>
        </is>
      </c>
      <c r="D611" s="3" t="inlineStr">
        <is>
          <t xml:space="preserve">Daily Duo</t>
        </is>
      </c>
      <c r="E611" s="6">
        <f>IF('Settings'!$B$11="Scenario",IFERROR(INDEX('Catalogue'!$E$3:$E$100,MATCH(C611,'Catalogue'!$B$3:$B$100,0)),F611),F611)</f>
        <v>79</v>
      </c>
      <c r="F611" s="8">
        <v>79</v>
      </c>
      <c r="G611" s="3">
        <v>1</v>
      </c>
      <c r="H611" s="6">
        <f>IF('Settings'!$B$11="Scenario",ROUND(E611*G611*IFERROR(SUMIF('Pricing &amp; promotions'!$A$6:$A$8,L611,'Pricing &amp; promotions'!$B$6:$B$8)/100,0),2),J611)</f>
        <v>0.0</v>
      </c>
      <c r="I611" s="6">
        <f>ROUND((E611*G611-H611)/(1+'Settings'!$B$6/100),2)</f>
        <v>65.29</v>
      </c>
      <c r="J611" s="8">
        <v>0.0</v>
      </c>
      <c r="K611" s="3" t="inlineStr">
        <is>
          <t xml:space="preserve">TRUE</t>
        </is>
      </c>
      <c r="L611" s="3"/>
    </row>
    <row r="612">
      <c r="A612" s="3" t="inlineStr">
        <is>
          <t xml:space="preserve">#1447</t>
        </is>
      </c>
      <c r="B612" s="3" t="inlineStr">
        <is>
          <t xml:space="preserve">2026-04-29</t>
        </is>
      </c>
      <c r="C612" s="3" t="inlineStr">
        <is>
          <t xml:space="preserve">SKU-A</t>
        </is>
      </c>
      <c r="D612" s="3" t="inlineStr">
        <is>
          <t xml:space="preserve">Renewal Serum</t>
        </is>
      </c>
      <c r="E612" s="6">
        <f>IF('Settings'!$B$11="Scenario",IFERROR(INDEX('Catalogue'!$E$3:$E$100,MATCH(C612,'Catalogue'!$B$3:$B$100,0)),F612),F612)</f>
        <v>69.9</v>
      </c>
      <c r="F612" s="8">
        <v>69.9</v>
      </c>
      <c r="G612" s="3">
        <v>1</v>
      </c>
      <c r="H612" s="6">
        <f>IF('Settings'!$B$11="Scenario",ROUND(E612*G612*IFERROR(SUMIF('Pricing &amp; promotions'!$A$6:$A$8,L612,'Pricing &amp; promotions'!$B$6:$B$8)/100,0),2),J612)</f>
        <v>0.0</v>
      </c>
      <c r="I612" s="6">
        <f>ROUND((E612*G612-H612)/(1+'Settings'!$B$6/100),2)</f>
        <v>57.77</v>
      </c>
      <c r="J612" s="8">
        <v>0.0</v>
      </c>
      <c r="K612" s="3" t="inlineStr">
        <is>
          <t xml:space="preserve">TRUE</t>
        </is>
      </c>
      <c r="L612" s="3"/>
    </row>
    <row r="613">
      <c r="A613" s="3" t="inlineStr">
        <is>
          <t xml:space="preserve">#1448</t>
        </is>
      </c>
      <c r="B613" s="3" t="inlineStr">
        <is>
          <t xml:space="preserve">2026-04-29</t>
        </is>
      </c>
      <c r="C613" s="3" t="inlineStr">
        <is>
          <t xml:space="preserve">SKU-B</t>
        </is>
      </c>
      <c r="D613" s="3" t="inlineStr">
        <is>
          <t xml:space="preserve">Barrier Balm</t>
        </is>
      </c>
      <c r="E613" s="6">
        <f>IF('Settings'!$B$11="Scenario",IFERROR(INDEX('Catalogue'!$E$3:$E$100,MATCH(C613,'Catalogue'!$B$3:$B$100,0)),F613),F613)</f>
        <v>19</v>
      </c>
      <c r="F613" s="8">
        <v>19</v>
      </c>
      <c r="G613" s="3">
        <v>1</v>
      </c>
      <c r="H613" s="6">
        <f>IF('Settings'!$B$11="Scenario",ROUND(E613*G613*IFERROR(SUMIF('Pricing &amp; promotions'!$A$6:$A$8,L613,'Pricing &amp; promotions'!$B$6:$B$8)/100,0),2),J613)</f>
        <v>0.0</v>
      </c>
      <c r="I613" s="6">
        <f>ROUND((E613*G613-H613)/(1+'Settings'!$B$6/100),2)</f>
        <v>15.7</v>
      </c>
      <c r="J613" s="8">
        <v>0.0</v>
      </c>
      <c r="K613" s="3" t="inlineStr">
        <is>
          <t xml:space="preserve">TRUE</t>
        </is>
      </c>
      <c r="L613" s="3"/>
    </row>
    <row r="614">
      <c r="A614" s="3" t="inlineStr">
        <is>
          <t xml:space="preserve">#1449</t>
        </is>
      </c>
      <c r="B614" s="3" t="inlineStr">
        <is>
          <t xml:space="preserve">2026-04-29</t>
        </is>
      </c>
      <c r="C614" s="3" t="inlineStr">
        <is>
          <t xml:space="preserve">SKU-A</t>
        </is>
      </c>
      <c r="D614" s="3" t="inlineStr">
        <is>
          <t xml:space="preserve">Renewal Serum</t>
        </is>
      </c>
      <c r="E614" s="6">
        <f>IF('Settings'!$B$11="Scenario",IFERROR(INDEX('Catalogue'!$E$3:$E$100,MATCH(C614,'Catalogue'!$B$3:$B$100,0)),F614),F614)</f>
        <v>69.9</v>
      </c>
      <c r="F614" s="8">
        <v>69.9</v>
      </c>
      <c r="G614" s="3">
        <v>1</v>
      </c>
      <c r="H614" s="6">
        <f>IF('Settings'!$B$11="Scenario",ROUND(E614*G614*IFERROR(SUMIF('Pricing &amp; promotions'!$A$6:$A$8,L614,'Pricing &amp; promotions'!$B$6:$B$8)/100,0),2),J614)</f>
        <v>13.98</v>
      </c>
      <c r="I614" s="6">
        <f>ROUND((E614*G614-H614)/(1+'Settings'!$B$6/100),2)</f>
        <v>46.21</v>
      </c>
      <c r="J614" s="8">
        <v>13.98</v>
      </c>
      <c r="K614" s="3" t="inlineStr">
        <is>
          <t xml:space="preserve">TRUE</t>
        </is>
      </c>
      <c r="L614" s="3" t="inlineStr">
        <is>
          <t xml:space="preserve">VIP20</t>
        </is>
      </c>
    </row>
    <row r="615">
      <c r="A615" s="3" t="inlineStr">
        <is>
          <t xml:space="preserve">#1450</t>
        </is>
      </c>
      <c r="B615" s="3" t="inlineStr">
        <is>
          <t xml:space="preserve">2026-04-30</t>
        </is>
      </c>
      <c r="C615" s="3" t="inlineStr">
        <is>
          <t xml:space="preserve">SKU-A</t>
        </is>
      </c>
      <c r="D615" s="3" t="inlineStr">
        <is>
          <t xml:space="preserve">Renewal Serum</t>
        </is>
      </c>
      <c r="E615" s="6">
        <f>IF('Settings'!$B$11="Scenario",IFERROR(INDEX('Catalogue'!$E$3:$E$100,MATCH(C615,'Catalogue'!$B$3:$B$100,0)),F615),F615)</f>
        <v>69.9</v>
      </c>
      <c r="F615" s="8">
        <v>69.9</v>
      </c>
      <c r="G615" s="3">
        <v>1</v>
      </c>
      <c r="H615" s="6">
        <f>IF('Settings'!$B$11="Scenario",ROUND(E615*G615*IFERROR(SUMIF('Pricing &amp; promotions'!$A$6:$A$8,L615,'Pricing &amp; promotions'!$B$6:$B$8)/100,0),2),J615)</f>
        <v>0.0</v>
      </c>
      <c r="I615" s="6">
        <f>ROUND((E615*G615-H615)/(1+'Settings'!$B$6/100),2)</f>
        <v>57.77</v>
      </c>
      <c r="J615" s="8">
        <v>0.0</v>
      </c>
      <c r="K615" s="3" t="inlineStr">
        <is>
          <t xml:space="preserve">TRUE</t>
        </is>
      </c>
      <c r="L615" s="3"/>
    </row>
    <row r="616">
      <c r="A616" s="3" t="inlineStr">
        <is>
          <t xml:space="preserve">#1451</t>
        </is>
      </c>
      <c r="B616" s="3" t="inlineStr">
        <is>
          <t xml:space="preserve">2026-04-30</t>
        </is>
      </c>
      <c r="C616" s="3" t="inlineStr">
        <is>
          <t xml:space="preserve">SKU-E</t>
        </is>
      </c>
      <c r="D616" s="3" t="inlineStr">
        <is>
          <t xml:space="preserve">Complete Ritual</t>
        </is>
      </c>
      <c r="E616" s="6">
        <f>IF('Settings'!$B$11="Scenario",IFERROR(INDEX('Catalogue'!$E$3:$E$100,MATCH(C616,'Catalogue'!$B$3:$B$100,0)),F616),F616)</f>
        <v>89</v>
      </c>
      <c r="F616" s="8">
        <v>89</v>
      </c>
      <c r="G616" s="3">
        <v>1</v>
      </c>
      <c r="H616" s="6">
        <f>IF('Settings'!$B$11="Scenario",ROUND(E616*G616*IFERROR(SUMIF('Pricing &amp; promotions'!$A$6:$A$8,L616,'Pricing &amp; promotions'!$B$6:$B$8)/100,0),2),J616)</f>
        <v>0.0</v>
      </c>
      <c r="I616" s="6">
        <f>ROUND((E616*G616-H616)/(1+'Settings'!$B$6/100),2)</f>
        <v>73.55</v>
      </c>
      <c r="J616" s="8">
        <v>0.0</v>
      </c>
      <c r="K616" s="3" t="inlineStr">
        <is>
          <t xml:space="preserve">TRUE</t>
        </is>
      </c>
      <c r="L616" s="3"/>
    </row>
    <row r="617">
      <c r="A617" s="3" t="inlineStr">
        <is>
          <t xml:space="preserve">#1452</t>
        </is>
      </c>
      <c r="B617" s="3" t="inlineStr">
        <is>
          <t xml:space="preserve">2026-05-01</t>
        </is>
      </c>
      <c r="C617" s="3" t="inlineStr">
        <is>
          <t xml:space="preserve">SKU-A</t>
        </is>
      </c>
      <c r="D617" s="3" t="inlineStr">
        <is>
          <t xml:space="preserve">Renewal Serum</t>
        </is>
      </c>
      <c r="E617" s="6">
        <f>IF('Settings'!$B$11="Scenario",IFERROR(INDEX('Catalogue'!$E$3:$E$100,MATCH(C617,'Catalogue'!$B$3:$B$100,0)),F617),F617)</f>
        <v>69.9</v>
      </c>
      <c r="F617" s="8">
        <v>69.9</v>
      </c>
      <c r="G617" s="3">
        <v>1</v>
      </c>
      <c r="H617" s="6">
        <f>IF('Settings'!$B$11="Scenario",ROUND(E617*G617*IFERROR(SUMIF('Pricing &amp; promotions'!$A$6:$A$8,L617,'Pricing &amp; promotions'!$B$6:$B$8)/100,0),2),J617)</f>
        <v>0.0</v>
      </c>
      <c r="I617" s="6">
        <f>ROUND((E617*G617-H617)/(1+'Settings'!$B$6/100),2)</f>
        <v>57.77</v>
      </c>
      <c r="J617" s="8">
        <v>0.0</v>
      </c>
      <c r="K617" s="3" t="inlineStr">
        <is>
          <t xml:space="preserve">TRUE</t>
        </is>
      </c>
      <c r="L617" s="3"/>
    </row>
    <row r="618">
      <c r="A618" s="3" t="inlineStr">
        <is>
          <t xml:space="preserve">#1453</t>
        </is>
      </c>
      <c r="B618" s="3" t="inlineStr">
        <is>
          <t xml:space="preserve">2026-05-01</t>
        </is>
      </c>
      <c r="C618" s="3" t="inlineStr">
        <is>
          <t xml:space="preserve">SKU-A</t>
        </is>
      </c>
      <c r="D618" s="3" t="inlineStr">
        <is>
          <t xml:space="preserve">Renewal Serum</t>
        </is>
      </c>
      <c r="E618" s="6">
        <f>IF('Settings'!$B$11="Scenario",IFERROR(INDEX('Catalogue'!$E$3:$E$100,MATCH(C618,'Catalogue'!$B$3:$B$100,0)),F618),F618)</f>
        <v>69.9</v>
      </c>
      <c r="F618" s="8">
        <v>69.9</v>
      </c>
      <c r="G618" s="3">
        <v>1</v>
      </c>
      <c r="H618" s="6">
        <f>IF('Settings'!$B$11="Scenario",ROUND(E618*G618*IFERROR(SUMIF('Pricing &amp; promotions'!$A$6:$A$8,L618,'Pricing &amp; promotions'!$B$6:$B$8)/100,0),2),J618)</f>
        <v>6.99</v>
      </c>
      <c r="I618" s="6">
        <f>ROUND((E618*G618-H618)/(1+'Settings'!$B$6/100),2)</f>
        <v>51.99</v>
      </c>
      <c r="J618" s="8">
        <v>6.99</v>
      </c>
      <c r="K618" s="3" t="inlineStr">
        <is>
          <t xml:space="preserve">TRUE</t>
        </is>
      </c>
      <c r="L618" s="3" t="inlineStr">
        <is>
          <t xml:space="preserve">WELCOME10</t>
        </is>
      </c>
    </row>
    <row r="619">
      <c r="A619" s="3" t="inlineStr">
        <is>
          <t xml:space="preserve">#1454</t>
        </is>
      </c>
      <c r="B619" s="3" t="inlineStr">
        <is>
          <t xml:space="preserve">2026-05-02</t>
        </is>
      </c>
      <c r="C619" s="3" t="inlineStr">
        <is>
          <t xml:space="preserve">SKU-A</t>
        </is>
      </c>
      <c r="D619" s="3" t="inlineStr">
        <is>
          <t xml:space="preserve">Renewal Serum</t>
        </is>
      </c>
      <c r="E619" s="6">
        <f>IF('Settings'!$B$11="Scenario",IFERROR(INDEX('Catalogue'!$E$3:$E$100,MATCH(C619,'Catalogue'!$B$3:$B$100,0)),F619),F619)</f>
        <v>69.9</v>
      </c>
      <c r="F619" s="8">
        <v>69.9</v>
      </c>
      <c r="G619" s="3">
        <v>1</v>
      </c>
      <c r="H619" s="6">
        <f>IF('Settings'!$B$11="Scenario",ROUND(E619*G619*IFERROR(SUMIF('Pricing &amp; promotions'!$A$6:$A$8,L619,'Pricing &amp; promotions'!$B$6:$B$8)/100,0),2),J619)</f>
        <v>0.0</v>
      </c>
      <c r="I619" s="6">
        <f>ROUND((E619*G619-H619)/(1+'Settings'!$B$6/100),2)</f>
        <v>57.77</v>
      </c>
      <c r="J619" s="8">
        <v>0.0</v>
      </c>
      <c r="K619" s="3" t="inlineStr">
        <is>
          <t xml:space="preserve">TRUE</t>
        </is>
      </c>
      <c r="L619" s="3"/>
    </row>
    <row r="620">
      <c r="A620" s="3" t="inlineStr">
        <is>
          <t xml:space="preserve">#1455</t>
        </is>
      </c>
      <c r="B620" s="3" t="inlineStr">
        <is>
          <t xml:space="preserve">2026-05-02</t>
        </is>
      </c>
      <c r="C620" s="3" t="inlineStr">
        <is>
          <t xml:space="preserve">SKU-D</t>
        </is>
      </c>
      <c r="D620" s="3" t="inlineStr">
        <is>
          <t xml:space="preserve">Daily Duo</t>
        </is>
      </c>
      <c r="E620" s="6">
        <f>IF('Settings'!$B$11="Scenario",IFERROR(INDEX('Catalogue'!$E$3:$E$100,MATCH(C620,'Catalogue'!$B$3:$B$100,0)),F620),F620)</f>
        <v>79</v>
      </c>
      <c r="F620" s="8">
        <v>79</v>
      </c>
      <c r="G620" s="3">
        <v>1</v>
      </c>
      <c r="H620" s="6">
        <f>IF('Settings'!$B$11="Scenario",ROUND(E620*G620*IFERROR(SUMIF('Pricing &amp; promotions'!$A$6:$A$8,L620,'Pricing &amp; promotions'!$B$6:$B$8)/100,0),2),J620)</f>
        <v>0.0</v>
      </c>
      <c r="I620" s="6">
        <f>ROUND((E620*G620-H620)/(1+'Settings'!$B$6/100),2)</f>
        <v>65.29</v>
      </c>
      <c r="J620" s="8">
        <v>0.0</v>
      </c>
      <c r="K620" s="3" t="inlineStr">
        <is>
          <t xml:space="preserve">TRUE</t>
        </is>
      </c>
      <c r="L620" s="3"/>
    </row>
    <row r="621">
      <c r="A621" s="3" t="inlineStr">
        <is>
          <t xml:space="preserve">#1456</t>
        </is>
      </c>
      <c r="B621" s="3" t="inlineStr">
        <is>
          <t xml:space="preserve">2026-05-03</t>
        </is>
      </c>
      <c r="C621" s="3" t="inlineStr">
        <is>
          <t xml:space="preserve">SKU-E</t>
        </is>
      </c>
      <c r="D621" s="3" t="inlineStr">
        <is>
          <t xml:space="preserve">Complete Ritual</t>
        </is>
      </c>
      <c r="E621" s="6">
        <f>IF('Settings'!$B$11="Scenario",IFERROR(INDEX('Catalogue'!$E$3:$E$100,MATCH(C621,'Catalogue'!$B$3:$B$100,0)),F621),F621)</f>
        <v>89</v>
      </c>
      <c r="F621" s="8">
        <v>89</v>
      </c>
      <c r="G621" s="3">
        <v>1</v>
      </c>
      <c r="H621" s="6">
        <f>IF('Settings'!$B$11="Scenario",ROUND(E621*G621*IFERROR(SUMIF('Pricing &amp; promotions'!$A$6:$A$8,L621,'Pricing &amp; promotions'!$B$6:$B$8)/100,0),2),J621)</f>
        <v>0.0</v>
      </c>
      <c r="I621" s="6">
        <f>ROUND((E621*G621-H621)/(1+'Settings'!$B$6/100),2)</f>
        <v>73.55</v>
      </c>
      <c r="J621" s="8">
        <v>0.0</v>
      </c>
      <c r="K621" s="3" t="inlineStr">
        <is>
          <t xml:space="preserve">TRUE</t>
        </is>
      </c>
      <c r="L621" s="3"/>
    </row>
    <row r="622">
      <c r="A622" s="3" t="inlineStr">
        <is>
          <t xml:space="preserve">#1457</t>
        </is>
      </c>
      <c r="B622" s="3" t="inlineStr">
        <is>
          <t xml:space="preserve">2026-05-03</t>
        </is>
      </c>
      <c r="C622" s="3" t="inlineStr">
        <is>
          <t xml:space="preserve">SKU-D</t>
        </is>
      </c>
      <c r="D622" s="3" t="inlineStr">
        <is>
          <t xml:space="preserve">Daily Duo</t>
        </is>
      </c>
      <c r="E622" s="6">
        <f>IF('Settings'!$B$11="Scenario",IFERROR(INDEX('Catalogue'!$E$3:$E$100,MATCH(C622,'Catalogue'!$B$3:$B$100,0)),F622),F622)</f>
        <v>79</v>
      </c>
      <c r="F622" s="8">
        <v>79</v>
      </c>
      <c r="G622" s="3">
        <v>1</v>
      </c>
      <c r="H622" s="6">
        <f>IF('Settings'!$B$11="Scenario",ROUND(E622*G622*IFERROR(SUMIF('Pricing &amp; promotions'!$A$6:$A$8,L622,'Pricing &amp; promotions'!$B$6:$B$8)/100,0),2),J622)</f>
        <v>0.0</v>
      </c>
      <c r="I622" s="6">
        <f>ROUND((E622*G622-H622)/(1+'Settings'!$B$6/100),2)</f>
        <v>65.29</v>
      </c>
      <c r="J622" s="8">
        <v>0.0</v>
      </c>
      <c r="K622" s="3" t="inlineStr">
        <is>
          <t xml:space="preserve">TRUE</t>
        </is>
      </c>
      <c r="L622" s="3"/>
    </row>
    <row r="623">
      <c r="A623" s="3" t="inlineStr">
        <is>
          <t xml:space="preserve">#1458</t>
        </is>
      </c>
      <c r="B623" s="3" t="inlineStr">
        <is>
          <t xml:space="preserve">2026-05-03</t>
        </is>
      </c>
      <c r="C623" s="3" t="inlineStr">
        <is>
          <t xml:space="preserve">SKU-E</t>
        </is>
      </c>
      <c r="D623" s="3" t="inlineStr">
        <is>
          <t xml:space="preserve">Complete Ritual</t>
        </is>
      </c>
      <c r="E623" s="6">
        <f>IF('Settings'!$B$11="Scenario",IFERROR(INDEX('Catalogue'!$E$3:$E$100,MATCH(C623,'Catalogue'!$B$3:$B$100,0)),F623),F623)</f>
        <v>89</v>
      </c>
      <c r="F623" s="8">
        <v>89</v>
      </c>
      <c r="G623" s="3">
        <v>2</v>
      </c>
      <c r="H623" s="6">
        <f>IF('Settings'!$B$11="Scenario",ROUND(E623*G623*IFERROR(SUMIF('Pricing &amp; promotions'!$A$6:$A$8,L623,'Pricing &amp; promotions'!$B$6:$B$8)/100,0),2),J623)</f>
        <v>0.0</v>
      </c>
      <c r="I623" s="6">
        <f>ROUND((E623*G623-H623)/(1+'Settings'!$B$6/100),2)</f>
        <v>147.11</v>
      </c>
      <c r="J623" s="8">
        <v>0.0</v>
      </c>
      <c r="K623" s="3" t="inlineStr">
        <is>
          <t xml:space="preserve">TRUE</t>
        </is>
      </c>
      <c r="L623" s="3"/>
    </row>
    <row r="624">
      <c r="A624" s="3" t="inlineStr">
        <is>
          <t xml:space="preserve">#1459</t>
        </is>
      </c>
      <c r="B624" s="3" t="inlineStr">
        <is>
          <t xml:space="preserve">2026-05-03</t>
        </is>
      </c>
      <c r="C624" s="3" t="inlineStr">
        <is>
          <t xml:space="preserve">SKU-A</t>
        </is>
      </c>
      <c r="D624" s="3" t="inlineStr">
        <is>
          <t xml:space="preserve">Renewal Serum</t>
        </is>
      </c>
      <c r="E624" s="6">
        <f>IF('Settings'!$B$11="Scenario",IFERROR(INDEX('Catalogue'!$E$3:$E$100,MATCH(C624,'Catalogue'!$B$3:$B$100,0)),F624),F624)</f>
        <v>69.9</v>
      </c>
      <c r="F624" s="8">
        <v>69.9</v>
      </c>
      <c r="G624" s="3">
        <v>1</v>
      </c>
      <c r="H624" s="6">
        <f>IF('Settings'!$B$11="Scenario",ROUND(E624*G624*IFERROR(SUMIF('Pricing &amp; promotions'!$A$6:$A$8,L624,'Pricing &amp; promotions'!$B$6:$B$8)/100,0),2),J624)</f>
        <v>6.99</v>
      </c>
      <c r="I624" s="6">
        <f>ROUND((E624*G624-H624)/(1+'Settings'!$B$6/100),2)</f>
        <v>51.99</v>
      </c>
      <c r="J624" s="8">
        <v>6.99</v>
      </c>
      <c r="K624" s="3" t="inlineStr">
        <is>
          <t xml:space="preserve">TRUE</t>
        </is>
      </c>
      <c r="L624" s="3" t="inlineStr">
        <is>
          <t xml:space="preserve">WELCOME10</t>
        </is>
      </c>
    </row>
    <row r="625">
      <c r="A625" s="3" t="inlineStr">
        <is>
          <t xml:space="preserve">#1460</t>
        </is>
      </c>
      <c r="B625" s="3" t="inlineStr">
        <is>
          <t xml:space="preserve">2026-05-04</t>
        </is>
      </c>
      <c r="C625" s="3" t="inlineStr">
        <is>
          <t xml:space="preserve">SKU-B</t>
        </is>
      </c>
      <c r="D625" s="3" t="inlineStr">
        <is>
          <t xml:space="preserve">Barrier Balm</t>
        </is>
      </c>
      <c r="E625" s="6">
        <f>IF('Settings'!$B$11="Scenario",IFERROR(INDEX('Catalogue'!$E$3:$E$100,MATCH(C625,'Catalogue'!$B$3:$B$100,0)),F625),F625)</f>
        <v>19</v>
      </c>
      <c r="F625" s="8">
        <v>19</v>
      </c>
      <c r="G625" s="3">
        <v>1</v>
      </c>
      <c r="H625" s="6">
        <f>IF('Settings'!$B$11="Scenario",ROUND(E625*G625*IFERROR(SUMIF('Pricing &amp; promotions'!$A$6:$A$8,L625,'Pricing &amp; promotions'!$B$6:$B$8)/100,0),2),J625)</f>
        <v>0.0</v>
      </c>
      <c r="I625" s="6">
        <f>ROUND((E625*G625-H625)/(1+'Settings'!$B$6/100),2)</f>
        <v>15.7</v>
      </c>
      <c r="J625" s="8">
        <v>0.0</v>
      </c>
      <c r="K625" s="3" t="inlineStr">
        <is>
          <t xml:space="preserve">TRUE</t>
        </is>
      </c>
      <c r="L625" s="3"/>
    </row>
    <row r="626">
      <c r="A626" s="3" t="inlineStr">
        <is>
          <t xml:space="preserve">#1461</t>
        </is>
      </c>
      <c r="B626" s="3" t="inlineStr">
        <is>
          <t xml:space="preserve">2026-05-04</t>
        </is>
      </c>
      <c r="C626" s="3" t="inlineStr">
        <is>
          <t xml:space="preserve">SKU-D</t>
        </is>
      </c>
      <c r="D626" s="3" t="inlineStr">
        <is>
          <t xml:space="preserve">Daily Duo</t>
        </is>
      </c>
      <c r="E626" s="6">
        <f>IF('Settings'!$B$11="Scenario",IFERROR(INDEX('Catalogue'!$E$3:$E$100,MATCH(C626,'Catalogue'!$B$3:$B$100,0)),F626),F626)</f>
        <v>79</v>
      </c>
      <c r="F626" s="8">
        <v>79</v>
      </c>
      <c r="G626" s="3">
        <v>2</v>
      </c>
      <c r="H626" s="6">
        <f>IF('Settings'!$B$11="Scenario",ROUND(E626*G626*IFERROR(SUMIF('Pricing &amp; promotions'!$A$6:$A$8,L626,'Pricing &amp; promotions'!$B$6:$B$8)/100,0),2),J626)</f>
        <v>0.0</v>
      </c>
      <c r="I626" s="6">
        <f>ROUND((E626*G626-H626)/(1+'Settings'!$B$6/100),2)</f>
        <v>130.58</v>
      </c>
      <c r="J626" s="8">
        <v>0.0</v>
      </c>
      <c r="K626" s="3" t="inlineStr">
        <is>
          <t xml:space="preserve">TRUE</t>
        </is>
      </c>
      <c r="L626" s="3"/>
    </row>
    <row r="627">
      <c r="A627" s="3" t="inlineStr">
        <is>
          <t xml:space="preserve">#1461</t>
        </is>
      </c>
      <c r="B627" s="3" t="inlineStr">
        <is>
          <t xml:space="preserve">2026-05-04</t>
        </is>
      </c>
      <c r="C627" s="3" t="inlineStr">
        <is>
          <t xml:space="preserve">SKU-E</t>
        </is>
      </c>
      <c r="D627" s="3" t="inlineStr">
        <is>
          <t xml:space="preserve">Complete Ritual</t>
        </is>
      </c>
      <c r="E627" s="6">
        <f>IF('Settings'!$B$11="Scenario",IFERROR(INDEX('Catalogue'!$E$3:$E$100,MATCH(C627,'Catalogue'!$B$3:$B$100,0)),F627),F627)</f>
        <v>89</v>
      </c>
      <c r="F627" s="8">
        <v>89</v>
      </c>
      <c r="G627" s="3">
        <v>2</v>
      </c>
      <c r="H627" s="6">
        <f>IF('Settings'!$B$11="Scenario",ROUND(E627*G627*IFERROR(SUMIF('Pricing &amp; promotions'!$A$6:$A$8,L627,'Pricing &amp; promotions'!$B$6:$B$8)/100,0),2),J627)</f>
        <v>0.0</v>
      </c>
      <c r="I627" s="6">
        <f>ROUND((E627*G627-H627)/(1+'Settings'!$B$6/100),2)</f>
        <v>147.11</v>
      </c>
      <c r="J627" s="8">
        <v>0.0</v>
      </c>
      <c r="K627" s="3" t="inlineStr">
        <is>
          <t xml:space="preserve">TRUE</t>
        </is>
      </c>
      <c r="L627" s="3"/>
    </row>
    <row r="628">
      <c r="A628" s="3" t="inlineStr">
        <is>
          <t xml:space="preserve">#1462</t>
        </is>
      </c>
      <c r="B628" s="3" t="inlineStr">
        <is>
          <t xml:space="preserve">2026-05-05</t>
        </is>
      </c>
      <c r="C628" s="3" t="inlineStr">
        <is>
          <t xml:space="preserve">SKU-A</t>
        </is>
      </c>
      <c r="D628" s="3" t="inlineStr">
        <is>
          <t xml:space="preserve">Renewal Serum</t>
        </is>
      </c>
      <c r="E628" s="6">
        <f>IF('Settings'!$B$11="Scenario",IFERROR(INDEX('Catalogue'!$E$3:$E$100,MATCH(C628,'Catalogue'!$B$3:$B$100,0)),F628),F628)</f>
        <v>69.9</v>
      </c>
      <c r="F628" s="8">
        <v>69.9</v>
      </c>
      <c r="G628" s="3">
        <v>1</v>
      </c>
      <c r="H628" s="6">
        <f>IF('Settings'!$B$11="Scenario",ROUND(E628*G628*IFERROR(SUMIF('Pricing &amp; promotions'!$A$6:$A$8,L628,'Pricing &amp; promotions'!$B$6:$B$8)/100,0),2),J628)</f>
        <v>0.0</v>
      </c>
      <c r="I628" s="6">
        <f>ROUND((E628*G628-H628)/(1+'Settings'!$B$6/100),2)</f>
        <v>57.77</v>
      </c>
      <c r="J628" s="8">
        <v>0.0</v>
      </c>
      <c r="K628" s="3" t="inlineStr">
        <is>
          <t xml:space="preserve">TRUE</t>
        </is>
      </c>
      <c r="L628" s="3"/>
    </row>
    <row r="629">
      <c r="A629" s="3" t="inlineStr">
        <is>
          <t xml:space="preserve">#1462</t>
        </is>
      </c>
      <c r="B629" s="3" t="inlineStr">
        <is>
          <t xml:space="preserve">2026-05-05</t>
        </is>
      </c>
      <c r="C629" s="3" t="inlineStr">
        <is>
          <t xml:space="preserve">SKU-F</t>
        </is>
      </c>
      <c r="D629" s="3" t="inlineStr">
        <is>
          <t xml:space="preserve">Cloud Cleanser</t>
        </is>
      </c>
      <c r="E629" s="6">
        <f>IF('Settings'!$B$11="Scenario",IFERROR(INDEX('Catalogue'!$E$3:$E$100,MATCH(C629,'Catalogue'!$B$3:$B$100,0)),F629),F629)</f>
        <v>34</v>
      </c>
      <c r="F629" s="8">
        <v>34</v>
      </c>
      <c r="G629" s="3">
        <v>1</v>
      </c>
      <c r="H629" s="6">
        <f>IF('Settings'!$B$11="Scenario",ROUND(E629*G629*IFERROR(SUMIF('Pricing &amp; promotions'!$A$6:$A$8,L629,'Pricing &amp; promotions'!$B$6:$B$8)/100,0),2),J629)</f>
        <v>0.0</v>
      </c>
      <c r="I629" s="6">
        <f>ROUND((E629*G629-H629)/(1+'Settings'!$B$6/100),2)</f>
        <v>28.1</v>
      </c>
      <c r="J629" s="8">
        <v>0.0</v>
      </c>
      <c r="K629" s="3" t="inlineStr">
        <is>
          <t xml:space="preserve">TRUE</t>
        </is>
      </c>
      <c r="L629" s="3"/>
    </row>
    <row r="630">
      <c r="A630" s="3" t="inlineStr">
        <is>
          <t xml:space="preserve">#1463</t>
        </is>
      </c>
      <c r="B630" s="3" t="inlineStr">
        <is>
          <t xml:space="preserve">2026-05-05</t>
        </is>
      </c>
      <c r="C630" s="3" t="inlineStr">
        <is>
          <t xml:space="preserve">SKU-F</t>
        </is>
      </c>
      <c r="D630" s="3" t="inlineStr">
        <is>
          <t xml:space="preserve">Cloud Cleanser</t>
        </is>
      </c>
      <c r="E630" s="6">
        <f>IF('Settings'!$B$11="Scenario",IFERROR(INDEX('Catalogue'!$E$3:$E$100,MATCH(C630,'Catalogue'!$B$3:$B$100,0)),F630),F630)</f>
        <v>34</v>
      </c>
      <c r="F630" s="8">
        <v>34</v>
      </c>
      <c r="G630" s="3">
        <v>1</v>
      </c>
      <c r="H630" s="6">
        <f>IF('Settings'!$B$11="Scenario",ROUND(E630*G630*IFERROR(SUMIF('Pricing &amp; promotions'!$A$6:$A$8,L630,'Pricing &amp; promotions'!$B$6:$B$8)/100,0),2),J630)</f>
        <v>0.0</v>
      </c>
      <c r="I630" s="6">
        <f>ROUND((E630*G630-H630)/(1+'Settings'!$B$6/100),2)</f>
        <v>28.1</v>
      </c>
      <c r="J630" s="8">
        <v>0.0</v>
      </c>
      <c r="K630" s="3" t="inlineStr">
        <is>
          <t xml:space="preserve">TRUE</t>
        </is>
      </c>
      <c r="L630" s="3"/>
    </row>
    <row r="631">
      <c r="A631" s="3" t="inlineStr">
        <is>
          <t xml:space="preserve">#1463</t>
        </is>
      </c>
      <c r="B631" s="3" t="inlineStr">
        <is>
          <t xml:space="preserve">2026-05-05</t>
        </is>
      </c>
      <c r="C631" s="3" t="inlineStr">
        <is>
          <t xml:space="preserve">SKU-A</t>
        </is>
      </c>
      <c r="D631" s="3" t="inlineStr">
        <is>
          <t xml:space="preserve">Renewal Serum</t>
        </is>
      </c>
      <c r="E631" s="6">
        <f>IF('Settings'!$B$11="Scenario",IFERROR(INDEX('Catalogue'!$E$3:$E$100,MATCH(C631,'Catalogue'!$B$3:$B$100,0)),F631),F631)</f>
        <v>69.9</v>
      </c>
      <c r="F631" s="8">
        <v>69.9</v>
      </c>
      <c r="G631" s="3">
        <v>1</v>
      </c>
      <c r="H631" s="6">
        <f>IF('Settings'!$B$11="Scenario",ROUND(E631*G631*IFERROR(SUMIF('Pricing &amp; promotions'!$A$6:$A$8,L631,'Pricing &amp; promotions'!$B$6:$B$8)/100,0),2),J631)</f>
        <v>0.0</v>
      </c>
      <c r="I631" s="6">
        <f>ROUND((E631*G631-H631)/(1+'Settings'!$B$6/100),2)</f>
        <v>57.77</v>
      </c>
      <c r="J631" s="8">
        <v>0.0</v>
      </c>
      <c r="K631" s="3" t="inlineStr">
        <is>
          <t xml:space="preserve">TRUE</t>
        </is>
      </c>
      <c r="L631" s="3"/>
    </row>
    <row r="632">
      <c r="A632" s="3" t="inlineStr">
        <is>
          <t xml:space="preserve">#1464</t>
        </is>
      </c>
      <c r="B632" s="3" t="inlineStr">
        <is>
          <t xml:space="preserve">2026-05-06</t>
        </is>
      </c>
      <c r="C632" s="3" t="inlineStr">
        <is>
          <t xml:space="preserve">SKU-E</t>
        </is>
      </c>
      <c r="D632" s="3" t="inlineStr">
        <is>
          <t xml:space="preserve">Complete Ritual</t>
        </is>
      </c>
      <c r="E632" s="6">
        <f>IF('Settings'!$B$11="Scenario",IFERROR(INDEX('Catalogue'!$E$3:$E$100,MATCH(C632,'Catalogue'!$B$3:$B$100,0)),F632),F632)</f>
        <v>89</v>
      </c>
      <c r="F632" s="8">
        <v>89</v>
      </c>
      <c r="G632" s="3">
        <v>1</v>
      </c>
      <c r="H632" s="6">
        <f>IF('Settings'!$B$11="Scenario",ROUND(E632*G632*IFERROR(SUMIF('Pricing &amp; promotions'!$A$6:$A$8,L632,'Pricing &amp; promotions'!$B$6:$B$8)/100,0),2),J632)</f>
        <v>0.0</v>
      </c>
      <c r="I632" s="6">
        <f>ROUND((E632*G632-H632)/(1+'Settings'!$B$6/100),2)</f>
        <v>73.55</v>
      </c>
      <c r="J632" s="8">
        <v>0.0</v>
      </c>
      <c r="K632" s="3" t="inlineStr">
        <is>
          <t xml:space="preserve">TRUE</t>
        </is>
      </c>
      <c r="L632" s="3"/>
    </row>
    <row r="633">
      <c r="A633" s="3" t="inlineStr">
        <is>
          <t xml:space="preserve">#1465</t>
        </is>
      </c>
      <c r="B633" s="3" t="inlineStr">
        <is>
          <t xml:space="preserve">2026-05-07</t>
        </is>
      </c>
      <c r="C633" s="3" t="inlineStr">
        <is>
          <t xml:space="preserve">SKU-E</t>
        </is>
      </c>
      <c r="D633" s="3" t="inlineStr">
        <is>
          <t xml:space="preserve">Complete Ritual</t>
        </is>
      </c>
      <c r="E633" s="6">
        <f>IF('Settings'!$B$11="Scenario",IFERROR(INDEX('Catalogue'!$E$3:$E$100,MATCH(C633,'Catalogue'!$B$3:$B$100,0)),F633),F633)</f>
        <v>89</v>
      </c>
      <c r="F633" s="8">
        <v>89</v>
      </c>
      <c r="G633" s="3">
        <v>2</v>
      </c>
      <c r="H633" s="6">
        <f>IF('Settings'!$B$11="Scenario",ROUND(E633*G633*IFERROR(SUMIF('Pricing &amp; promotions'!$A$6:$A$8,L633,'Pricing &amp; promotions'!$B$6:$B$8)/100,0),2),J633)</f>
        <v>0.0</v>
      </c>
      <c r="I633" s="6">
        <f>ROUND((E633*G633-H633)/(1+'Settings'!$B$6/100),2)</f>
        <v>147.11</v>
      </c>
      <c r="J633" s="8">
        <v>0.0</v>
      </c>
      <c r="K633" s="3" t="inlineStr">
        <is>
          <t xml:space="preserve">TRUE</t>
        </is>
      </c>
      <c r="L633" s="3"/>
    </row>
    <row r="634">
      <c r="A634" s="3" t="inlineStr">
        <is>
          <t xml:space="preserve">#1465</t>
        </is>
      </c>
      <c r="B634" s="3" t="inlineStr">
        <is>
          <t xml:space="preserve">2026-05-07</t>
        </is>
      </c>
      <c r="C634" s="3" t="inlineStr">
        <is>
          <t xml:space="preserve">SKU-A</t>
        </is>
      </c>
      <c r="D634" s="3" t="inlineStr">
        <is>
          <t xml:space="preserve">Renewal Serum</t>
        </is>
      </c>
      <c r="E634" s="6">
        <f>IF('Settings'!$B$11="Scenario",IFERROR(INDEX('Catalogue'!$E$3:$E$100,MATCH(C634,'Catalogue'!$B$3:$B$100,0)),F634),F634)</f>
        <v>69.9</v>
      </c>
      <c r="F634" s="8">
        <v>69.9</v>
      </c>
      <c r="G634" s="3">
        <v>1</v>
      </c>
      <c r="H634" s="6">
        <f>IF('Settings'!$B$11="Scenario",ROUND(E634*G634*IFERROR(SUMIF('Pricing &amp; promotions'!$A$6:$A$8,L634,'Pricing &amp; promotions'!$B$6:$B$8)/100,0),2),J634)</f>
        <v>0.0</v>
      </c>
      <c r="I634" s="6">
        <f>ROUND((E634*G634-H634)/(1+'Settings'!$B$6/100),2)</f>
        <v>57.77</v>
      </c>
      <c r="J634" s="8">
        <v>0.0</v>
      </c>
      <c r="K634" s="3" t="inlineStr">
        <is>
          <t xml:space="preserve">TRUE</t>
        </is>
      </c>
      <c r="L634" s="3"/>
    </row>
    <row r="635">
      <c r="A635" s="3" t="inlineStr">
        <is>
          <t xml:space="preserve">#1466</t>
        </is>
      </c>
      <c r="B635" s="3" t="inlineStr">
        <is>
          <t xml:space="preserve">2026-05-07</t>
        </is>
      </c>
      <c r="C635" s="3" t="inlineStr">
        <is>
          <t xml:space="preserve">SKU-D</t>
        </is>
      </c>
      <c r="D635" s="3" t="inlineStr">
        <is>
          <t xml:space="preserve">Daily Duo</t>
        </is>
      </c>
      <c r="E635" s="6">
        <f>IF('Settings'!$B$11="Scenario",IFERROR(INDEX('Catalogue'!$E$3:$E$100,MATCH(C635,'Catalogue'!$B$3:$B$100,0)),F635),F635)</f>
        <v>79</v>
      </c>
      <c r="F635" s="8">
        <v>79</v>
      </c>
      <c r="G635" s="3">
        <v>1</v>
      </c>
      <c r="H635" s="6">
        <f>IF('Settings'!$B$11="Scenario",ROUND(E635*G635*IFERROR(SUMIF('Pricing &amp; promotions'!$A$6:$A$8,L635,'Pricing &amp; promotions'!$B$6:$B$8)/100,0),2),J635)</f>
        <v>0.0</v>
      </c>
      <c r="I635" s="6">
        <f>ROUND((E635*G635-H635)/(1+'Settings'!$B$6/100),2)</f>
        <v>65.29</v>
      </c>
      <c r="J635" s="8">
        <v>0.0</v>
      </c>
      <c r="K635" s="3" t="inlineStr">
        <is>
          <t xml:space="preserve">TRUE</t>
        </is>
      </c>
      <c r="L635" s="3"/>
    </row>
    <row r="636">
      <c r="A636" s="3" t="inlineStr">
        <is>
          <t xml:space="preserve">#1467</t>
        </is>
      </c>
      <c r="B636" s="3" t="inlineStr">
        <is>
          <t xml:space="preserve">2026-05-07</t>
        </is>
      </c>
      <c r="C636" s="3" t="inlineStr">
        <is>
          <t xml:space="preserve">SKU-E</t>
        </is>
      </c>
      <c r="D636" s="3" t="inlineStr">
        <is>
          <t xml:space="preserve">Complete Ritual</t>
        </is>
      </c>
      <c r="E636" s="6">
        <f>IF('Settings'!$B$11="Scenario",IFERROR(INDEX('Catalogue'!$E$3:$E$100,MATCH(C636,'Catalogue'!$B$3:$B$100,0)),F636),F636)</f>
        <v>89</v>
      </c>
      <c r="F636" s="8">
        <v>89</v>
      </c>
      <c r="G636" s="3">
        <v>1</v>
      </c>
      <c r="H636" s="6">
        <f>IF('Settings'!$B$11="Scenario",ROUND(E636*G636*IFERROR(SUMIF('Pricing &amp; promotions'!$A$6:$A$8,L636,'Pricing &amp; promotions'!$B$6:$B$8)/100,0),2),J636)</f>
        <v>8.9</v>
      </c>
      <c r="I636" s="6">
        <f>ROUND((E636*G636-H636)/(1+'Settings'!$B$6/100),2)</f>
        <v>66.2</v>
      </c>
      <c r="J636" s="8">
        <v>8.9</v>
      </c>
      <c r="K636" s="3" t="inlineStr">
        <is>
          <t xml:space="preserve">TRUE</t>
        </is>
      </c>
      <c r="L636" s="3" t="inlineStr">
        <is>
          <t xml:space="preserve">WELCOME10</t>
        </is>
      </c>
    </row>
    <row r="637">
      <c r="A637" s="3" t="inlineStr">
        <is>
          <t xml:space="preserve">#1468</t>
        </is>
      </c>
      <c r="B637" s="3" t="inlineStr">
        <is>
          <t xml:space="preserve">2026-05-08</t>
        </is>
      </c>
      <c r="C637" s="3" t="inlineStr">
        <is>
          <t xml:space="preserve">SKU-F</t>
        </is>
      </c>
      <c r="D637" s="3" t="inlineStr">
        <is>
          <t xml:space="preserve">Cloud Cleanser</t>
        </is>
      </c>
      <c r="E637" s="6">
        <f>IF('Settings'!$B$11="Scenario",IFERROR(INDEX('Catalogue'!$E$3:$E$100,MATCH(C637,'Catalogue'!$B$3:$B$100,0)),F637),F637)</f>
        <v>34</v>
      </c>
      <c r="F637" s="8">
        <v>34</v>
      </c>
      <c r="G637" s="3">
        <v>1</v>
      </c>
      <c r="H637" s="6">
        <f>IF('Settings'!$B$11="Scenario",ROUND(E637*G637*IFERROR(SUMIF('Pricing &amp; promotions'!$A$6:$A$8,L637,'Pricing &amp; promotions'!$B$6:$B$8)/100,0),2),J637)</f>
        <v>5.1</v>
      </c>
      <c r="I637" s="6">
        <f>ROUND((E637*G637-H637)/(1+'Settings'!$B$6/100),2)</f>
        <v>23.88</v>
      </c>
      <c r="J637" s="8">
        <v>5.1</v>
      </c>
      <c r="K637" s="3" t="inlineStr">
        <is>
          <t xml:space="preserve">TRUE</t>
        </is>
      </c>
      <c r="L637" s="3" t="inlineStr">
        <is>
          <t xml:space="preserve">SUMMER15</t>
        </is>
      </c>
    </row>
    <row r="638">
      <c r="A638" s="3" t="inlineStr">
        <is>
          <t xml:space="preserve">#1468</t>
        </is>
      </c>
      <c r="B638" s="3" t="inlineStr">
        <is>
          <t xml:space="preserve">2026-05-08</t>
        </is>
      </c>
      <c r="C638" s="3" t="inlineStr">
        <is>
          <t xml:space="preserve">SKU-E</t>
        </is>
      </c>
      <c r="D638" s="3" t="inlineStr">
        <is>
          <t xml:space="preserve">Complete Ritual</t>
        </is>
      </c>
      <c r="E638" s="6">
        <f>IF('Settings'!$B$11="Scenario",IFERROR(INDEX('Catalogue'!$E$3:$E$100,MATCH(C638,'Catalogue'!$B$3:$B$100,0)),F638),F638)</f>
        <v>89</v>
      </c>
      <c r="F638" s="8">
        <v>89</v>
      </c>
      <c r="G638" s="3">
        <v>1</v>
      </c>
      <c r="H638" s="6">
        <f>IF('Settings'!$B$11="Scenario",ROUND(E638*G638*IFERROR(SUMIF('Pricing &amp; promotions'!$A$6:$A$8,L638,'Pricing &amp; promotions'!$B$6:$B$8)/100,0),2),J638)</f>
        <v>13.35</v>
      </c>
      <c r="I638" s="6">
        <f>ROUND((E638*G638-H638)/(1+'Settings'!$B$6/100),2)</f>
        <v>62.52</v>
      </c>
      <c r="J638" s="8">
        <v>13.35</v>
      </c>
      <c r="K638" s="3" t="inlineStr">
        <is>
          <t xml:space="preserve">TRUE</t>
        </is>
      </c>
      <c r="L638" s="3" t="inlineStr">
        <is>
          <t xml:space="preserve">SUMMER15</t>
        </is>
      </c>
    </row>
    <row r="639">
      <c r="A639" s="3" t="inlineStr">
        <is>
          <t xml:space="preserve">#1469</t>
        </is>
      </c>
      <c r="B639" s="3" t="inlineStr">
        <is>
          <t xml:space="preserve">2026-05-08</t>
        </is>
      </c>
      <c r="C639" s="3" t="inlineStr">
        <is>
          <t xml:space="preserve">SKU-A</t>
        </is>
      </c>
      <c r="D639" s="3" t="inlineStr">
        <is>
          <t xml:space="preserve">Renewal Serum</t>
        </is>
      </c>
      <c r="E639" s="6">
        <f>IF('Settings'!$B$11="Scenario",IFERROR(INDEX('Catalogue'!$E$3:$E$100,MATCH(C639,'Catalogue'!$B$3:$B$100,0)),F639),F639)</f>
        <v>69.9</v>
      </c>
      <c r="F639" s="8">
        <v>69.9</v>
      </c>
      <c r="G639" s="3">
        <v>1</v>
      </c>
      <c r="H639" s="6">
        <f>IF('Settings'!$B$11="Scenario",ROUND(E639*G639*IFERROR(SUMIF('Pricing &amp; promotions'!$A$6:$A$8,L639,'Pricing &amp; promotions'!$B$6:$B$8)/100,0),2),J639)</f>
        <v>6.99</v>
      </c>
      <c r="I639" s="6">
        <f>ROUND((E639*G639-H639)/(1+'Settings'!$B$6/100),2)</f>
        <v>51.99</v>
      </c>
      <c r="J639" s="8">
        <v>6.99</v>
      </c>
      <c r="K639" s="3" t="inlineStr">
        <is>
          <t xml:space="preserve">TRUE</t>
        </is>
      </c>
      <c r="L639" s="3" t="inlineStr">
        <is>
          <t xml:space="preserve">WELCOME10</t>
        </is>
      </c>
    </row>
    <row r="640">
      <c r="A640" s="3" t="inlineStr">
        <is>
          <t xml:space="preserve">#1469</t>
        </is>
      </c>
      <c r="B640" s="3" t="inlineStr">
        <is>
          <t xml:space="preserve">2026-05-08</t>
        </is>
      </c>
      <c r="C640" s="3" t="inlineStr">
        <is>
          <t xml:space="preserve">SKU-G</t>
        </is>
      </c>
      <c r="D640" s="3" t="inlineStr">
        <is>
          <t xml:space="preserve">Daily Reset Set</t>
        </is>
      </c>
      <c r="E640" s="6">
        <f>IF('Settings'!$B$11="Scenario",IFERROR(INDEX('Catalogue'!$E$3:$E$100,MATCH(C640,'Catalogue'!$B$3:$B$100,0)),F640),F640)</f>
        <v>69</v>
      </c>
      <c r="F640" s="8">
        <v>69</v>
      </c>
      <c r="G640" s="3">
        <v>1</v>
      </c>
      <c r="H640" s="6">
        <f>IF('Settings'!$B$11="Scenario",ROUND(E640*G640*IFERROR(SUMIF('Pricing &amp; promotions'!$A$6:$A$8,L640,'Pricing &amp; promotions'!$B$6:$B$8)/100,0),2),J640)</f>
        <v>6.9</v>
      </c>
      <c r="I640" s="6">
        <f>ROUND((E640*G640-H640)/(1+'Settings'!$B$6/100),2)</f>
        <v>51.32</v>
      </c>
      <c r="J640" s="8">
        <v>6.9</v>
      </c>
      <c r="K640" s="3" t="inlineStr">
        <is>
          <t xml:space="preserve">TRUE</t>
        </is>
      </c>
      <c r="L640" s="3" t="inlineStr">
        <is>
          <t xml:space="preserve">WELCOME10</t>
        </is>
      </c>
    </row>
    <row r="641">
      <c r="A641" s="3" t="inlineStr">
        <is>
          <t xml:space="preserve">#1470</t>
        </is>
      </c>
      <c r="B641" s="3" t="inlineStr">
        <is>
          <t xml:space="preserve">2026-05-09</t>
        </is>
      </c>
      <c r="C641" s="3" t="inlineStr">
        <is>
          <t xml:space="preserve">SKU-F</t>
        </is>
      </c>
      <c r="D641" s="3" t="inlineStr">
        <is>
          <t xml:space="preserve">Cloud Cleanser</t>
        </is>
      </c>
      <c r="E641" s="6">
        <f>IF('Settings'!$B$11="Scenario",IFERROR(INDEX('Catalogue'!$E$3:$E$100,MATCH(C641,'Catalogue'!$B$3:$B$100,0)),F641),F641)</f>
        <v>34</v>
      </c>
      <c r="F641" s="8">
        <v>34</v>
      </c>
      <c r="G641" s="3">
        <v>1</v>
      </c>
      <c r="H641" s="6">
        <f>IF('Settings'!$B$11="Scenario",ROUND(E641*G641*IFERROR(SUMIF('Pricing &amp; promotions'!$A$6:$A$8,L641,'Pricing &amp; promotions'!$B$6:$B$8)/100,0),2),J641)</f>
        <v>3.4</v>
      </c>
      <c r="I641" s="6">
        <f>ROUND((E641*G641-H641)/(1+'Settings'!$B$6/100),2)</f>
        <v>25.29</v>
      </c>
      <c r="J641" s="8">
        <v>3.4</v>
      </c>
      <c r="K641" s="3" t="inlineStr">
        <is>
          <t xml:space="preserve">TRUE</t>
        </is>
      </c>
      <c r="L641" s="3" t="inlineStr">
        <is>
          <t xml:space="preserve">WELCOME10</t>
        </is>
      </c>
    </row>
    <row r="642">
      <c r="A642" s="3" t="inlineStr">
        <is>
          <t xml:space="preserve">#1471</t>
        </is>
      </c>
      <c r="B642" s="3" t="inlineStr">
        <is>
          <t xml:space="preserve">2026-05-09</t>
        </is>
      </c>
      <c r="C642" s="3" t="inlineStr">
        <is>
          <t xml:space="preserve">SKU-E</t>
        </is>
      </c>
      <c r="D642" s="3" t="inlineStr">
        <is>
          <t xml:space="preserve">Complete Ritual</t>
        </is>
      </c>
      <c r="E642" s="6">
        <f>IF('Settings'!$B$11="Scenario",IFERROR(INDEX('Catalogue'!$E$3:$E$100,MATCH(C642,'Catalogue'!$B$3:$B$100,0)),F642),F642)</f>
        <v>89</v>
      </c>
      <c r="F642" s="8">
        <v>89</v>
      </c>
      <c r="G642" s="3">
        <v>2</v>
      </c>
      <c r="H642" s="6">
        <f>IF('Settings'!$B$11="Scenario",ROUND(E642*G642*IFERROR(SUMIF('Pricing &amp; promotions'!$A$6:$A$8,L642,'Pricing &amp; promotions'!$B$6:$B$8)/100,0),2),J642)</f>
        <v>0.0</v>
      </c>
      <c r="I642" s="6">
        <f>ROUND((E642*G642-H642)/(1+'Settings'!$B$6/100),2)</f>
        <v>147.11</v>
      </c>
      <c r="J642" s="8">
        <v>0.0</v>
      </c>
      <c r="K642" s="3" t="inlineStr">
        <is>
          <t xml:space="preserve">TRUE</t>
        </is>
      </c>
      <c r="L642" s="3"/>
    </row>
    <row r="643">
      <c r="A643" s="3" t="inlineStr">
        <is>
          <t xml:space="preserve">#1472</t>
        </is>
      </c>
      <c r="B643" s="3" t="inlineStr">
        <is>
          <t xml:space="preserve">2026-05-09</t>
        </is>
      </c>
      <c r="C643" s="3" t="inlineStr">
        <is>
          <t xml:space="preserve">SKU-E</t>
        </is>
      </c>
      <c r="D643" s="3" t="inlineStr">
        <is>
          <t xml:space="preserve">Complete Ritual</t>
        </is>
      </c>
      <c r="E643" s="6">
        <f>IF('Settings'!$B$11="Scenario",IFERROR(INDEX('Catalogue'!$E$3:$E$100,MATCH(C643,'Catalogue'!$B$3:$B$100,0)),F643),F643)</f>
        <v>89</v>
      </c>
      <c r="F643" s="8">
        <v>89</v>
      </c>
      <c r="G643" s="3">
        <v>1</v>
      </c>
      <c r="H643" s="6">
        <f>IF('Settings'!$B$11="Scenario",ROUND(E643*G643*IFERROR(SUMIF('Pricing &amp; promotions'!$A$6:$A$8,L643,'Pricing &amp; promotions'!$B$6:$B$8)/100,0),2),J643)</f>
        <v>13.35</v>
      </c>
      <c r="I643" s="6">
        <f>ROUND((E643*G643-H643)/(1+'Settings'!$B$6/100),2)</f>
        <v>62.52</v>
      </c>
      <c r="J643" s="8">
        <v>13.35</v>
      </c>
      <c r="K643" s="3" t="inlineStr">
        <is>
          <t xml:space="preserve">TRUE</t>
        </is>
      </c>
      <c r="L643" s="3" t="inlineStr">
        <is>
          <t xml:space="preserve">SUMMER15</t>
        </is>
      </c>
    </row>
    <row r="644">
      <c r="A644" s="3" t="inlineStr">
        <is>
          <t xml:space="preserve">#1473</t>
        </is>
      </c>
      <c r="B644" s="3" t="inlineStr">
        <is>
          <t xml:space="preserve">2026-05-10</t>
        </is>
      </c>
      <c r="C644" s="3" t="inlineStr">
        <is>
          <t xml:space="preserve">SKU-F</t>
        </is>
      </c>
      <c r="D644" s="3" t="inlineStr">
        <is>
          <t xml:space="preserve">Cloud Cleanser</t>
        </is>
      </c>
      <c r="E644" s="6">
        <f>IF('Settings'!$B$11="Scenario",IFERROR(INDEX('Catalogue'!$E$3:$E$100,MATCH(C644,'Catalogue'!$B$3:$B$100,0)),F644),F644)</f>
        <v>34</v>
      </c>
      <c r="F644" s="8">
        <v>34</v>
      </c>
      <c r="G644" s="3">
        <v>2</v>
      </c>
      <c r="H644" s="6">
        <f>IF('Settings'!$B$11="Scenario",ROUND(E644*G644*IFERROR(SUMIF('Pricing &amp; promotions'!$A$6:$A$8,L644,'Pricing &amp; promotions'!$B$6:$B$8)/100,0),2),J644)</f>
        <v>6.8</v>
      </c>
      <c r="I644" s="6">
        <f>ROUND((E644*G644-H644)/(1+'Settings'!$B$6/100),2)</f>
        <v>50.58</v>
      </c>
      <c r="J644" s="8">
        <v>6.8</v>
      </c>
      <c r="K644" s="3" t="inlineStr">
        <is>
          <t xml:space="preserve">TRUE</t>
        </is>
      </c>
      <c r="L644" s="3" t="inlineStr">
        <is>
          <t xml:space="preserve">WELCOME10</t>
        </is>
      </c>
    </row>
    <row r="645">
      <c r="A645" s="3" t="inlineStr">
        <is>
          <t xml:space="preserve">#1474</t>
        </is>
      </c>
      <c r="B645" s="3" t="inlineStr">
        <is>
          <t xml:space="preserve">2026-05-10</t>
        </is>
      </c>
      <c r="C645" s="3" t="inlineStr">
        <is>
          <t xml:space="preserve">SKU-A</t>
        </is>
      </c>
      <c r="D645" s="3" t="inlineStr">
        <is>
          <t xml:space="preserve">Renewal Serum</t>
        </is>
      </c>
      <c r="E645" s="6">
        <f>IF('Settings'!$B$11="Scenario",IFERROR(INDEX('Catalogue'!$E$3:$E$100,MATCH(C645,'Catalogue'!$B$3:$B$100,0)),F645),F645)</f>
        <v>69.9</v>
      </c>
      <c r="F645" s="8">
        <v>69.9</v>
      </c>
      <c r="G645" s="3">
        <v>1</v>
      </c>
      <c r="H645" s="6">
        <f>IF('Settings'!$B$11="Scenario",ROUND(E645*G645*IFERROR(SUMIF('Pricing &amp; promotions'!$A$6:$A$8,L645,'Pricing &amp; promotions'!$B$6:$B$8)/100,0),2),J645)</f>
        <v>6.99</v>
      </c>
      <c r="I645" s="6">
        <f>ROUND((E645*G645-H645)/(1+'Settings'!$B$6/100),2)</f>
        <v>51.99</v>
      </c>
      <c r="J645" s="8">
        <v>6.99</v>
      </c>
      <c r="K645" s="3" t="inlineStr">
        <is>
          <t xml:space="preserve">TRUE</t>
        </is>
      </c>
      <c r="L645" s="3" t="inlineStr">
        <is>
          <t xml:space="preserve">WELCOME10</t>
        </is>
      </c>
    </row>
    <row r="646">
      <c r="A646" s="3" t="inlineStr">
        <is>
          <t xml:space="preserve">#1475</t>
        </is>
      </c>
      <c r="B646" s="3" t="inlineStr">
        <is>
          <t xml:space="preserve">2026-05-11</t>
        </is>
      </c>
      <c r="C646" s="3" t="inlineStr">
        <is>
          <t xml:space="preserve">SKU-F</t>
        </is>
      </c>
      <c r="D646" s="3" t="inlineStr">
        <is>
          <t xml:space="preserve">Cloud Cleanser</t>
        </is>
      </c>
      <c r="E646" s="6">
        <f>IF('Settings'!$B$11="Scenario",IFERROR(INDEX('Catalogue'!$E$3:$E$100,MATCH(C646,'Catalogue'!$B$3:$B$100,0)),F646),F646)</f>
        <v>34</v>
      </c>
      <c r="F646" s="8">
        <v>34</v>
      </c>
      <c r="G646" s="3">
        <v>1</v>
      </c>
      <c r="H646" s="6">
        <f>IF('Settings'!$B$11="Scenario",ROUND(E646*G646*IFERROR(SUMIF('Pricing &amp; promotions'!$A$6:$A$8,L646,'Pricing &amp; promotions'!$B$6:$B$8)/100,0),2),J646)</f>
        <v>0.0</v>
      </c>
      <c r="I646" s="6">
        <f>ROUND((E646*G646-H646)/(1+'Settings'!$B$6/100),2)</f>
        <v>28.1</v>
      </c>
      <c r="J646" s="8">
        <v>0.0</v>
      </c>
      <c r="K646" s="3" t="inlineStr">
        <is>
          <t xml:space="preserve">TRUE</t>
        </is>
      </c>
      <c r="L646" s="3"/>
    </row>
    <row r="647">
      <c r="A647" s="3" t="inlineStr">
        <is>
          <t xml:space="preserve">#1475</t>
        </is>
      </c>
      <c r="B647" s="3" t="inlineStr">
        <is>
          <t xml:space="preserve">2026-05-11</t>
        </is>
      </c>
      <c r="C647" s="3" t="inlineStr">
        <is>
          <t xml:space="preserve">SKU-E</t>
        </is>
      </c>
      <c r="D647" s="3" t="inlineStr">
        <is>
          <t xml:space="preserve">Complete Ritual</t>
        </is>
      </c>
      <c r="E647" s="6">
        <f>IF('Settings'!$B$11="Scenario",IFERROR(INDEX('Catalogue'!$E$3:$E$100,MATCH(C647,'Catalogue'!$B$3:$B$100,0)),F647),F647)</f>
        <v>89</v>
      </c>
      <c r="F647" s="8">
        <v>89</v>
      </c>
      <c r="G647" s="3">
        <v>1</v>
      </c>
      <c r="H647" s="6">
        <f>IF('Settings'!$B$11="Scenario",ROUND(E647*G647*IFERROR(SUMIF('Pricing &amp; promotions'!$A$6:$A$8,L647,'Pricing &amp; promotions'!$B$6:$B$8)/100,0),2),J647)</f>
        <v>0.0</v>
      </c>
      <c r="I647" s="6">
        <f>ROUND((E647*G647-H647)/(1+'Settings'!$B$6/100),2)</f>
        <v>73.55</v>
      </c>
      <c r="J647" s="8">
        <v>0.0</v>
      </c>
      <c r="K647" s="3" t="inlineStr">
        <is>
          <t xml:space="preserve">TRUE</t>
        </is>
      </c>
      <c r="L647" s="3"/>
    </row>
    <row r="648">
      <c r="A648" s="3" t="inlineStr">
        <is>
          <t xml:space="preserve">#1476</t>
        </is>
      </c>
      <c r="B648" s="3" t="inlineStr">
        <is>
          <t xml:space="preserve">2026-05-11</t>
        </is>
      </c>
      <c r="C648" s="3" t="inlineStr">
        <is>
          <t xml:space="preserve">SKU-A</t>
        </is>
      </c>
      <c r="D648" s="3" t="inlineStr">
        <is>
          <t xml:space="preserve">Renewal Serum</t>
        </is>
      </c>
      <c r="E648" s="6">
        <f>IF('Settings'!$B$11="Scenario",IFERROR(INDEX('Catalogue'!$E$3:$E$100,MATCH(C648,'Catalogue'!$B$3:$B$100,0)),F648),F648)</f>
        <v>69.9</v>
      </c>
      <c r="F648" s="8">
        <v>69.9</v>
      </c>
      <c r="G648" s="3">
        <v>1</v>
      </c>
      <c r="H648" s="6">
        <f>IF('Settings'!$B$11="Scenario",ROUND(E648*G648*IFERROR(SUMIF('Pricing &amp; promotions'!$A$6:$A$8,L648,'Pricing &amp; promotions'!$B$6:$B$8)/100,0),2),J648)</f>
        <v>0.0</v>
      </c>
      <c r="I648" s="6">
        <f>ROUND((E648*G648-H648)/(1+'Settings'!$B$6/100),2)</f>
        <v>57.77</v>
      </c>
      <c r="J648" s="8">
        <v>0.0</v>
      </c>
      <c r="K648" s="3" t="inlineStr">
        <is>
          <t xml:space="preserve">TRUE</t>
        </is>
      </c>
      <c r="L648" s="3"/>
    </row>
    <row r="649">
      <c r="A649" s="3" t="inlineStr">
        <is>
          <t xml:space="preserve">#1477</t>
        </is>
      </c>
      <c r="B649" s="3" t="inlineStr">
        <is>
          <t xml:space="preserve">2026-05-12</t>
        </is>
      </c>
      <c r="C649" s="3" t="inlineStr">
        <is>
          <t xml:space="preserve">SKU-F</t>
        </is>
      </c>
      <c r="D649" s="3" t="inlineStr">
        <is>
          <t xml:space="preserve">Cloud Cleanser</t>
        </is>
      </c>
      <c r="E649" s="6">
        <f>IF('Settings'!$B$11="Scenario",IFERROR(INDEX('Catalogue'!$E$3:$E$100,MATCH(C649,'Catalogue'!$B$3:$B$100,0)),F649),F649)</f>
        <v>34</v>
      </c>
      <c r="F649" s="8">
        <v>34</v>
      </c>
      <c r="G649" s="3">
        <v>1</v>
      </c>
      <c r="H649" s="6">
        <f>IF('Settings'!$B$11="Scenario",ROUND(E649*G649*IFERROR(SUMIF('Pricing &amp; promotions'!$A$6:$A$8,L649,'Pricing &amp; promotions'!$B$6:$B$8)/100,0),2),J649)</f>
        <v>3.4</v>
      </c>
      <c r="I649" s="6">
        <f>ROUND((E649*G649-H649)/(1+'Settings'!$B$6/100),2)</f>
        <v>25.29</v>
      </c>
      <c r="J649" s="8">
        <v>3.4</v>
      </c>
      <c r="K649" s="3" t="inlineStr">
        <is>
          <t xml:space="preserve">TRUE</t>
        </is>
      </c>
      <c r="L649" s="3" t="inlineStr">
        <is>
          <t xml:space="preserve">WELCOME10</t>
        </is>
      </c>
    </row>
    <row r="650">
      <c r="A650" s="3" t="inlineStr">
        <is>
          <t xml:space="preserve">#1478</t>
        </is>
      </c>
      <c r="B650" s="3" t="inlineStr">
        <is>
          <t xml:space="preserve">2026-05-12</t>
        </is>
      </c>
      <c r="C650" s="3" t="inlineStr">
        <is>
          <t xml:space="preserve">SKU-C</t>
        </is>
      </c>
      <c r="D650" s="3" t="inlineStr">
        <is>
          <t xml:space="preserve">Contour Stone</t>
        </is>
      </c>
      <c r="E650" s="6">
        <f>IF('Settings'!$B$11="Scenario",IFERROR(INDEX('Catalogue'!$E$3:$E$100,MATCH(C650,'Catalogue'!$B$3:$B$100,0)),F650),F650)</f>
        <v>29</v>
      </c>
      <c r="F650" s="8">
        <v>29</v>
      </c>
      <c r="G650" s="3">
        <v>1</v>
      </c>
      <c r="H650" s="6">
        <f>IF('Settings'!$B$11="Scenario",ROUND(E650*G650*IFERROR(SUMIF('Pricing &amp; promotions'!$A$6:$A$8,L650,'Pricing &amp; promotions'!$B$6:$B$8)/100,0),2),J650)</f>
        <v>2.9</v>
      </c>
      <c r="I650" s="6">
        <f>ROUND((E650*G650-H650)/(1+'Settings'!$B$6/100),2)</f>
        <v>21.57</v>
      </c>
      <c r="J650" s="8">
        <v>2.9</v>
      </c>
      <c r="K650" s="3" t="inlineStr">
        <is>
          <t xml:space="preserve">TRUE</t>
        </is>
      </c>
      <c r="L650" s="3" t="inlineStr">
        <is>
          <t xml:space="preserve">WELCOME10</t>
        </is>
      </c>
    </row>
    <row r="651">
      <c r="A651" s="3" t="inlineStr">
        <is>
          <t xml:space="preserve">#1479</t>
        </is>
      </c>
      <c r="B651" s="3" t="inlineStr">
        <is>
          <t xml:space="preserve">2026-05-13</t>
        </is>
      </c>
      <c r="C651" s="3" t="inlineStr">
        <is>
          <t xml:space="preserve">SKU-A</t>
        </is>
      </c>
      <c r="D651" s="3" t="inlineStr">
        <is>
          <t xml:space="preserve">Renewal Serum</t>
        </is>
      </c>
      <c r="E651" s="6">
        <f>IF('Settings'!$B$11="Scenario",IFERROR(INDEX('Catalogue'!$E$3:$E$100,MATCH(C651,'Catalogue'!$B$3:$B$100,0)),F651),F651)</f>
        <v>69.9</v>
      </c>
      <c r="F651" s="8">
        <v>69.9</v>
      </c>
      <c r="G651" s="3">
        <v>1</v>
      </c>
      <c r="H651" s="6">
        <f>IF('Settings'!$B$11="Scenario",ROUND(E651*G651*IFERROR(SUMIF('Pricing &amp; promotions'!$A$6:$A$8,L651,'Pricing &amp; promotions'!$B$6:$B$8)/100,0),2),J651)</f>
        <v>13.98</v>
      </c>
      <c r="I651" s="6">
        <f>ROUND((E651*G651-H651)/(1+'Settings'!$B$6/100),2)</f>
        <v>46.21</v>
      </c>
      <c r="J651" s="8">
        <v>13.98</v>
      </c>
      <c r="K651" s="3" t="inlineStr">
        <is>
          <t xml:space="preserve">TRUE</t>
        </is>
      </c>
      <c r="L651" s="3" t="inlineStr">
        <is>
          <t xml:space="preserve">VIP20</t>
        </is>
      </c>
    </row>
    <row r="652">
      <c r="A652" s="3" t="inlineStr">
        <is>
          <t xml:space="preserve">#1479</t>
        </is>
      </c>
      <c r="B652" s="3" t="inlineStr">
        <is>
          <t xml:space="preserve">2026-05-13</t>
        </is>
      </c>
      <c r="C652" s="3" t="inlineStr">
        <is>
          <t xml:space="preserve">SKU-G</t>
        </is>
      </c>
      <c r="D652" s="3" t="inlineStr">
        <is>
          <t xml:space="preserve">Daily Reset Set</t>
        </is>
      </c>
      <c r="E652" s="6">
        <f>IF('Settings'!$B$11="Scenario",IFERROR(INDEX('Catalogue'!$E$3:$E$100,MATCH(C652,'Catalogue'!$B$3:$B$100,0)),F652),F652)</f>
        <v>69</v>
      </c>
      <c r="F652" s="8">
        <v>69</v>
      </c>
      <c r="G652" s="3">
        <v>1</v>
      </c>
      <c r="H652" s="6">
        <f>IF('Settings'!$B$11="Scenario",ROUND(E652*G652*IFERROR(SUMIF('Pricing &amp; promotions'!$A$6:$A$8,L652,'Pricing &amp; promotions'!$B$6:$B$8)/100,0),2),J652)</f>
        <v>13.8</v>
      </c>
      <c r="I652" s="6">
        <f>ROUND((E652*G652-H652)/(1+'Settings'!$B$6/100),2)</f>
        <v>45.62</v>
      </c>
      <c r="J652" s="8">
        <v>13.8</v>
      </c>
      <c r="K652" s="3" t="inlineStr">
        <is>
          <t xml:space="preserve">TRUE</t>
        </is>
      </c>
      <c r="L652" s="3" t="inlineStr">
        <is>
          <t xml:space="preserve">VIP20</t>
        </is>
      </c>
    </row>
    <row r="653">
      <c r="A653" s="3" t="inlineStr">
        <is>
          <t xml:space="preserve">#1480</t>
        </is>
      </c>
      <c r="B653" s="3" t="inlineStr">
        <is>
          <t xml:space="preserve">2026-05-13</t>
        </is>
      </c>
      <c r="C653" s="3" t="inlineStr">
        <is>
          <t xml:space="preserve">SKU-B</t>
        </is>
      </c>
      <c r="D653" s="3" t="inlineStr">
        <is>
          <t xml:space="preserve">Barrier Balm</t>
        </is>
      </c>
      <c r="E653" s="6">
        <f>IF('Settings'!$B$11="Scenario",IFERROR(INDEX('Catalogue'!$E$3:$E$100,MATCH(C653,'Catalogue'!$B$3:$B$100,0)),F653),F653)</f>
        <v>19</v>
      </c>
      <c r="F653" s="8">
        <v>19</v>
      </c>
      <c r="G653" s="3">
        <v>1</v>
      </c>
      <c r="H653" s="6">
        <f>IF('Settings'!$B$11="Scenario",ROUND(E653*G653*IFERROR(SUMIF('Pricing &amp; promotions'!$A$6:$A$8,L653,'Pricing &amp; promotions'!$B$6:$B$8)/100,0),2),J653)</f>
        <v>0.0</v>
      </c>
      <c r="I653" s="6">
        <f>ROUND((E653*G653-H653)/(1+'Settings'!$B$6/100),2)</f>
        <v>15.7</v>
      </c>
      <c r="J653" s="8">
        <v>0.0</v>
      </c>
      <c r="K653" s="3" t="inlineStr">
        <is>
          <t xml:space="preserve">TRUE</t>
        </is>
      </c>
      <c r="L653" s="3"/>
    </row>
    <row r="654">
      <c r="A654" s="3" t="inlineStr">
        <is>
          <t xml:space="preserve">#1481</t>
        </is>
      </c>
      <c r="B654" s="3" t="inlineStr">
        <is>
          <t xml:space="preserve">2026-05-13</t>
        </is>
      </c>
      <c r="C654" s="3" t="inlineStr">
        <is>
          <t xml:space="preserve">SKU-A</t>
        </is>
      </c>
      <c r="D654" s="3" t="inlineStr">
        <is>
          <t xml:space="preserve">Renewal Serum</t>
        </is>
      </c>
      <c r="E654" s="6">
        <f>IF('Settings'!$B$11="Scenario",IFERROR(INDEX('Catalogue'!$E$3:$E$100,MATCH(C654,'Catalogue'!$B$3:$B$100,0)),F654),F654)</f>
        <v>69.9</v>
      </c>
      <c r="F654" s="8">
        <v>69.9</v>
      </c>
      <c r="G654" s="3">
        <v>1</v>
      </c>
      <c r="H654" s="6">
        <f>IF('Settings'!$B$11="Scenario",ROUND(E654*G654*IFERROR(SUMIF('Pricing &amp; promotions'!$A$6:$A$8,L654,'Pricing &amp; promotions'!$B$6:$B$8)/100,0),2),J654)</f>
        <v>6.99</v>
      </c>
      <c r="I654" s="6">
        <f>ROUND((E654*G654-H654)/(1+'Settings'!$B$6/100),2)</f>
        <v>51.99</v>
      </c>
      <c r="J654" s="8">
        <v>6.99</v>
      </c>
      <c r="K654" s="3" t="inlineStr">
        <is>
          <t xml:space="preserve">TRUE</t>
        </is>
      </c>
      <c r="L654" s="3" t="inlineStr">
        <is>
          <t xml:space="preserve">WELCOME10</t>
        </is>
      </c>
    </row>
    <row r="655">
      <c r="A655" s="3" t="inlineStr">
        <is>
          <t xml:space="preserve">#1481</t>
        </is>
      </c>
      <c r="B655" s="3" t="inlineStr">
        <is>
          <t xml:space="preserve">2026-05-13</t>
        </is>
      </c>
      <c r="C655" s="3" t="inlineStr">
        <is>
          <t xml:space="preserve">SKU-B</t>
        </is>
      </c>
      <c r="D655" s="3" t="inlineStr">
        <is>
          <t xml:space="preserve">Barrier Balm</t>
        </is>
      </c>
      <c r="E655" s="6">
        <f>IF('Settings'!$B$11="Scenario",IFERROR(INDEX('Catalogue'!$E$3:$E$100,MATCH(C655,'Catalogue'!$B$3:$B$100,0)),F655),F655)</f>
        <v>19</v>
      </c>
      <c r="F655" s="8">
        <v>19</v>
      </c>
      <c r="G655" s="3">
        <v>1</v>
      </c>
      <c r="H655" s="6">
        <f>IF('Settings'!$B$11="Scenario",ROUND(E655*G655*IFERROR(SUMIF('Pricing &amp; promotions'!$A$6:$A$8,L655,'Pricing &amp; promotions'!$B$6:$B$8)/100,0),2),J655)</f>
        <v>1.9</v>
      </c>
      <c r="I655" s="6">
        <f>ROUND((E655*G655-H655)/(1+'Settings'!$B$6/100),2)</f>
        <v>14.13</v>
      </c>
      <c r="J655" s="8">
        <v>1.9</v>
      </c>
      <c r="K655" s="3" t="inlineStr">
        <is>
          <t xml:space="preserve">TRUE</t>
        </is>
      </c>
      <c r="L655" s="3" t="inlineStr">
        <is>
          <t xml:space="preserve">WELCOME10</t>
        </is>
      </c>
    </row>
    <row r="656">
      <c r="A656" s="3" t="inlineStr">
        <is>
          <t xml:space="preserve">#1482</t>
        </is>
      </c>
      <c r="B656" s="3" t="inlineStr">
        <is>
          <t xml:space="preserve">2026-05-14</t>
        </is>
      </c>
      <c r="C656" s="3" t="inlineStr">
        <is>
          <t xml:space="preserve">SKU-A</t>
        </is>
      </c>
      <c r="D656" s="3" t="inlineStr">
        <is>
          <t xml:space="preserve">Renewal Serum</t>
        </is>
      </c>
      <c r="E656" s="6">
        <f>IF('Settings'!$B$11="Scenario",IFERROR(INDEX('Catalogue'!$E$3:$E$100,MATCH(C656,'Catalogue'!$B$3:$B$100,0)),F656),F656)</f>
        <v>69.9</v>
      </c>
      <c r="F656" s="8">
        <v>69.9</v>
      </c>
      <c r="G656" s="3">
        <v>1</v>
      </c>
      <c r="H656" s="6">
        <f>IF('Settings'!$B$11="Scenario",ROUND(E656*G656*IFERROR(SUMIF('Pricing &amp; promotions'!$A$6:$A$8,L656,'Pricing &amp; promotions'!$B$6:$B$8)/100,0),2),J656)</f>
        <v>0.0</v>
      </c>
      <c r="I656" s="6">
        <f>ROUND((E656*G656-H656)/(1+'Settings'!$B$6/100),2)</f>
        <v>57.77</v>
      </c>
      <c r="J656" s="8">
        <v>0.0</v>
      </c>
      <c r="K656" s="3" t="inlineStr">
        <is>
          <t xml:space="preserve">TRUE</t>
        </is>
      </c>
      <c r="L656" s="3"/>
    </row>
    <row r="657">
      <c r="A657" s="3" t="inlineStr">
        <is>
          <t xml:space="preserve">#1483</t>
        </is>
      </c>
      <c r="B657" s="3" t="inlineStr">
        <is>
          <t xml:space="preserve">2026-05-14</t>
        </is>
      </c>
      <c r="C657" s="3" t="inlineStr">
        <is>
          <t xml:space="preserve">SKU-A</t>
        </is>
      </c>
      <c r="D657" s="3" t="inlineStr">
        <is>
          <t xml:space="preserve">Renewal Serum</t>
        </is>
      </c>
      <c r="E657" s="6">
        <f>IF('Settings'!$B$11="Scenario",IFERROR(INDEX('Catalogue'!$E$3:$E$100,MATCH(C657,'Catalogue'!$B$3:$B$100,0)),F657),F657)</f>
        <v>69.9</v>
      </c>
      <c r="F657" s="8">
        <v>69.9</v>
      </c>
      <c r="G657" s="3">
        <v>1</v>
      </c>
      <c r="H657" s="6">
        <f>IF('Settings'!$B$11="Scenario",ROUND(E657*G657*IFERROR(SUMIF('Pricing &amp; promotions'!$A$6:$A$8,L657,'Pricing &amp; promotions'!$B$6:$B$8)/100,0),2),J657)</f>
        <v>6.99</v>
      </c>
      <c r="I657" s="6">
        <f>ROUND((E657*G657-H657)/(1+'Settings'!$B$6/100),2)</f>
        <v>51.99</v>
      </c>
      <c r="J657" s="8">
        <v>6.99</v>
      </c>
      <c r="K657" s="3" t="inlineStr">
        <is>
          <t xml:space="preserve">TRUE</t>
        </is>
      </c>
      <c r="L657" s="3" t="inlineStr">
        <is>
          <t xml:space="preserve">WELCOME10</t>
        </is>
      </c>
    </row>
    <row r="658">
      <c r="A658" s="3" t="inlineStr">
        <is>
          <t xml:space="preserve">#1483</t>
        </is>
      </c>
      <c r="B658" s="3" t="inlineStr">
        <is>
          <t xml:space="preserve">2026-05-14</t>
        </is>
      </c>
      <c r="C658" s="3" t="inlineStr">
        <is>
          <t xml:space="preserve">SKU-E</t>
        </is>
      </c>
      <c r="D658" s="3" t="inlineStr">
        <is>
          <t xml:space="preserve">Complete Ritual</t>
        </is>
      </c>
      <c r="E658" s="6">
        <f>IF('Settings'!$B$11="Scenario",IFERROR(INDEX('Catalogue'!$E$3:$E$100,MATCH(C658,'Catalogue'!$B$3:$B$100,0)),F658),F658)</f>
        <v>89</v>
      </c>
      <c r="F658" s="8">
        <v>89</v>
      </c>
      <c r="G658" s="3">
        <v>1</v>
      </c>
      <c r="H658" s="6">
        <f>IF('Settings'!$B$11="Scenario",ROUND(E658*G658*IFERROR(SUMIF('Pricing &amp; promotions'!$A$6:$A$8,L658,'Pricing &amp; promotions'!$B$6:$B$8)/100,0),2),J658)</f>
        <v>8.9</v>
      </c>
      <c r="I658" s="6">
        <f>ROUND((E658*G658-H658)/(1+'Settings'!$B$6/100),2)</f>
        <v>66.2</v>
      </c>
      <c r="J658" s="8">
        <v>8.9</v>
      </c>
      <c r="K658" s="3" t="inlineStr">
        <is>
          <t xml:space="preserve">TRUE</t>
        </is>
      </c>
      <c r="L658" s="3" t="inlineStr">
        <is>
          <t xml:space="preserve">WELCOME10</t>
        </is>
      </c>
    </row>
    <row r="659">
      <c r="A659" s="3" t="inlineStr">
        <is>
          <t xml:space="preserve">#1484</t>
        </is>
      </c>
      <c r="B659" s="3" t="inlineStr">
        <is>
          <t xml:space="preserve">2026-05-14</t>
        </is>
      </c>
      <c r="C659" s="3" t="inlineStr">
        <is>
          <t xml:space="preserve">SKU-E</t>
        </is>
      </c>
      <c r="D659" s="3" t="inlineStr">
        <is>
          <t xml:space="preserve">Complete Ritual</t>
        </is>
      </c>
      <c r="E659" s="6">
        <f>IF('Settings'!$B$11="Scenario",IFERROR(INDEX('Catalogue'!$E$3:$E$100,MATCH(C659,'Catalogue'!$B$3:$B$100,0)),F659),F659)</f>
        <v>89</v>
      </c>
      <c r="F659" s="8">
        <v>89</v>
      </c>
      <c r="G659" s="3">
        <v>1</v>
      </c>
      <c r="H659" s="6">
        <f>IF('Settings'!$B$11="Scenario",ROUND(E659*G659*IFERROR(SUMIF('Pricing &amp; promotions'!$A$6:$A$8,L659,'Pricing &amp; promotions'!$B$6:$B$8)/100,0),2),J659)</f>
        <v>0.0</v>
      </c>
      <c r="I659" s="6">
        <f>ROUND((E659*G659-H659)/(1+'Settings'!$B$6/100),2)</f>
        <v>73.55</v>
      </c>
      <c r="J659" s="8">
        <v>0.0</v>
      </c>
      <c r="K659" s="3" t="inlineStr">
        <is>
          <t xml:space="preserve">TRUE</t>
        </is>
      </c>
      <c r="L659" s="3"/>
    </row>
    <row r="660">
      <c r="A660" s="3" t="inlineStr">
        <is>
          <t xml:space="preserve">#1485</t>
        </is>
      </c>
      <c r="B660" s="3" t="inlineStr">
        <is>
          <t xml:space="preserve">2026-05-15</t>
        </is>
      </c>
      <c r="C660" s="3" t="inlineStr">
        <is>
          <t xml:space="preserve">SKU-A</t>
        </is>
      </c>
      <c r="D660" s="3" t="inlineStr">
        <is>
          <t xml:space="preserve">Renewal Serum</t>
        </is>
      </c>
      <c r="E660" s="6">
        <f>IF('Settings'!$B$11="Scenario",IFERROR(INDEX('Catalogue'!$E$3:$E$100,MATCH(C660,'Catalogue'!$B$3:$B$100,0)),F660),F660)</f>
        <v>69.9</v>
      </c>
      <c r="F660" s="8">
        <v>69.9</v>
      </c>
      <c r="G660" s="3">
        <v>1</v>
      </c>
      <c r="H660" s="6">
        <f>IF('Settings'!$B$11="Scenario",ROUND(E660*G660*IFERROR(SUMIF('Pricing &amp; promotions'!$A$6:$A$8,L660,'Pricing &amp; promotions'!$B$6:$B$8)/100,0),2),J660)</f>
        <v>0.0</v>
      </c>
      <c r="I660" s="6">
        <f>ROUND((E660*G660-H660)/(1+'Settings'!$B$6/100),2)</f>
        <v>57.77</v>
      </c>
      <c r="J660" s="8">
        <v>0.0</v>
      </c>
      <c r="K660" s="3" t="inlineStr">
        <is>
          <t xml:space="preserve">TRUE</t>
        </is>
      </c>
      <c r="L660" s="3"/>
    </row>
    <row r="661">
      <c r="A661" s="3" t="inlineStr">
        <is>
          <t xml:space="preserve">#1486</t>
        </is>
      </c>
      <c r="B661" s="3" t="inlineStr">
        <is>
          <t xml:space="preserve">2026-05-16</t>
        </is>
      </c>
      <c r="C661" s="3" t="inlineStr">
        <is>
          <t xml:space="preserve">SKU-D</t>
        </is>
      </c>
      <c r="D661" s="3" t="inlineStr">
        <is>
          <t xml:space="preserve">Daily Duo</t>
        </is>
      </c>
      <c r="E661" s="6">
        <f>IF('Settings'!$B$11="Scenario",IFERROR(INDEX('Catalogue'!$E$3:$E$100,MATCH(C661,'Catalogue'!$B$3:$B$100,0)),F661),F661)</f>
        <v>79</v>
      </c>
      <c r="F661" s="8">
        <v>79</v>
      </c>
      <c r="G661" s="3">
        <v>1</v>
      </c>
      <c r="H661" s="6">
        <f>IF('Settings'!$B$11="Scenario",ROUND(E661*G661*IFERROR(SUMIF('Pricing &amp; promotions'!$A$6:$A$8,L661,'Pricing &amp; promotions'!$B$6:$B$8)/100,0),2),J661)</f>
        <v>0.0</v>
      </c>
      <c r="I661" s="6">
        <f>ROUND((E661*G661-H661)/(1+'Settings'!$B$6/100),2)</f>
        <v>65.29</v>
      </c>
      <c r="J661" s="8">
        <v>0.0</v>
      </c>
      <c r="K661" s="3" t="inlineStr">
        <is>
          <t xml:space="preserve">TRUE</t>
        </is>
      </c>
      <c r="L661" s="3"/>
    </row>
    <row r="662">
      <c r="A662" s="3" t="inlineStr">
        <is>
          <t xml:space="preserve">#1486</t>
        </is>
      </c>
      <c r="B662" s="3" t="inlineStr">
        <is>
          <t xml:space="preserve">2026-05-16</t>
        </is>
      </c>
      <c r="C662" s="3" t="inlineStr">
        <is>
          <t xml:space="preserve">SKU-E</t>
        </is>
      </c>
      <c r="D662" s="3" t="inlineStr">
        <is>
          <t xml:space="preserve">Complete Ritual</t>
        </is>
      </c>
      <c r="E662" s="6">
        <f>IF('Settings'!$B$11="Scenario",IFERROR(INDEX('Catalogue'!$E$3:$E$100,MATCH(C662,'Catalogue'!$B$3:$B$100,0)),F662),F662)</f>
        <v>89</v>
      </c>
      <c r="F662" s="8">
        <v>89</v>
      </c>
      <c r="G662" s="3">
        <v>1</v>
      </c>
      <c r="H662" s="6">
        <f>IF('Settings'!$B$11="Scenario",ROUND(E662*G662*IFERROR(SUMIF('Pricing &amp; promotions'!$A$6:$A$8,L662,'Pricing &amp; promotions'!$B$6:$B$8)/100,0),2),J662)</f>
        <v>0.0</v>
      </c>
      <c r="I662" s="6">
        <f>ROUND((E662*G662-H662)/(1+'Settings'!$B$6/100),2)</f>
        <v>73.55</v>
      </c>
      <c r="J662" s="8">
        <v>0.0</v>
      </c>
      <c r="K662" s="3" t="inlineStr">
        <is>
          <t xml:space="preserve">TRUE</t>
        </is>
      </c>
      <c r="L662" s="3"/>
    </row>
    <row r="663">
      <c r="A663" s="3" t="inlineStr">
        <is>
          <t xml:space="preserve">#1487</t>
        </is>
      </c>
      <c r="B663" s="3" t="inlineStr">
        <is>
          <t xml:space="preserve">2026-05-16</t>
        </is>
      </c>
      <c r="C663" s="3" t="inlineStr">
        <is>
          <t xml:space="preserve">SKU-G</t>
        </is>
      </c>
      <c r="D663" s="3" t="inlineStr">
        <is>
          <t xml:space="preserve">Daily Reset Set</t>
        </is>
      </c>
      <c r="E663" s="6">
        <f>IF('Settings'!$B$11="Scenario",IFERROR(INDEX('Catalogue'!$E$3:$E$100,MATCH(C663,'Catalogue'!$B$3:$B$100,0)),F663),F663)</f>
        <v>69</v>
      </c>
      <c r="F663" s="8">
        <v>69</v>
      </c>
      <c r="G663" s="3">
        <v>1</v>
      </c>
      <c r="H663" s="6">
        <f>IF('Settings'!$B$11="Scenario",ROUND(E663*G663*IFERROR(SUMIF('Pricing &amp; promotions'!$A$6:$A$8,L663,'Pricing &amp; promotions'!$B$6:$B$8)/100,0),2),J663)</f>
        <v>6.9</v>
      </c>
      <c r="I663" s="6">
        <f>ROUND((E663*G663-H663)/(1+'Settings'!$B$6/100),2)</f>
        <v>51.32</v>
      </c>
      <c r="J663" s="8">
        <v>6.9</v>
      </c>
      <c r="K663" s="3" t="inlineStr">
        <is>
          <t xml:space="preserve">TRUE</t>
        </is>
      </c>
      <c r="L663" s="3" t="inlineStr">
        <is>
          <t xml:space="preserve">WELCOME10</t>
        </is>
      </c>
    </row>
    <row r="664">
      <c r="A664" s="3" t="inlineStr">
        <is>
          <t xml:space="preserve">#1487</t>
        </is>
      </c>
      <c r="B664" s="3" t="inlineStr">
        <is>
          <t xml:space="preserve">2026-05-16</t>
        </is>
      </c>
      <c r="C664" s="3" t="inlineStr">
        <is>
          <t xml:space="preserve">SKU-C</t>
        </is>
      </c>
      <c r="D664" s="3" t="inlineStr">
        <is>
          <t xml:space="preserve">Contour Stone</t>
        </is>
      </c>
      <c r="E664" s="6">
        <f>IF('Settings'!$B$11="Scenario",IFERROR(INDEX('Catalogue'!$E$3:$E$100,MATCH(C664,'Catalogue'!$B$3:$B$100,0)),F664),F664)</f>
        <v>29</v>
      </c>
      <c r="F664" s="8">
        <v>29</v>
      </c>
      <c r="G664" s="3">
        <v>1</v>
      </c>
      <c r="H664" s="6">
        <f>IF('Settings'!$B$11="Scenario",ROUND(E664*G664*IFERROR(SUMIF('Pricing &amp; promotions'!$A$6:$A$8,L664,'Pricing &amp; promotions'!$B$6:$B$8)/100,0),2),J664)</f>
        <v>2.9</v>
      </c>
      <c r="I664" s="6">
        <f>ROUND((E664*G664-H664)/(1+'Settings'!$B$6/100),2)</f>
        <v>21.57</v>
      </c>
      <c r="J664" s="8">
        <v>2.9</v>
      </c>
      <c r="K664" s="3" t="inlineStr">
        <is>
          <t xml:space="preserve">TRUE</t>
        </is>
      </c>
      <c r="L664" s="3" t="inlineStr">
        <is>
          <t xml:space="preserve">WELCOME10</t>
        </is>
      </c>
    </row>
    <row r="665">
      <c r="A665" s="3" t="inlineStr">
        <is>
          <t xml:space="preserve">#1488</t>
        </is>
      </c>
      <c r="B665" s="3" t="inlineStr">
        <is>
          <t xml:space="preserve">2026-05-17</t>
        </is>
      </c>
      <c r="C665" s="3" t="inlineStr">
        <is>
          <t xml:space="preserve">SKU-C</t>
        </is>
      </c>
      <c r="D665" s="3" t="inlineStr">
        <is>
          <t xml:space="preserve">Contour Stone</t>
        </is>
      </c>
      <c r="E665" s="6">
        <f>IF('Settings'!$B$11="Scenario",IFERROR(INDEX('Catalogue'!$E$3:$E$100,MATCH(C665,'Catalogue'!$B$3:$B$100,0)),F665),F665)</f>
        <v>29</v>
      </c>
      <c r="F665" s="8">
        <v>29</v>
      </c>
      <c r="G665" s="3">
        <v>1</v>
      </c>
      <c r="H665" s="6">
        <f>IF('Settings'!$B$11="Scenario",ROUND(E665*G665*IFERROR(SUMIF('Pricing &amp; promotions'!$A$6:$A$8,L665,'Pricing &amp; promotions'!$B$6:$B$8)/100,0),2),J665)</f>
        <v>5.8</v>
      </c>
      <c r="I665" s="6">
        <f>ROUND((E665*G665-H665)/(1+'Settings'!$B$6/100),2)</f>
        <v>19.17</v>
      </c>
      <c r="J665" s="8">
        <v>5.8</v>
      </c>
      <c r="K665" s="3" t="inlineStr">
        <is>
          <t xml:space="preserve">TRUE</t>
        </is>
      </c>
      <c r="L665" s="3" t="inlineStr">
        <is>
          <t xml:space="preserve">VIP20</t>
        </is>
      </c>
    </row>
    <row r="666">
      <c r="A666" s="3" t="inlineStr">
        <is>
          <t xml:space="preserve">#1488</t>
        </is>
      </c>
      <c r="B666" s="3" t="inlineStr">
        <is>
          <t xml:space="preserve">2026-05-17</t>
        </is>
      </c>
      <c r="C666" s="3" t="inlineStr">
        <is>
          <t xml:space="preserve">SKU-A</t>
        </is>
      </c>
      <c r="D666" s="3" t="inlineStr">
        <is>
          <t xml:space="preserve">Renewal Serum</t>
        </is>
      </c>
      <c r="E666" s="6">
        <f>IF('Settings'!$B$11="Scenario",IFERROR(INDEX('Catalogue'!$E$3:$E$100,MATCH(C666,'Catalogue'!$B$3:$B$100,0)),F666),F666)</f>
        <v>69.9</v>
      </c>
      <c r="F666" s="8">
        <v>69.9</v>
      </c>
      <c r="G666" s="3">
        <v>1</v>
      </c>
      <c r="H666" s="6">
        <f>IF('Settings'!$B$11="Scenario",ROUND(E666*G666*IFERROR(SUMIF('Pricing &amp; promotions'!$A$6:$A$8,L666,'Pricing &amp; promotions'!$B$6:$B$8)/100,0),2),J666)</f>
        <v>13.98</v>
      </c>
      <c r="I666" s="6">
        <f>ROUND((E666*G666-H666)/(1+'Settings'!$B$6/100),2)</f>
        <v>46.21</v>
      </c>
      <c r="J666" s="8">
        <v>13.98</v>
      </c>
      <c r="K666" s="3" t="inlineStr">
        <is>
          <t xml:space="preserve">TRUE</t>
        </is>
      </c>
      <c r="L666" s="3" t="inlineStr">
        <is>
          <t xml:space="preserve">VIP20</t>
        </is>
      </c>
    </row>
    <row r="667">
      <c r="A667" s="3" t="inlineStr">
        <is>
          <t xml:space="preserve">#1489</t>
        </is>
      </c>
      <c r="B667" s="3" t="inlineStr">
        <is>
          <t xml:space="preserve">2026-05-17</t>
        </is>
      </c>
      <c r="C667" s="3" t="inlineStr">
        <is>
          <t xml:space="preserve">SKU-B</t>
        </is>
      </c>
      <c r="D667" s="3" t="inlineStr">
        <is>
          <t xml:space="preserve">Barrier Balm</t>
        </is>
      </c>
      <c r="E667" s="6">
        <f>IF('Settings'!$B$11="Scenario",IFERROR(INDEX('Catalogue'!$E$3:$E$100,MATCH(C667,'Catalogue'!$B$3:$B$100,0)),F667),F667)</f>
        <v>19</v>
      </c>
      <c r="F667" s="8">
        <v>19</v>
      </c>
      <c r="G667" s="3">
        <v>2</v>
      </c>
      <c r="H667" s="6">
        <f>IF('Settings'!$B$11="Scenario",ROUND(E667*G667*IFERROR(SUMIF('Pricing &amp; promotions'!$A$6:$A$8,L667,'Pricing &amp; promotions'!$B$6:$B$8)/100,0),2),J667)</f>
        <v>0.0</v>
      </c>
      <c r="I667" s="6">
        <f>ROUND((E667*G667-H667)/(1+'Settings'!$B$6/100),2)</f>
        <v>31.4</v>
      </c>
      <c r="J667" s="8">
        <v>0.0</v>
      </c>
      <c r="K667" s="3" t="inlineStr">
        <is>
          <t xml:space="preserve">TRUE</t>
        </is>
      </c>
      <c r="L667" s="3"/>
    </row>
    <row r="668">
      <c r="A668" s="3" t="inlineStr">
        <is>
          <t xml:space="preserve">#1489</t>
        </is>
      </c>
      <c r="B668" s="3" t="inlineStr">
        <is>
          <t xml:space="preserve">2026-05-17</t>
        </is>
      </c>
      <c r="C668" s="3" t="inlineStr">
        <is>
          <t xml:space="preserve">SKU-D</t>
        </is>
      </c>
      <c r="D668" s="3" t="inlineStr">
        <is>
          <t xml:space="preserve">Daily Duo</t>
        </is>
      </c>
      <c r="E668" s="6">
        <f>IF('Settings'!$B$11="Scenario",IFERROR(INDEX('Catalogue'!$E$3:$E$100,MATCH(C668,'Catalogue'!$B$3:$B$100,0)),F668),F668)</f>
        <v>79</v>
      </c>
      <c r="F668" s="8">
        <v>79</v>
      </c>
      <c r="G668" s="3">
        <v>2</v>
      </c>
      <c r="H668" s="6">
        <f>IF('Settings'!$B$11="Scenario",ROUND(E668*G668*IFERROR(SUMIF('Pricing &amp; promotions'!$A$6:$A$8,L668,'Pricing &amp; promotions'!$B$6:$B$8)/100,0),2),J668)</f>
        <v>0.0</v>
      </c>
      <c r="I668" s="6">
        <f>ROUND((E668*G668-H668)/(1+'Settings'!$B$6/100),2)</f>
        <v>130.58</v>
      </c>
      <c r="J668" s="8">
        <v>0.0</v>
      </c>
      <c r="K668" s="3" t="inlineStr">
        <is>
          <t xml:space="preserve">TRUE</t>
        </is>
      </c>
      <c r="L668" s="3"/>
    </row>
    <row r="669">
      <c r="A669" s="3" t="inlineStr">
        <is>
          <t xml:space="preserve">#1490</t>
        </is>
      </c>
      <c r="B669" s="3" t="inlineStr">
        <is>
          <t xml:space="preserve">2026-05-19</t>
        </is>
      </c>
      <c r="C669" s="3" t="inlineStr">
        <is>
          <t xml:space="preserve">SKU-E</t>
        </is>
      </c>
      <c r="D669" s="3" t="inlineStr">
        <is>
          <t xml:space="preserve">Complete Ritual</t>
        </is>
      </c>
      <c r="E669" s="6">
        <f>IF('Settings'!$B$11="Scenario",IFERROR(INDEX('Catalogue'!$E$3:$E$100,MATCH(C669,'Catalogue'!$B$3:$B$100,0)),F669),F669)</f>
        <v>89</v>
      </c>
      <c r="F669" s="8">
        <v>89</v>
      </c>
      <c r="G669" s="3">
        <v>1</v>
      </c>
      <c r="H669" s="6">
        <f>IF('Settings'!$B$11="Scenario",ROUND(E669*G669*IFERROR(SUMIF('Pricing &amp; promotions'!$A$6:$A$8,L669,'Pricing &amp; promotions'!$B$6:$B$8)/100,0),2),J669)</f>
        <v>13.35</v>
      </c>
      <c r="I669" s="6">
        <f>ROUND((E669*G669-H669)/(1+'Settings'!$B$6/100),2)</f>
        <v>62.52</v>
      </c>
      <c r="J669" s="8">
        <v>13.35</v>
      </c>
      <c r="K669" s="3" t="inlineStr">
        <is>
          <t xml:space="preserve">TRUE</t>
        </is>
      </c>
      <c r="L669" s="3" t="inlineStr">
        <is>
          <t xml:space="preserve">SUMMER15</t>
        </is>
      </c>
    </row>
    <row r="670">
      <c r="A670" s="3" t="inlineStr">
        <is>
          <t xml:space="preserve">#1490</t>
        </is>
      </c>
      <c r="B670" s="3" t="inlineStr">
        <is>
          <t xml:space="preserve">2026-05-19</t>
        </is>
      </c>
      <c r="C670" s="3" t="inlineStr">
        <is>
          <t xml:space="preserve">SKU-F</t>
        </is>
      </c>
      <c r="D670" s="3" t="inlineStr">
        <is>
          <t xml:space="preserve">Cloud Cleanser</t>
        </is>
      </c>
      <c r="E670" s="6">
        <f>IF('Settings'!$B$11="Scenario",IFERROR(INDEX('Catalogue'!$E$3:$E$100,MATCH(C670,'Catalogue'!$B$3:$B$100,0)),F670),F670)</f>
        <v>34</v>
      </c>
      <c r="F670" s="8">
        <v>34</v>
      </c>
      <c r="G670" s="3">
        <v>1</v>
      </c>
      <c r="H670" s="6">
        <f>IF('Settings'!$B$11="Scenario",ROUND(E670*G670*IFERROR(SUMIF('Pricing &amp; promotions'!$A$6:$A$8,L670,'Pricing &amp; promotions'!$B$6:$B$8)/100,0),2),J670)</f>
        <v>5.1</v>
      </c>
      <c r="I670" s="6">
        <f>ROUND((E670*G670-H670)/(1+'Settings'!$B$6/100),2)</f>
        <v>23.88</v>
      </c>
      <c r="J670" s="8">
        <v>5.1</v>
      </c>
      <c r="K670" s="3" t="inlineStr">
        <is>
          <t xml:space="preserve">TRUE</t>
        </is>
      </c>
      <c r="L670" s="3" t="inlineStr">
        <is>
          <t xml:space="preserve">SUMMER15</t>
        </is>
      </c>
    </row>
    <row r="671">
      <c r="A671" s="3" t="inlineStr">
        <is>
          <t xml:space="preserve">#1490</t>
        </is>
      </c>
      <c r="B671" s="3" t="inlineStr">
        <is>
          <t xml:space="preserve">2026-05-19</t>
        </is>
      </c>
      <c r="C671" s="3" t="inlineStr">
        <is>
          <t xml:space="preserve">SKU-A</t>
        </is>
      </c>
      <c r="D671" s="3" t="inlineStr">
        <is>
          <t xml:space="preserve">Renewal Serum</t>
        </is>
      </c>
      <c r="E671" s="6">
        <f>IF('Settings'!$B$11="Scenario",IFERROR(INDEX('Catalogue'!$E$3:$E$100,MATCH(C671,'Catalogue'!$B$3:$B$100,0)),F671),F671)</f>
        <v>69.9</v>
      </c>
      <c r="F671" s="8">
        <v>69.9</v>
      </c>
      <c r="G671" s="3">
        <v>1</v>
      </c>
      <c r="H671" s="6">
        <f>IF('Settings'!$B$11="Scenario",ROUND(E671*G671*IFERROR(SUMIF('Pricing &amp; promotions'!$A$6:$A$8,L671,'Pricing &amp; promotions'!$B$6:$B$8)/100,0),2),J671)</f>
        <v>10.49</v>
      </c>
      <c r="I671" s="6">
        <f>ROUND((E671*G671-H671)/(1+'Settings'!$B$6/100),2)</f>
        <v>49.1</v>
      </c>
      <c r="J671" s="8">
        <v>10.49</v>
      </c>
      <c r="K671" s="3" t="inlineStr">
        <is>
          <t xml:space="preserve">TRUE</t>
        </is>
      </c>
      <c r="L671" s="3" t="inlineStr">
        <is>
          <t xml:space="preserve">SUMMER15</t>
        </is>
      </c>
    </row>
    <row r="672">
      <c r="A672" s="3" t="inlineStr">
        <is>
          <t xml:space="preserve">#1491</t>
        </is>
      </c>
      <c r="B672" s="3" t="inlineStr">
        <is>
          <t xml:space="preserve">2026-05-20</t>
        </is>
      </c>
      <c r="C672" s="3" t="inlineStr">
        <is>
          <t xml:space="preserve">SKU-E</t>
        </is>
      </c>
      <c r="D672" s="3" t="inlineStr">
        <is>
          <t xml:space="preserve">Complete Ritual</t>
        </is>
      </c>
      <c r="E672" s="6">
        <f>IF('Settings'!$B$11="Scenario",IFERROR(INDEX('Catalogue'!$E$3:$E$100,MATCH(C672,'Catalogue'!$B$3:$B$100,0)),F672),F672)</f>
        <v>89</v>
      </c>
      <c r="F672" s="8">
        <v>89</v>
      </c>
      <c r="G672" s="3">
        <v>1</v>
      </c>
      <c r="H672" s="6">
        <f>IF('Settings'!$B$11="Scenario",ROUND(E672*G672*IFERROR(SUMIF('Pricing &amp; promotions'!$A$6:$A$8,L672,'Pricing &amp; promotions'!$B$6:$B$8)/100,0),2),J672)</f>
        <v>8.9</v>
      </c>
      <c r="I672" s="6">
        <f>ROUND((E672*G672-H672)/(1+'Settings'!$B$6/100),2)</f>
        <v>66.2</v>
      </c>
      <c r="J672" s="8">
        <v>8.9</v>
      </c>
      <c r="K672" s="3" t="inlineStr">
        <is>
          <t xml:space="preserve">TRUE</t>
        </is>
      </c>
      <c r="L672" s="3" t="inlineStr">
        <is>
          <t xml:space="preserve">WELCOME10</t>
        </is>
      </c>
    </row>
    <row r="673">
      <c r="A673" s="3" t="inlineStr">
        <is>
          <t xml:space="preserve">#1492</t>
        </is>
      </c>
      <c r="B673" s="3" t="inlineStr">
        <is>
          <t xml:space="preserve">2026-05-20</t>
        </is>
      </c>
      <c r="C673" s="3" t="inlineStr">
        <is>
          <t xml:space="preserve">SKU-D</t>
        </is>
      </c>
      <c r="D673" s="3" t="inlineStr">
        <is>
          <t xml:space="preserve">Daily Duo</t>
        </is>
      </c>
      <c r="E673" s="6">
        <f>IF('Settings'!$B$11="Scenario",IFERROR(INDEX('Catalogue'!$E$3:$E$100,MATCH(C673,'Catalogue'!$B$3:$B$100,0)),F673),F673)</f>
        <v>79</v>
      </c>
      <c r="F673" s="8">
        <v>79</v>
      </c>
      <c r="G673" s="3">
        <v>1</v>
      </c>
      <c r="H673" s="6">
        <f>IF('Settings'!$B$11="Scenario",ROUND(E673*G673*IFERROR(SUMIF('Pricing &amp; promotions'!$A$6:$A$8,L673,'Pricing &amp; promotions'!$B$6:$B$8)/100,0),2),J673)</f>
        <v>11.85</v>
      </c>
      <c r="I673" s="6">
        <f>ROUND((E673*G673-H673)/(1+'Settings'!$B$6/100),2)</f>
        <v>55.5</v>
      </c>
      <c r="J673" s="8">
        <v>11.85</v>
      </c>
      <c r="K673" s="3" t="inlineStr">
        <is>
          <t xml:space="preserve">TRUE</t>
        </is>
      </c>
      <c r="L673" s="3" t="inlineStr">
        <is>
          <t xml:space="preserve">SUMMER15</t>
        </is>
      </c>
    </row>
    <row r="674">
      <c r="A674" s="3" t="inlineStr">
        <is>
          <t xml:space="preserve">#1492</t>
        </is>
      </c>
      <c r="B674" s="3" t="inlineStr">
        <is>
          <t xml:space="preserve">2026-05-20</t>
        </is>
      </c>
      <c r="C674" s="3" t="inlineStr">
        <is>
          <t xml:space="preserve">SKU-G</t>
        </is>
      </c>
      <c r="D674" s="3" t="inlineStr">
        <is>
          <t xml:space="preserve">Daily Reset Set</t>
        </is>
      </c>
      <c r="E674" s="6">
        <f>IF('Settings'!$B$11="Scenario",IFERROR(INDEX('Catalogue'!$E$3:$E$100,MATCH(C674,'Catalogue'!$B$3:$B$100,0)),F674),F674)</f>
        <v>69</v>
      </c>
      <c r="F674" s="8">
        <v>69</v>
      </c>
      <c r="G674" s="3">
        <v>1</v>
      </c>
      <c r="H674" s="6">
        <f>IF('Settings'!$B$11="Scenario",ROUND(E674*G674*IFERROR(SUMIF('Pricing &amp; promotions'!$A$6:$A$8,L674,'Pricing &amp; promotions'!$B$6:$B$8)/100,0),2),J674)</f>
        <v>10.35</v>
      </c>
      <c r="I674" s="6">
        <f>ROUND((E674*G674-H674)/(1+'Settings'!$B$6/100),2)</f>
        <v>48.47</v>
      </c>
      <c r="J674" s="8">
        <v>10.35</v>
      </c>
      <c r="K674" s="3" t="inlineStr">
        <is>
          <t xml:space="preserve">TRUE</t>
        </is>
      </c>
      <c r="L674" s="3" t="inlineStr">
        <is>
          <t xml:space="preserve">SUMMER15</t>
        </is>
      </c>
    </row>
    <row r="675">
      <c r="A675" s="3" t="inlineStr">
        <is>
          <t xml:space="preserve">#1493</t>
        </is>
      </c>
      <c r="B675" s="3" t="inlineStr">
        <is>
          <t xml:space="preserve">2026-05-21</t>
        </is>
      </c>
      <c r="C675" s="3" t="inlineStr">
        <is>
          <t xml:space="preserve">SKU-A</t>
        </is>
      </c>
      <c r="D675" s="3" t="inlineStr">
        <is>
          <t xml:space="preserve">Renewal Serum</t>
        </is>
      </c>
      <c r="E675" s="6">
        <f>IF('Settings'!$B$11="Scenario",IFERROR(INDEX('Catalogue'!$E$3:$E$100,MATCH(C675,'Catalogue'!$B$3:$B$100,0)),F675),F675)</f>
        <v>69.9</v>
      </c>
      <c r="F675" s="8">
        <v>69.9</v>
      </c>
      <c r="G675" s="3">
        <v>1</v>
      </c>
      <c r="H675" s="6">
        <f>IF('Settings'!$B$11="Scenario",ROUND(E675*G675*IFERROR(SUMIF('Pricing &amp; promotions'!$A$6:$A$8,L675,'Pricing &amp; promotions'!$B$6:$B$8)/100,0),2),J675)</f>
        <v>6.99</v>
      </c>
      <c r="I675" s="6">
        <f>ROUND((E675*G675-H675)/(1+'Settings'!$B$6/100),2)</f>
        <v>51.99</v>
      </c>
      <c r="J675" s="8">
        <v>6.99</v>
      </c>
      <c r="K675" s="3" t="inlineStr">
        <is>
          <t xml:space="preserve">TRUE</t>
        </is>
      </c>
      <c r="L675" s="3" t="inlineStr">
        <is>
          <t xml:space="preserve">WELCOME10</t>
        </is>
      </c>
    </row>
    <row r="676">
      <c r="A676" s="3" t="inlineStr">
        <is>
          <t xml:space="preserve">#1494</t>
        </is>
      </c>
      <c r="B676" s="3" t="inlineStr">
        <is>
          <t xml:space="preserve">2026-05-21</t>
        </is>
      </c>
      <c r="C676" s="3" t="inlineStr">
        <is>
          <t xml:space="preserve">SKU-F</t>
        </is>
      </c>
      <c r="D676" s="3" t="inlineStr">
        <is>
          <t xml:space="preserve">Cloud Cleanser</t>
        </is>
      </c>
      <c r="E676" s="6">
        <f>IF('Settings'!$B$11="Scenario",IFERROR(INDEX('Catalogue'!$E$3:$E$100,MATCH(C676,'Catalogue'!$B$3:$B$100,0)),F676),F676)</f>
        <v>34</v>
      </c>
      <c r="F676" s="8">
        <v>34</v>
      </c>
      <c r="G676" s="3">
        <v>1</v>
      </c>
      <c r="H676" s="6">
        <f>IF('Settings'!$B$11="Scenario",ROUND(E676*G676*IFERROR(SUMIF('Pricing &amp; promotions'!$A$6:$A$8,L676,'Pricing &amp; promotions'!$B$6:$B$8)/100,0),2),J676)</f>
        <v>0.0</v>
      </c>
      <c r="I676" s="6">
        <f>ROUND((E676*G676-H676)/(1+'Settings'!$B$6/100),2)</f>
        <v>28.1</v>
      </c>
      <c r="J676" s="8">
        <v>0.0</v>
      </c>
      <c r="K676" s="3" t="inlineStr">
        <is>
          <t xml:space="preserve">TRUE</t>
        </is>
      </c>
      <c r="L676" s="3"/>
    </row>
    <row r="677">
      <c r="A677" s="3" t="inlineStr">
        <is>
          <t xml:space="preserve">#1495</t>
        </is>
      </c>
      <c r="B677" s="3" t="inlineStr">
        <is>
          <t xml:space="preserve">2026-05-22</t>
        </is>
      </c>
      <c r="C677" s="3" t="inlineStr">
        <is>
          <t xml:space="preserve">SKU-G</t>
        </is>
      </c>
      <c r="D677" s="3" t="inlineStr">
        <is>
          <t xml:space="preserve">Daily Reset Set</t>
        </is>
      </c>
      <c r="E677" s="6">
        <f>IF('Settings'!$B$11="Scenario",IFERROR(INDEX('Catalogue'!$E$3:$E$100,MATCH(C677,'Catalogue'!$B$3:$B$100,0)),F677),F677)</f>
        <v>69</v>
      </c>
      <c r="F677" s="8">
        <v>69</v>
      </c>
      <c r="G677" s="3">
        <v>2</v>
      </c>
      <c r="H677" s="6">
        <f>IF('Settings'!$B$11="Scenario",ROUND(E677*G677*IFERROR(SUMIF('Pricing &amp; promotions'!$A$6:$A$8,L677,'Pricing &amp; promotions'!$B$6:$B$8)/100,0),2),J677)</f>
        <v>0.0</v>
      </c>
      <c r="I677" s="6">
        <f>ROUND((E677*G677-H677)/(1+'Settings'!$B$6/100),2)</f>
        <v>114.05</v>
      </c>
      <c r="J677" s="8">
        <v>0.0</v>
      </c>
      <c r="K677" s="3" t="inlineStr">
        <is>
          <t xml:space="preserve">TRUE</t>
        </is>
      </c>
      <c r="L677" s="3"/>
    </row>
    <row r="678">
      <c r="A678" s="3" t="inlineStr">
        <is>
          <t xml:space="preserve">#1496</t>
        </is>
      </c>
      <c r="B678" s="3" t="inlineStr">
        <is>
          <t xml:space="preserve">2026-05-22</t>
        </is>
      </c>
      <c r="C678" s="3" t="inlineStr">
        <is>
          <t xml:space="preserve">SKU-D</t>
        </is>
      </c>
      <c r="D678" s="3" t="inlineStr">
        <is>
          <t xml:space="preserve">Daily Duo</t>
        </is>
      </c>
      <c r="E678" s="6">
        <f>IF('Settings'!$B$11="Scenario",IFERROR(INDEX('Catalogue'!$E$3:$E$100,MATCH(C678,'Catalogue'!$B$3:$B$100,0)),F678),F678)</f>
        <v>79</v>
      </c>
      <c r="F678" s="8">
        <v>79</v>
      </c>
      <c r="G678" s="3">
        <v>1</v>
      </c>
      <c r="H678" s="6">
        <f>IF('Settings'!$B$11="Scenario",ROUND(E678*G678*IFERROR(SUMIF('Pricing &amp; promotions'!$A$6:$A$8,L678,'Pricing &amp; promotions'!$B$6:$B$8)/100,0),2),J678)</f>
        <v>7.9</v>
      </c>
      <c r="I678" s="6">
        <f>ROUND((E678*G678-H678)/(1+'Settings'!$B$6/100),2)</f>
        <v>58.76</v>
      </c>
      <c r="J678" s="8">
        <v>7.9</v>
      </c>
      <c r="K678" s="3" t="inlineStr">
        <is>
          <t xml:space="preserve">TRUE</t>
        </is>
      </c>
      <c r="L678" s="3" t="inlineStr">
        <is>
          <t xml:space="preserve">WELCOME10</t>
        </is>
      </c>
    </row>
    <row r="679">
      <c r="A679" s="3" t="inlineStr">
        <is>
          <t xml:space="preserve">#1497</t>
        </is>
      </c>
      <c r="B679" s="3" t="inlineStr">
        <is>
          <t xml:space="preserve">2026-05-23</t>
        </is>
      </c>
      <c r="C679" s="3" t="inlineStr">
        <is>
          <t xml:space="preserve">SKU-G</t>
        </is>
      </c>
      <c r="D679" s="3" t="inlineStr">
        <is>
          <t xml:space="preserve">Daily Reset Set</t>
        </is>
      </c>
      <c r="E679" s="6">
        <f>IF('Settings'!$B$11="Scenario",IFERROR(INDEX('Catalogue'!$E$3:$E$100,MATCH(C679,'Catalogue'!$B$3:$B$100,0)),F679),F679)</f>
        <v>69</v>
      </c>
      <c r="F679" s="8">
        <v>69</v>
      </c>
      <c r="G679" s="3">
        <v>2</v>
      </c>
      <c r="H679" s="6">
        <f>IF('Settings'!$B$11="Scenario",ROUND(E679*G679*IFERROR(SUMIF('Pricing &amp; promotions'!$A$6:$A$8,L679,'Pricing &amp; promotions'!$B$6:$B$8)/100,0),2),J679)</f>
        <v>20.7</v>
      </c>
      <c r="I679" s="6">
        <f>ROUND((E679*G679-H679)/(1+'Settings'!$B$6/100),2)</f>
        <v>96.94</v>
      </c>
      <c r="J679" s="8">
        <v>20.7</v>
      </c>
      <c r="K679" s="3" t="inlineStr">
        <is>
          <t xml:space="preserve">TRUE</t>
        </is>
      </c>
      <c r="L679" s="3" t="inlineStr">
        <is>
          <t xml:space="preserve">SUMMER15</t>
        </is>
      </c>
    </row>
    <row r="680">
      <c r="A680" s="3" t="inlineStr">
        <is>
          <t xml:space="preserve">#1498</t>
        </is>
      </c>
      <c r="B680" s="3" t="inlineStr">
        <is>
          <t xml:space="preserve">2026-05-24</t>
        </is>
      </c>
      <c r="C680" s="3" t="inlineStr">
        <is>
          <t xml:space="preserve">SKU-A</t>
        </is>
      </c>
      <c r="D680" s="3" t="inlineStr">
        <is>
          <t xml:space="preserve">Renewal Serum</t>
        </is>
      </c>
      <c r="E680" s="6">
        <f>IF('Settings'!$B$11="Scenario",IFERROR(INDEX('Catalogue'!$E$3:$E$100,MATCH(C680,'Catalogue'!$B$3:$B$100,0)),F680),F680)</f>
        <v>69.9</v>
      </c>
      <c r="F680" s="8">
        <v>69.9</v>
      </c>
      <c r="G680" s="3">
        <v>1</v>
      </c>
      <c r="H680" s="6">
        <f>IF('Settings'!$B$11="Scenario",ROUND(E680*G680*IFERROR(SUMIF('Pricing &amp; promotions'!$A$6:$A$8,L680,'Pricing &amp; promotions'!$B$6:$B$8)/100,0),2),J680)</f>
        <v>6.99</v>
      </c>
      <c r="I680" s="6">
        <f>ROUND((E680*G680-H680)/(1+'Settings'!$B$6/100),2)</f>
        <v>51.99</v>
      </c>
      <c r="J680" s="8">
        <v>6.99</v>
      </c>
      <c r="K680" s="3" t="inlineStr">
        <is>
          <t xml:space="preserve">TRUE</t>
        </is>
      </c>
      <c r="L680" s="3" t="inlineStr">
        <is>
          <t xml:space="preserve">WELCOME10</t>
        </is>
      </c>
    </row>
    <row r="681">
      <c r="A681" s="3" t="inlineStr">
        <is>
          <t xml:space="preserve">#1499</t>
        </is>
      </c>
      <c r="B681" s="3" t="inlineStr">
        <is>
          <t xml:space="preserve">2026-05-24</t>
        </is>
      </c>
      <c r="C681" s="3" t="inlineStr">
        <is>
          <t xml:space="preserve">SKU-E</t>
        </is>
      </c>
      <c r="D681" s="3" t="inlineStr">
        <is>
          <t xml:space="preserve">Complete Ritual</t>
        </is>
      </c>
      <c r="E681" s="6">
        <f>IF('Settings'!$B$11="Scenario",IFERROR(INDEX('Catalogue'!$E$3:$E$100,MATCH(C681,'Catalogue'!$B$3:$B$100,0)),F681),F681)</f>
        <v>89</v>
      </c>
      <c r="F681" s="8">
        <v>89</v>
      </c>
      <c r="G681" s="3">
        <v>1</v>
      </c>
      <c r="H681" s="6">
        <f>IF('Settings'!$B$11="Scenario",ROUND(E681*G681*IFERROR(SUMIF('Pricing &amp; promotions'!$A$6:$A$8,L681,'Pricing &amp; promotions'!$B$6:$B$8)/100,0),2),J681)</f>
        <v>0.0</v>
      </c>
      <c r="I681" s="6">
        <f>ROUND((E681*G681-H681)/(1+'Settings'!$B$6/100),2)</f>
        <v>73.55</v>
      </c>
      <c r="J681" s="8">
        <v>0.0</v>
      </c>
      <c r="K681" s="3" t="inlineStr">
        <is>
          <t xml:space="preserve">TRUE</t>
        </is>
      </c>
      <c r="L681" s="3"/>
    </row>
    <row r="682">
      <c r="A682" s="3" t="inlineStr">
        <is>
          <t xml:space="preserve">#1500</t>
        </is>
      </c>
      <c r="B682" s="3" t="inlineStr">
        <is>
          <t xml:space="preserve">2026-05-24</t>
        </is>
      </c>
      <c r="C682" s="3" t="inlineStr">
        <is>
          <t xml:space="preserve">SKU-A</t>
        </is>
      </c>
      <c r="D682" s="3" t="inlineStr">
        <is>
          <t xml:space="preserve">Renewal Serum</t>
        </is>
      </c>
      <c r="E682" s="6">
        <f>IF('Settings'!$B$11="Scenario",IFERROR(INDEX('Catalogue'!$E$3:$E$100,MATCH(C682,'Catalogue'!$B$3:$B$100,0)),F682),F682)</f>
        <v>69.9</v>
      </c>
      <c r="F682" s="8">
        <v>69.9</v>
      </c>
      <c r="G682" s="3">
        <v>1</v>
      </c>
      <c r="H682" s="6">
        <f>IF('Settings'!$B$11="Scenario",ROUND(E682*G682*IFERROR(SUMIF('Pricing &amp; promotions'!$A$6:$A$8,L682,'Pricing &amp; promotions'!$B$6:$B$8)/100,0),2),J682)</f>
        <v>0.0</v>
      </c>
      <c r="I682" s="6">
        <f>ROUND((E682*G682-H682)/(1+'Settings'!$B$6/100),2)</f>
        <v>57.77</v>
      </c>
      <c r="J682" s="8">
        <v>0.0</v>
      </c>
      <c r="K682" s="3" t="inlineStr">
        <is>
          <t xml:space="preserve">TRUE</t>
        </is>
      </c>
      <c r="L682" s="3"/>
    </row>
    <row r="683">
      <c r="A683" s="3" t="inlineStr">
        <is>
          <t xml:space="preserve">#1501</t>
        </is>
      </c>
      <c r="B683" s="3" t="inlineStr">
        <is>
          <t xml:space="preserve">2026-05-25</t>
        </is>
      </c>
      <c r="C683" s="3" t="inlineStr">
        <is>
          <t xml:space="preserve">SKU-B</t>
        </is>
      </c>
      <c r="D683" s="3" t="inlineStr">
        <is>
          <t xml:space="preserve">Barrier Balm</t>
        </is>
      </c>
      <c r="E683" s="6">
        <f>IF('Settings'!$B$11="Scenario",IFERROR(INDEX('Catalogue'!$E$3:$E$100,MATCH(C683,'Catalogue'!$B$3:$B$100,0)),F683),F683)</f>
        <v>19</v>
      </c>
      <c r="F683" s="8">
        <v>19</v>
      </c>
      <c r="G683" s="3">
        <v>1</v>
      </c>
      <c r="H683" s="6">
        <f>IF('Settings'!$B$11="Scenario",ROUND(E683*G683*IFERROR(SUMIF('Pricing &amp; promotions'!$A$6:$A$8,L683,'Pricing &amp; promotions'!$B$6:$B$8)/100,0),2),J683)</f>
        <v>2.85</v>
      </c>
      <c r="I683" s="6">
        <f>ROUND((E683*G683-H683)/(1+'Settings'!$B$6/100),2)</f>
        <v>13.35</v>
      </c>
      <c r="J683" s="8">
        <v>2.85</v>
      </c>
      <c r="K683" s="3" t="inlineStr">
        <is>
          <t xml:space="preserve">TRUE</t>
        </is>
      </c>
      <c r="L683" s="3" t="inlineStr">
        <is>
          <t xml:space="preserve">SUMMER15</t>
        </is>
      </c>
    </row>
    <row r="684">
      <c r="A684" s="3" t="inlineStr">
        <is>
          <t xml:space="preserve">#1501</t>
        </is>
      </c>
      <c r="B684" s="3" t="inlineStr">
        <is>
          <t xml:space="preserve">2026-05-25</t>
        </is>
      </c>
      <c r="C684" s="3" t="inlineStr">
        <is>
          <t xml:space="preserve">SKU-D</t>
        </is>
      </c>
      <c r="D684" s="3" t="inlineStr">
        <is>
          <t xml:space="preserve">Daily Duo</t>
        </is>
      </c>
      <c r="E684" s="6">
        <f>IF('Settings'!$B$11="Scenario",IFERROR(INDEX('Catalogue'!$E$3:$E$100,MATCH(C684,'Catalogue'!$B$3:$B$100,0)),F684),F684)</f>
        <v>79</v>
      </c>
      <c r="F684" s="8">
        <v>79</v>
      </c>
      <c r="G684" s="3">
        <v>1</v>
      </c>
      <c r="H684" s="6">
        <f>IF('Settings'!$B$11="Scenario",ROUND(E684*G684*IFERROR(SUMIF('Pricing &amp; promotions'!$A$6:$A$8,L684,'Pricing &amp; promotions'!$B$6:$B$8)/100,0),2),J684)</f>
        <v>11.85</v>
      </c>
      <c r="I684" s="6">
        <f>ROUND((E684*G684-H684)/(1+'Settings'!$B$6/100),2)</f>
        <v>55.5</v>
      </c>
      <c r="J684" s="8">
        <v>11.85</v>
      </c>
      <c r="K684" s="3" t="inlineStr">
        <is>
          <t xml:space="preserve">TRUE</t>
        </is>
      </c>
      <c r="L684" s="3" t="inlineStr">
        <is>
          <t xml:space="preserve">SUMMER15</t>
        </is>
      </c>
    </row>
    <row r="685">
      <c r="A685" s="3" t="inlineStr">
        <is>
          <t xml:space="preserve">#1502</t>
        </is>
      </c>
      <c r="B685" s="3" t="inlineStr">
        <is>
          <t xml:space="preserve">2026-05-25</t>
        </is>
      </c>
      <c r="C685" s="3" t="inlineStr">
        <is>
          <t xml:space="preserve">SKU-A</t>
        </is>
      </c>
      <c r="D685" s="3" t="inlineStr">
        <is>
          <t xml:space="preserve">Renewal Serum</t>
        </is>
      </c>
      <c r="E685" s="6">
        <f>IF('Settings'!$B$11="Scenario",IFERROR(INDEX('Catalogue'!$E$3:$E$100,MATCH(C685,'Catalogue'!$B$3:$B$100,0)),F685),F685)</f>
        <v>69.9</v>
      </c>
      <c r="F685" s="8">
        <v>69.9</v>
      </c>
      <c r="G685" s="3">
        <v>1</v>
      </c>
      <c r="H685" s="6">
        <f>IF('Settings'!$B$11="Scenario",ROUND(E685*G685*IFERROR(SUMIF('Pricing &amp; promotions'!$A$6:$A$8,L685,'Pricing &amp; promotions'!$B$6:$B$8)/100,0),2),J685)</f>
        <v>6.99</v>
      </c>
      <c r="I685" s="6">
        <f>ROUND((E685*G685-H685)/(1+'Settings'!$B$6/100),2)</f>
        <v>51.99</v>
      </c>
      <c r="J685" s="8">
        <v>6.99</v>
      </c>
      <c r="K685" s="3" t="inlineStr">
        <is>
          <t xml:space="preserve">TRUE</t>
        </is>
      </c>
      <c r="L685" s="3" t="inlineStr">
        <is>
          <t xml:space="preserve">WELCOME10</t>
        </is>
      </c>
    </row>
    <row r="686">
      <c r="A686" s="3" t="inlineStr">
        <is>
          <t xml:space="preserve">#1503</t>
        </is>
      </c>
      <c r="B686" s="3" t="inlineStr">
        <is>
          <t xml:space="preserve">2026-05-25</t>
        </is>
      </c>
      <c r="C686" s="3" t="inlineStr">
        <is>
          <t xml:space="preserve">SKU-B</t>
        </is>
      </c>
      <c r="D686" s="3" t="inlineStr">
        <is>
          <t xml:space="preserve">Barrier Balm</t>
        </is>
      </c>
      <c r="E686" s="6">
        <f>IF('Settings'!$B$11="Scenario",IFERROR(INDEX('Catalogue'!$E$3:$E$100,MATCH(C686,'Catalogue'!$B$3:$B$100,0)),F686),F686)</f>
        <v>19</v>
      </c>
      <c r="F686" s="8">
        <v>19</v>
      </c>
      <c r="G686" s="3">
        <v>1</v>
      </c>
      <c r="H686" s="6">
        <f>IF('Settings'!$B$11="Scenario",ROUND(E686*G686*IFERROR(SUMIF('Pricing &amp; promotions'!$A$6:$A$8,L686,'Pricing &amp; promotions'!$B$6:$B$8)/100,0),2),J686)</f>
        <v>1.9</v>
      </c>
      <c r="I686" s="6">
        <f>ROUND((E686*G686-H686)/(1+'Settings'!$B$6/100),2)</f>
        <v>14.13</v>
      </c>
      <c r="J686" s="8">
        <v>1.9</v>
      </c>
      <c r="K686" s="3" t="inlineStr">
        <is>
          <t xml:space="preserve">TRUE</t>
        </is>
      </c>
      <c r="L686" s="3" t="inlineStr">
        <is>
          <t xml:space="preserve">WELCOME10</t>
        </is>
      </c>
    </row>
    <row r="687">
      <c r="A687" s="3" t="inlineStr">
        <is>
          <t xml:space="preserve">#1504</t>
        </is>
      </c>
      <c r="B687" s="3" t="inlineStr">
        <is>
          <t xml:space="preserve">2026-05-25</t>
        </is>
      </c>
      <c r="C687" s="3" t="inlineStr">
        <is>
          <t xml:space="preserve">SKU-E</t>
        </is>
      </c>
      <c r="D687" s="3" t="inlineStr">
        <is>
          <t xml:space="preserve">Complete Ritual</t>
        </is>
      </c>
      <c r="E687" s="6">
        <f>IF('Settings'!$B$11="Scenario",IFERROR(INDEX('Catalogue'!$E$3:$E$100,MATCH(C687,'Catalogue'!$B$3:$B$100,0)),F687),F687)</f>
        <v>89</v>
      </c>
      <c r="F687" s="8">
        <v>89</v>
      </c>
      <c r="G687" s="3">
        <v>1</v>
      </c>
      <c r="H687" s="6">
        <f>IF('Settings'!$B$11="Scenario",ROUND(E687*G687*IFERROR(SUMIF('Pricing &amp; promotions'!$A$6:$A$8,L687,'Pricing &amp; promotions'!$B$6:$B$8)/100,0),2),J687)</f>
        <v>13.35</v>
      </c>
      <c r="I687" s="6">
        <f>ROUND((E687*G687-H687)/(1+'Settings'!$B$6/100),2)</f>
        <v>62.52</v>
      </c>
      <c r="J687" s="8">
        <v>13.35</v>
      </c>
      <c r="K687" s="3" t="inlineStr">
        <is>
          <t xml:space="preserve">TRUE</t>
        </is>
      </c>
      <c r="L687" s="3" t="inlineStr">
        <is>
          <t xml:space="preserve">SUMMER15</t>
        </is>
      </c>
    </row>
    <row r="688">
      <c r="A688" s="3" t="inlineStr">
        <is>
          <t xml:space="preserve">#1504</t>
        </is>
      </c>
      <c r="B688" s="3" t="inlineStr">
        <is>
          <t xml:space="preserve">2026-05-25</t>
        </is>
      </c>
      <c r="C688" s="3" t="inlineStr">
        <is>
          <t xml:space="preserve">SKU-B</t>
        </is>
      </c>
      <c r="D688" s="3" t="inlineStr">
        <is>
          <t xml:space="preserve">Barrier Balm</t>
        </is>
      </c>
      <c r="E688" s="6">
        <f>IF('Settings'!$B$11="Scenario",IFERROR(INDEX('Catalogue'!$E$3:$E$100,MATCH(C688,'Catalogue'!$B$3:$B$100,0)),F688),F688)</f>
        <v>19</v>
      </c>
      <c r="F688" s="8">
        <v>19</v>
      </c>
      <c r="G688" s="3">
        <v>1</v>
      </c>
      <c r="H688" s="6">
        <f>IF('Settings'!$B$11="Scenario",ROUND(E688*G688*IFERROR(SUMIF('Pricing &amp; promotions'!$A$6:$A$8,L688,'Pricing &amp; promotions'!$B$6:$B$8)/100,0),2),J688)</f>
        <v>2.85</v>
      </c>
      <c r="I688" s="6">
        <f>ROUND((E688*G688-H688)/(1+'Settings'!$B$6/100),2)</f>
        <v>13.35</v>
      </c>
      <c r="J688" s="8">
        <v>2.85</v>
      </c>
      <c r="K688" s="3" t="inlineStr">
        <is>
          <t xml:space="preserve">TRUE</t>
        </is>
      </c>
      <c r="L688" s="3" t="inlineStr">
        <is>
          <t xml:space="preserve">SUMMER15</t>
        </is>
      </c>
    </row>
    <row r="689">
      <c r="A689" s="3" t="inlineStr">
        <is>
          <t xml:space="preserve">#1504</t>
        </is>
      </c>
      <c r="B689" s="3" t="inlineStr">
        <is>
          <t xml:space="preserve">2026-05-25</t>
        </is>
      </c>
      <c r="C689" s="3" t="inlineStr">
        <is>
          <t xml:space="preserve">SKU-F</t>
        </is>
      </c>
      <c r="D689" s="3" t="inlineStr">
        <is>
          <t xml:space="preserve">Cloud Cleanser</t>
        </is>
      </c>
      <c r="E689" s="6">
        <f>IF('Settings'!$B$11="Scenario",IFERROR(INDEX('Catalogue'!$E$3:$E$100,MATCH(C689,'Catalogue'!$B$3:$B$100,0)),F689),F689)</f>
        <v>34</v>
      </c>
      <c r="F689" s="8">
        <v>34</v>
      </c>
      <c r="G689" s="3">
        <v>1</v>
      </c>
      <c r="H689" s="6">
        <f>IF('Settings'!$B$11="Scenario",ROUND(E689*G689*IFERROR(SUMIF('Pricing &amp; promotions'!$A$6:$A$8,L689,'Pricing &amp; promotions'!$B$6:$B$8)/100,0),2),J689)</f>
        <v>5.1</v>
      </c>
      <c r="I689" s="6">
        <f>ROUND((E689*G689-H689)/(1+'Settings'!$B$6/100),2)</f>
        <v>23.88</v>
      </c>
      <c r="J689" s="8">
        <v>5.1</v>
      </c>
      <c r="K689" s="3" t="inlineStr">
        <is>
          <t xml:space="preserve">TRUE</t>
        </is>
      </c>
      <c r="L689" s="3" t="inlineStr">
        <is>
          <t xml:space="preserve">SUMMER15</t>
        </is>
      </c>
    </row>
    <row r="690">
      <c r="A690" s="3" t="inlineStr">
        <is>
          <t xml:space="preserve">#1505</t>
        </is>
      </c>
      <c r="B690" s="3" t="inlineStr">
        <is>
          <t xml:space="preserve">2026-05-26</t>
        </is>
      </c>
      <c r="C690" s="3" t="inlineStr">
        <is>
          <t xml:space="preserve">SKU-D</t>
        </is>
      </c>
      <c r="D690" s="3" t="inlineStr">
        <is>
          <t xml:space="preserve">Daily Duo</t>
        </is>
      </c>
      <c r="E690" s="6">
        <f>IF('Settings'!$B$11="Scenario",IFERROR(INDEX('Catalogue'!$E$3:$E$100,MATCH(C690,'Catalogue'!$B$3:$B$100,0)),F690),F690)</f>
        <v>79</v>
      </c>
      <c r="F690" s="8">
        <v>79</v>
      </c>
      <c r="G690" s="3">
        <v>1</v>
      </c>
      <c r="H690" s="6">
        <f>IF('Settings'!$B$11="Scenario",ROUND(E690*G690*IFERROR(SUMIF('Pricing &amp; promotions'!$A$6:$A$8,L690,'Pricing &amp; promotions'!$B$6:$B$8)/100,0),2),J690)</f>
        <v>0.0</v>
      </c>
      <c r="I690" s="6">
        <f>ROUND((E690*G690-H690)/(1+'Settings'!$B$6/100),2)</f>
        <v>65.29</v>
      </c>
      <c r="J690" s="8">
        <v>0.0</v>
      </c>
      <c r="K690" s="3" t="inlineStr">
        <is>
          <t xml:space="preserve">TRUE</t>
        </is>
      </c>
      <c r="L690" s="3"/>
    </row>
    <row r="691">
      <c r="A691" s="3" t="inlineStr">
        <is>
          <t xml:space="preserve">#1506</t>
        </is>
      </c>
      <c r="B691" s="3" t="inlineStr">
        <is>
          <t xml:space="preserve">2026-05-26</t>
        </is>
      </c>
      <c r="C691" s="3" t="inlineStr">
        <is>
          <t xml:space="preserve">SKU-E</t>
        </is>
      </c>
      <c r="D691" s="3" t="inlineStr">
        <is>
          <t xml:space="preserve">Complete Ritual</t>
        </is>
      </c>
      <c r="E691" s="6">
        <f>IF('Settings'!$B$11="Scenario",IFERROR(INDEX('Catalogue'!$E$3:$E$100,MATCH(C691,'Catalogue'!$B$3:$B$100,0)),F691),F691)</f>
        <v>89</v>
      </c>
      <c r="F691" s="8">
        <v>89</v>
      </c>
      <c r="G691" s="3">
        <v>2</v>
      </c>
      <c r="H691" s="6">
        <f>IF('Settings'!$B$11="Scenario",ROUND(E691*G691*IFERROR(SUMIF('Pricing &amp; promotions'!$A$6:$A$8,L691,'Pricing &amp; promotions'!$B$6:$B$8)/100,0),2),J691)</f>
        <v>0.0</v>
      </c>
      <c r="I691" s="6">
        <f>ROUND((E691*G691-H691)/(1+'Settings'!$B$6/100),2)</f>
        <v>147.11</v>
      </c>
      <c r="J691" s="8">
        <v>0.0</v>
      </c>
      <c r="K691" s="3" t="inlineStr">
        <is>
          <t xml:space="preserve">TRUE</t>
        </is>
      </c>
      <c r="L691" s="3"/>
    </row>
    <row r="692">
      <c r="A692" s="3" t="inlineStr">
        <is>
          <t xml:space="preserve">#1507</t>
        </is>
      </c>
      <c r="B692" s="3" t="inlineStr">
        <is>
          <t xml:space="preserve">2026-05-27</t>
        </is>
      </c>
      <c r="C692" s="3" t="inlineStr">
        <is>
          <t xml:space="preserve">SKU-D</t>
        </is>
      </c>
      <c r="D692" s="3" t="inlineStr">
        <is>
          <t xml:space="preserve">Daily Duo</t>
        </is>
      </c>
      <c r="E692" s="6">
        <f>IF('Settings'!$B$11="Scenario",IFERROR(INDEX('Catalogue'!$E$3:$E$100,MATCH(C692,'Catalogue'!$B$3:$B$100,0)),F692),F692)</f>
        <v>79</v>
      </c>
      <c r="F692" s="8">
        <v>79</v>
      </c>
      <c r="G692" s="3">
        <v>1</v>
      </c>
      <c r="H692" s="6">
        <f>IF('Settings'!$B$11="Scenario",ROUND(E692*G692*IFERROR(SUMIF('Pricing &amp; promotions'!$A$6:$A$8,L692,'Pricing &amp; promotions'!$B$6:$B$8)/100,0),2),J692)</f>
        <v>15.8</v>
      </c>
      <c r="I692" s="6">
        <f>ROUND((E692*G692-H692)/(1+'Settings'!$B$6/100),2)</f>
        <v>52.23</v>
      </c>
      <c r="J692" s="8">
        <v>15.8</v>
      </c>
      <c r="K692" s="3" t="inlineStr">
        <is>
          <t xml:space="preserve">TRUE</t>
        </is>
      </c>
      <c r="L692" s="3" t="inlineStr">
        <is>
          <t xml:space="preserve">VIP20</t>
        </is>
      </c>
    </row>
    <row r="693">
      <c r="A693" s="3" t="inlineStr">
        <is>
          <t xml:space="preserve">#1507</t>
        </is>
      </c>
      <c r="B693" s="3" t="inlineStr">
        <is>
          <t xml:space="preserve">2026-05-27</t>
        </is>
      </c>
      <c r="C693" s="3" t="inlineStr">
        <is>
          <t xml:space="preserve">SKU-B</t>
        </is>
      </c>
      <c r="D693" s="3" t="inlineStr">
        <is>
          <t xml:space="preserve">Barrier Balm</t>
        </is>
      </c>
      <c r="E693" s="6">
        <f>IF('Settings'!$B$11="Scenario",IFERROR(INDEX('Catalogue'!$E$3:$E$100,MATCH(C693,'Catalogue'!$B$3:$B$100,0)),F693),F693)</f>
        <v>19</v>
      </c>
      <c r="F693" s="8">
        <v>19</v>
      </c>
      <c r="G693" s="3">
        <v>1</v>
      </c>
      <c r="H693" s="6">
        <f>IF('Settings'!$B$11="Scenario",ROUND(E693*G693*IFERROR(SUMIF('Pricing &amp; promotions'!$A$6:$A$8,L693,'Pricing &amp; promotions'!$B$6:$B$8)/100,0),2),J693)</f>
        <v>3.8</v>
      </c>
      <c r="I693" s="6">
        <f>ROUND((E693*G693-H693)/(1+'Settings'!$B$6/100),2)</f>
        <v>12.56</v>
      </c>
      <c r="J693" s="8">
        <v>3.8</v>
      </c>
      <c r="K693" s="3" t="inlineStr">
        <is>
          <t xml:space="preserve">TRUE</t>
        </is>
      </c>
      <c r="L693" s="3" t="inlineStr">
        <is>
          <t xml:space="preserve">VIP20</t>
        </is>
      </c>
    </row>
    <row r="694">
      <c r="A694" s="3" t="inlineStr">
        <is>
          <t xml:space="preserve">#1508</t>
        </is>
      </c>
      <c r="B694" s="3" t="inlineStr">
        <is>
          <t xml:space="preserve">2026-05-27</t>
        </is>
      </c>
      <c r="C694" s="3" t="inlineStr">
        <is>
          <t xml:space="preserve">SKU-D</t>
        </is>
      </c>
      <c r="D694" s="3" t="inlineStr">
        <is>
          <t xml:space="preserve">Daily Duo</t>
        </is>
      </c>
      <c r="E694" s="6">
        <f>IF('Settings'!$B$11="Scenario",IFERROR(INDEX('Catalogue'!$E$3:$E$100,MATCH(C694,'Catalogue'!$B$3:$B$100,0)),F694),F694)</f>
        <v>79</v>
      </c>
      <c r="F694" s="8">
        <v>79</v>
      </c>
      <c r="G694" s="3">
        <v>1</v>
      </c>
      <c r="H694" s="6">
        <f>IF('Settings'!$B$11="Scenario",ROUND(E694*G694*IFERROR(SUMIF('Pricing &amp; promotions'!$A$6:$A$8,L694,'Pricing &amp; promotions'!$B$6:$B$8)/100,0),2),J694)</f>
        <v>0.0</v>
      </c>
      <c r="I694" s="6">
        <f>ROUND((E694*G694-H694)/(1+'Settings'!$B$6/100),2)</f>
        <v>65.29</v>
      </c>
      <c r="J694" s="8">
        <v>0.0</v>
      </c>
      <c r="K694" s="3" t="inlineStr">
        <is>
          <t xml:space="preserve">TRUE</t>
        </is>
      </c>
      <c r="L694" s="3"/>
    </row>
    <row r="695">
      <c r="A695" s="3" t="inlineStr">
        <is>
          <t xml:space="preserve">#1509</t>
        </is>
      </c>
      <c r="B695" s="3" t="inlineStr">
        <is>
          <t xml:space="preserve">2026-05-27</t>
        </is>
      </c>
      <c r="C695" s="3" t="inlineStr">
        <is>
          <t xml:space="preserve">SKU-A</t>
        </is>
      </c>
      <c r="D695" s="3" t="inlineStr">
        <is>
          <t xml:space="preserve">Renewal Serum</t>
        </is>
      </c>
      <c r="E695" s="6">
        <f>IF('Settings'!$B$11="Scenario",IFERROR(INDEX('Catalogue'!$E$3:$E$100,MATCH(C695,'Catalogue'!$B$3:$B$100,0)),F695),F695)</f>
        <v>69.9</v>
      </c>
      <c r="F695" s="8">
        <v>69.9</v>
      </c>
      <c r="G695" s="3">
        <v>1</v>
      </c>
      <c r="H695" s="6">
        <f>IF('Settings'!$B$11="Scenario",ROUND(E695*G695*IFERROR(SUMIF('Pricing &amp; promotions'!$A$6:$A$8,L695,'Pricing &amp; promotions'!$B$6:$B$8)/100,0),2),J695)</f>
        <v>0.0</v>
      </c>
      <c r="I695" s="6">
        <f>ROUND((E695*G695-H695)/(1+'Settings'!$B$6/100),2)</f>
        <v>57.77</v>
      </c>
      <c r="J695" s="8">
        <v>0.0</v>
      </c>
      <c r="K695" s="3" t="inlineStr">
        <is>
          <t xml:space="preserve">TRUE</t>
        </is>
      </c>
      <c r="L695" s="3"/>
    </row>
    <row r="696">
      <c r="A696" s="3" t="inlineStr">
        <is>
          <t xml:space="preserve">#1510</t>
        </is>
      </c>
      <c r="B696" s="3" t="inlineStr">
        <is>
          <t xml:space="preserve">2026-05-28</t>
        </is>
      </c>
      <c r="C696" s="3" t="inlineStr">
        <is>
          <t xml:space="preserve">SKU-G</t>
        </is>
      </c>
      <c r="D696" s="3" t="inlineStr">
        <is>
          <t xml:space="preserve">Daily Reset Set</t>
        </is>
      </c>
      <c r="E696" s="6">
        <f>IF('Settings'!$B$11="Scenario",IFERROR(INDEX('Catalogue'!$E$3:$E$100,MATCH(C696,'Catalogue'!$B$3:$B$100,0)),F696),F696)</f>
        <v>69</v>
      </c>
      <c r="F696" s="8">
        <v>69</v>
      </c>
      <c r="G696" s="3">
        <v>1</v>
      </c>
      <c r="H696" s="6">
        <f>IF('Settings'!$B$11="Scenario",ROUND(E696*G696*IFERROR(SUMIF('Pricing &amp; promotions'!$A$6:$A$8,L696,'Pricing &amp; promotions'!$B$6:$B$8)/100,0),2),J696)</f>
        <v>0.0</v>
      </c>
      <c r="I696" s="6">
        <f>ROUND((E696*G696-H696)/(1+'Settings'!$B$6/100),2)</f>
        <v>57.02</v>
      </c>
      <c r="J696" s="8">
        <v>0.0</v>
      </c>
      <c r="K696" s="3" t="inlineStr">
        <is>
          <t xml:space="preserve">TRUE</t>
        </is>
      </c>
      <c r="L696" s="3"/>
    </row>
    <row r="697">
      <c r="A697" s="3" t="inlineStr">
        <is>
          <t xml:space="preserve">#1511</t>
        </is>
      </c>
      <c r="B697" s="3" t="inlineStr">
        <is>
          <t xml:space="preserve">2026-05-28</t>
        </is>
      </c>
      <c r="C697" s="3" t="inlineStr">
        <is>
          <t xml:space="preserve">SKU-B</t>
        </is>
      </c>
      <c r="D697" s="3" t="inlineStr">
        <is>
          <t xml:space="preserve">Barrier Balm</t>
        </is>
      </c>
      <c r="E697" s="6">
        <f>IF('Settings'!$B$11="Scenario",IFERROR(INDEX('Catalogue'!$E$3:$E$100,MATCH(C697,'Catalogue'!$B$3:$B$100,0)),F697),F697)</f>
        <v>19</v>
      </c>
      <c r="F697" s="8">
        <v>19</v>
      </c>
      <c r="G697" s="3">
        <v>2</v>
      </c>
      <c r="H697" s="6">
        <f>IF('Settings'!$B$11="Scenario",ROUND(E697*G697*IFERROR(SUMIF('Pricing &amp; promotions'!$A$6:$A$8,L697,'Pricing &amp; promotions'!$B$6:$B$8)/100,0),2),J697)</f>
        <v>3.8</v>
      </c>
      <c r="I697" s="6">
        <f>ROUND((E697*G697-H697)/(1+'Settings'!$B$6/100),2)</f>
        <v>28.26</v>
      </c>
      <c r="J697" s="8">
        <v>3.8</v>
      </c>
      <c r="K697" s="3" t="inlineStr">
        <is>
          <t xml:space="preserve">TRUE</t>
        </is>
      </c>
      <c r="L697" s="3" t="inlineStr">
        <is>
          <t xml:space="preserve">WELCOME10</t>
        </is>
      </c>
    </row>
    <row r="698">
      <c r="A698" s="3" t="inlineStr">
        <is>
          <t xml:space="preserve">#1512</t>
        </is>
      </c>
      <c r="B698" s="3" t="inlineStr">
        <is>
          <t xml:space="preserve">2026-05-28</t>
        </is>
      </c>
      <c r="C698" s="3" t="inlineStr">
        <is>
          <t xml:space="preserve">SKU-A</t>
        </is>
      </c>
      <c r="D698" s="3" t="inlineStr">
        <is>
          <t xml:space="preserve">Renewal Serum</t>
        </is>
      </c>
      <c r="E698" s="6">
        <f>IF('Settings'!$B$11="Scenario",IFERROR(INDEX('Catalogue'!$E$3:$E$100,MATCH(C698,'Catalogue'!$B$3:$B$100,0)),F698),F698)</f>
        <v>69.9</v>
      </c>
      <c r="F698" s="8">
        <v>69.9</v>
      </c>
      <c r="G698" s="3">
        <v>1</v>
      </c>
      <c r="H698" s="6">
        <f>IF('Settings'!$B$11="Scenario",ROUND(E698*G698*IFERROR(SUMIF('Pricing &amp; promotions'!$A$6:$A$8,L698,'Pricing &amp; promotions'!$B$6:$B$8)/100,0),2),J698)</f>
        <v>13.98</v>
      </c>
      <c r="I698" s="6">
        <f>ROUND((E698*G698-H698)/(1+'Settings'!$B$6/100),2)</f>
        <v>46.21</v>
      </c>
      <c r="J698" s="8">
        <v>13.98</v>
      </c>
      <c r="K698" s="3" t="inlineStr">
        <is>
          <t xml:space="preserve">TRUE</t>
        </is>
      </c>
      <c r="L698" s="3" t="inlineStr">
        <is>
          <t xml:space="preserve">VIP20</t>
        </is>
      </c>
    </row>
    <row r="699">
      <c r="A699" s="3" t="inlineStr">
        <is>
          <t xml:space="preserve">#1513</t>
        </is>
      </c>
      <c r="B699" s="3" t="inlineStr">
        <is>
          <t xml:space="preserve">2026-05-29</t>
        </is>
      </c>
      <c r="C699" s="3" t="inlineStr">
        <is>
          <t xml:space="preserve">SKU-E</t>
        </is>
      </c>
      <c r="D699" s="3" t="inlineStr">
        <is>
          <t xml:space="preserve">Complete Ritual</t>
        </is>
      </c>
      <c r="E699" s="6">
        <f>IF('Settings'!$B$11="Scenario",IFERROR(INDEX('Catalogue'!$E$3:$E$100,MATCH(C699,'Catalogue'!$B$3:$B$100,0)),F699),F699)</f>
        <v>89</v>
      </c>
      <c r="F699" s="8">
        <v>89</v>
      </c>
      <c r="G699" s="3">
        <v>1</v>
      </c>
      <c r="H699" s="6">
        <f>IF('Settings'!$B$11="Scenario",ROUND(E699*G699*IFERROR(SUMIF('Pricing &amp; promotions'!$A$6:$A$8,L699,'Pricing &amp; promotions'!$B$6:$B$8)/100,0),2),J699)</f>
        <v>8.9</v>
      </c>
      <c r="I699" s="6">
        <f>ROUND((E699*G699-H699)/(1+'Settings'!$B$6/100),2)</f>
        <v>66.2</v>
      </c>
      <c r="J699" s="8">
        <v>8.9</v>
      </c>
      <c r="K699" s="3" t="inlineStr">
        <is>
          <t xml:space="preserve">TRUE</t>
        </is>
      </c>
      <c r="L699" s="3" t="inlineStr">
        <is>
          <t xml:space="preserve">WELCOME10</t>
        </is>
      </c>
    </row>
    <row r="700">
      <c r="A700" s="3" t="inlineStr">
        <is>
          <t xml:space="preserve">#1514</t>
        </is>
      </c>
      <c r="B700" s="3" t="inlineStr">
        <is>
          <t xml:space="preserve">2026-05-29</t>
        </is>
      </c>
      <c r="C700" s="3" t="inlineStr">
        <is>
          <t xml:space="preserve">SKU-C</t>
        </is>
      </c>
      <c r="D700" s="3" t="inlineStr">
        <is>
          <t xml:space="preserve">Contour Stone</t>
        </is>
      </c>
      <c r="E700" s="6">
        <f>IF('Settings'!$B$11="Scenario",IFERROR(INDEX('Catalogue'!$E$3:$E$100,MATCH(C700,'Catalogue'!$B$3:$B$100,0)),F700),F700)</f>
        <v>29</v>
      </c>
      <c r="F700" s="8">
        <v>29</v>
      </c>
      <c r="G700" s="3">
        <v>1</v>
      </c>
      <c r="H700" s="6">
        <f>IF('Settings'!$B$11="Scenario",ROUND(E700*G700*IFERROR(SUMIF('Pricing &amp; promotions'!$A$6:$A$8,L700,'Pricing &amp; promotions'!$B$6:$B$8)/100,0),2),J700)</f>
        <v>2.9</v>
      </c>
      <c r="I700" s="6">
        <f>ROUND((E700*G700-H700)/(1+'Settings'!$B$6/100),2)</f>
        <v>21.57</v>
      </c>
      <c r="J700" s="8">
        <v>2.9</v>
      </c>
      <c r="K700" s="3" t="inlineStr">
        <is>
          <t xml:space="preserve">TRUE</t>
        </is>
      </c>
      <c r="L700" s="3" t="inlineStr">
        <is>
          <t xml:space="preserve">WELCOME10</t>
        </is>
      </c>
    </row>
    <row r="701">
      <c r="A701" s="3" t="inlineStr">
        <is>
          <t xml:space="preserve">#1515</t>
        </is>
      </c>
      <c r="B701" s="3" t="inlineStr">
        <is>
          <t xml:space="preserve">2026-05-29</t>
        </is>
      </c>
      <c r="C701" s="3" t="inlineStr">
        <is>
          <t xml:space="preserve">SKU-A</t>
        </is>
      </c>
      <c r="D701" s="3" t="inlineStr">
        <is>
          <t xml:space="preserve">Renewal Serum</t>
        </is>
      </c>
      <c r="E701" s="6">
        <f>IF('Settings'!$B$11="Scenario",IFERROR(INDEX('Catalogue'!$E$3:$E$100,MATCH(C701,'Catalogue'!$B$3:$B$100,0)),F701),F701)</f>
        <v>69.9</v>
      </c>
      <c r="F701" s="8">
        <v>69.9</v>
      </c>
      <c r="G701" s="3">
        <v>1</v>
      </c>
      <c r="H701" s="6">
        <f>IF('Settings'!$B$11="Scenario",ROUND(E701*G701*IFERROR(SUMIF('Pricing &amp; promotions'!$A$6:$A$8,L701,'Pricing &amp; promotions'!$B$6:$B$8)/100,0),2),J701)</f>
        <v>0.0</v>
      </c>
      <c r="I701" s="6">
        <f>ROUND((E701*G701-H701)/(1+'Settings'!$B$6/100),2)</f>
        <v>57.77</v>
      </c>
      <c r="J701" s="8">
        <v>0.0</v>
      </c>
      <c r="K701" s="3" t="inlineStr">
        <is>
          <t xml:space="preserve">TRUE</t>
        </is>
      </c>
      <c r="L701" s="3"/>
    </row>
    <row r="702">
      <c r="A702" s="3" t="inlineStr">
        <is>
          <t xml:space="preserve">#1516</t>
        </is>
      </c>
      <c r="B702" s="3" t="inlineStr">
        <is>
          <t xml:space="preserve">2026-05-30</t>
        </is>
      </c>
      <c r="C702" s="3" t="inlineStr">
        <is>
          <t xml:space="preserve">SKU-A</t>
        </is>
      </c>
      <c r="D702" s="3" t="inlineStr">
        <is>
          <t xml:space="preserve">Renewal Serum</t>
        </is>
      </c>
      <c r="E702" s="6">
        <f>IF('Settings'!$B$11="Scenario",IFERROR(INDEX('Catalogue'!$E$3:$E$100,MATCH(C702,'Catalogue'!$B$3:$B$100,0)),F702),F702)</f>
        <v>69.9</v>
      </c>
      <c r="F702" s="8">
        <v>69.9</v>
      </c>
      <c r="G702" s="3">
        <v>1</v>
      </c>
      <c r="H702" s="6">
        <f>IF('Settings'!$B$11="Scenario",ROUND(E702*G702*IFERROR(SUMIF('Pricing &amp; promotions'!$A$6:$A$8,L702,'Pricing &amp; promotions'!$B$6:$B$8)/100,0),2),J702)</f>
        <v>0.0</v>
      </c>
      <c r="I702" s="6">
        <f>ROUND((E702*G702-H702)/(1+'Settings'!$B$6/100),2)</f>
        <v>57.77</v>
      </c>
      <c r="J702" s="8">
        <v>0.0</v>
      </c>
      <c r="K702" s="3" t="inlineStr">
        <is>
          <t xml:space="preserve">TRUE</t>
        </is>
      </c>
      <c r="L702" s="3"/>
    </row>
    <row r="703">
      <c r="A703" s="3" t="inlineStr">
        <is>
          <t xml:space="preserve">#1517</t>
        </is>
      </c>
      <c r="B703" s="3" t="inlineStr">
        <is>
          <t xml:space="preserve">2026-05-30</t>
        </is>
      </c>
      <c r="C703" s="3" t="inlineStr">
        <is>
          <t xml:space="preserve">SKU-C</t>
        </is>
      </c>
      <c r="D703" s="3" t="inlineStr">
        <is>
          <t xml:space="preserve">Contour Stone</t>
        </is>
      </c>
      <c r="E703" s="6">
        <f>IF('Settings'!$B$11="Scenario",IFERROR(INDEX('Catalogue'!$E$3:$E$100,MATCH(C703,'Catalogue'!$B$3:$B$100,0)),F703),F703)</f>
        <v>29</v>
      </c>
      <c r="F703" s="8">
        <v>29</v>
      </c>
      <c r="G703" s="3">
        <v>1</v>
      </c>
      <c r="H703" s="6">
        <f>IF('Settings'!$B$11="Scenario",ROUND(E703*G703*IFERROR(SUMIF('Pricing &amp; promotions'!$A$6:$A$8,L703,'Pricing &amp; promotions'!$B$6:$B$8)/100,0),2),J703)</f>
        <v>4.35</v>
      </c>
      <c r="I703" s="6">
        <f>ROUND((E703*G703-H703)/(1+'Settings'!$B$6/100),2)</f>
        <v>20.37</v>
      </c>
      <c r="J703" s="8">
        <v>4.35</v>
      </c>
      <c r="K703" s="3" t="inlineStr">
        <is>
          <t xml:space="preserve">TRUE</t>
        </is>
      </c>
      <c r="L703" s="3" t="inlineStr">
        <is>
          <t xml:space="preserve">SUMMER15</t>
        </is>
      </c>
    </row>
    <row r="704">
      <c r="A704" s="3" t="inlineStr">
        <is>
          <t xml:space="preserve">#1518</t>
        </is>
      </c>
      <c r="B704" s="3" t="inlineStr">
        <is>
          <t xml:space="preserve">2026-05-30</t>
        </is>
      </c>
      <c r="C704" s="3" t="inlineStr">
        <is>
          <t xml:space="preserve">SKU-E</t>
        </is>
      </c>
      <c r="D704" s="3" t="inlineStr">
        <is>
          <t xml:space="preserve">Complete Ritual</t>
        </is>
      </c>
      <c r="E704" s="6">
        <f>IF('Settings'!$B$11="Scenario",IFERROR(INDEX('Catalogue'!$E$3:$E$100,MATCH(C704,'Catalogue'!$B$3:$B$100,0)),F704),F704)</f>
        <v>89</v>
      </c>
      <c r="F704" s="8">
        <v>89</v>
      </c>
      <c r="G704" s="3">
        <v>1</v>
      </c>
      <c r="H704" s="6">
        <f>IF('Settings'!$B$11="Scenario",ROUND(E704*G704*IFERROR(SUMIF('Pricing &amp; promotions'!$A$6:$A$8,L704,'Pricing &amp; promotions'!$B$6:$B$8)/100,0),2),J704)</f>
        <v>0.0</v>
      </c>
      <c r="I704" s="6">
        <f>ROUND((E704*G704-H704)/(1+'Settings'!$B$6/100),2)</f>
        <v>73.55</v>
      </c>
      <c r="J704" s="8">
        <v>0.0</v>
      </c>
      <c r="K704" s="3" t="inlineStr">
        <is>
          <t xml:space="preserve">TRUE</t>
        </is>
      </c>
      <c r="L704" s="3"/>
    </row>
    <row r="705">
      <c r="A705" s="3" t="inlineStr">
        <is>
          <t xml:space="preserve">#1518</t>
        </is>
      </c>
      <c r="B705" s="3" t="inlineStr">
        <is>
          <t xml:space="preserve">2026-05-30</t>
        </is>
      </c>
      <c r="C705" s="3" t="inlineStr">
        <is>
          <t xml:space="preserve">SKU-D</t>
        </is>
      </c>
      <c r="D705" s="3" t="inlineStr">
        <is>
          <t xml:space="preserve">Daily Duo</t>
        </is>
      </c>
      <c r="E705" s="6">
        <f>IF('Settings'!$B$11="Scenario",IFERROR(INDEX('Catalogue'!$E$3:$E$100,MATCH(C705,'Catalogue'!$B$3:$B$100,0)),F705),F705)</f>
        <v>79</v>
      </c>
      <c r="F705" s="8">
        <v>79</v>
      </c>
      <c r="G705" s="3">
        <v>1</v>
      </c>
      <c r="H705" s="6">
        <f>IF('Settings'!$B$11="Scenario",ROUND(E705*G705*IFERROR(SUMIF('Pricing &amp; promotions'!$A$6:$A$8,L705,'Pricing &amp; promotions'!$B$6:$B$8)/100,0),2),J705)</f>
        <v>0.0</v>
      </c>
      <c r="I705" s="6">
        <f>ROUND((E705*G705-H705)/(1+'Settings'!$B$6/100),2)</f>
        <v>65.29</v>
      </c>
      <c r="J705" s="8">
        <v>0.0</v>
      </c>
      <c r="K705" s="3" t="inlineStr">
        <is>
          <t xml:space="preserve">TRUE</t>
        </is>
      </c>
      <c r="L705" s="3"/>
    </row>
    <row r="706">
      <c r="A706" s="3" t="inlineStr">
        <is>
          <t xml:space="preserve">#1518</t>
        </is>
      </c>
      <c r="B706" s="3" t="inlineStr">
        <is>
          <t xml:space="preserve">2026-05-30</t>
        </is>
      </c>
      <c r="C706" s="3" t="inlineStr">
        <is>
          <t xml:space="preserve">SKU-G</t>
        </is>
      </c>
      <c r="D706" s="3" t="inlineStr">
        <is>
          <t xml:space="preserve">Daily Reset Set</t>
        </is>
      </c>
      <c r="E706" s="6">
        <f>IF('Settings'!$B$11="Scenario",IFERROR(INDEX('Catalogue'!$E$3:$E$100,MATCH(C706,'Catalogue'!$B$3:$B$100,0)),F706),F706)</f>
        <v>69</v>
      </c>
      <c r="F706" s="8">
        <v>69</v>
      </c>
      <c r="G706" s="3">
        <v>1</v>
      </c>
      <c r="H706" s="6">
        <f>IF('Settings'!$B$11="Scenario",ROUND(E706*G706*IFERROR(SUMIF('Pricing &amp; promotions'!$A$6:$A$8,L706,'Pricing &amp; promotions'!$B$6:$B$8)/100,0),2),J706)</f>
        <v>0.0</v>
      </c>
      <c r="I706" s="6">
        <f>ROUND((E706*G706-H706)/(1+'Settings'!$B$6/100),2)</f>
        <v>57.02</v>
      </c>
      <c r="J706" s="8">
        <v>0.0</v>
      </c>
      <c r="K706" s="3" t="inlineStr">
        <is>
          <t xml:space="preserve">TRUE</t>
        </is>
      </c>
      <c r="L706" s="3"/>
    </row>
    <row r="707">
      <c r="A707" s="3" t="inlineStr">
        <is>
          <t xml:space="preserve">#1519</t>
        </is>
      </c>
      <c r="B707" s="3" t="inlineStr">
        <is>
          <t xml:space="preserve">2026-05-30</t>
        </is>
      </c>
      <c r="C707" s="3" t="inlineStr">
        <is>
          <t xml:space="preserve">SKU-E</t>
        </is>
      </c>
      <c r="D707" s="3" t="inlineStr">
        <is>
          <t xml:space="preserve">Complete Ritual</t>
        </is>
      </c>
      <c r="E707" s="6">
        <f>IF('Settings'!$B$11="Scenario",IFERROR(INDEX('Catalogue'!$E$3:$E$100,MATCH(C707,'Catalogue'!$B$3:$B$100,0)),F707),F707)</f>
        <v>89</v>
      </c>
      <c r="F707" s="8">
        <v>89</v>
      </c>
      <c r="G707" s="3">
        <v>2</v>
      </c>
      <c r="H707" s="6">
        <f>IF('Settings'!$B$11="Scenario",ROUND(E707*G707*IFERROR(SUMIF('Pricing &amp; promotions'!$A$6:$A$8,L707,'Pricing &amp; promotions'!$B$6:$B$8)/100,0),2),J707)</f>
        <v>0.0</v>
      </c>
      <c r="I707" s="6">
        <f>ROUND((E707*G707-H707)/(1+'Settings'!$B$6/100),2)</f>
        <v>147.11</v>
      </c>
      <c r="J707" s="8">
        <v>0.0</v>
      </c>
      <c r="K707" s="3" t="inlineStr">
        <is>
          <t xml:space="preserve">TRUE</t>
        </is>
      </c>
      <c r="L707" s="3"/>
    </row>
    <row r="708">
      <c r="A708" s="3" t="inlineStr">
        <is>
          <t xml:space="preserve">#1520</t>
        </is>
      </c>
      <c r="B708" s="3" t="inlineStr">
        <is>
          <t xml:space="preserve">2026-05-31</t>
        </is>
      </c>
      <c r="C708" s="3" t="inlineStr">
        <is>
          <t xml:space="preserve">SKU-E</t>
        </is>
      </c>
      <c r="D708" s="3" t="inlineStr">
        <is>
          <t xml:space="preserve">Complete Ritual</t>
        </is>
      </c>
      <c r="E708" s="6">
        <f>IF('Settings'!$B$11="Scenario",IFERROR(INDEX('Catalogue'!$E$3:$E$100,MATCH(C708,'Catalogue'!$B$3:$B$100,0)),F708),F708)</f>
        <v>89</v>
      </c>
      <c r="F708" s="8">
        <v>89</v>
      </c>
      <c r="G708" s="3">
        <v>1</v>
      </c>
      <c r="H708" s="6">
        <f>IF('Settings'!$B$11="Scenario",ROUND(E708*G708*IFERROR(SUMIF('Pricing &amp; promotions'!$A$6:$A$8,L708,'Pricing &amp; promotions'!$B$6:$B$8)/100,0),2),J708)</f>
        <v>8.9</v>
      </c>
      <c r="I708" s="6">
        <f>ROUND((E708*G708-H708)/(1+'Settings'!$B$6/100),2)</f>
        <v>66.2</v>
      </c>
      <c r="J708" s="8">
        <v>8.9</v>
      </c>
      <c r="K708" s="3" t="inlineStr">
        <is>
          <t xml:space="preserve">TRUE</t>
        </is>
      </c>
      <c r="L708" s="3" t="inlineStr">
        <is>
          <t xml:space="preserve">WELCOME10</t>
        </is>
      </c>
    </row>
    <row r="709">
      <c r="A709" s="3" t="inlineStr">
        <is>
          <t xml:space="preserve">#1521</t>
        </is>
      </c>
      <c r="B709" s="3" t="inlineStr">
        <is>
          <t xml:space="preserve">2026-06-01</t>
        </is>
      </c>
      <c r="C709" s="3" t="inlineStr">
        <is>
          <t xml:space="preserve">SKU-G</t>
        </is>
      </c>
      <c r="D709" s="3" t="inlineStr">
        <is>
          <t xml:space="preserve">Daily Reset Set</t>
        </is>
      </c>
      <c r="E709" s="6">
        <f>IF('Settings'!$B$11="Scenario",IFERROR(INDEX('Catalogue'!$E$3:$E$100,MATCH(C709,'Catalogue'!$B$3:$B$100,0)),F709),F709)</f>
        <v>69</v>
      </c>
      <c r="F709" s="8">
        <v>69</v>
      </c>
      <c r="G709" s="3">
        <v>1</v>
      </c>
      <c r="H709" s="6">
        <f>IF('Settings'!$B$11="Scenario",ROUND(E709*G709*IFERROR(SUMIF('Pricing &amp; promotions'!$A$6:$A$8,L709,'Pricing &amp; promotions'!$B$6:$B$8)/100,0),2),J709)</f>
        <v>0.0</v>
      </c>
      <c r="I709" s="6">
        <f>ROUND((E709*G709-H709)/(1+'Settings'!$B$6/100),2)</f>
        <v>57.02</v>
      </c>
      <c r="J709" s="8">
        <v>0.0</v>
      </c>
      <c r="K709" s="3" t="inlineStr">
        <is>
          <t xml:space="preserve">TRUE</t>
        </is>
      </c>
      <c r="L709" s="3"/>
    </row>
    <row r="710">
      <c r="A710" s="3" t="inlineStr">
        <is>
          <t xml:space="preserve">#1522</t>
        </is>
      </c>
      <c r="B710" s="3" t="inlineStr">
        <is>
          <t xml:space="preserve">2026-06-01</t>
        </is>
      </c>
      <c r="C710" s="3" t="inlineStr">
        <is>
          <t xml:space="preserve">SKU-A</t>
        </is>
      </c>
      <c r="D710" s="3" t="inlineStr">
        <is>
          <t xml:space="preserve">Renewal Serum</t>
        </is>
      </c>
      <c r="E710" s="6">
        <f>IF('Settings'!$B$11="Scenario",IFERROR(INDEX('Catalogue'!$E$3:$E$100,MATCH(C710,'Catalogue'!$B$3:$B$100,0)),F710),F710)</f>
        <v>69.9</v>
      </c>
      <c r="F710" s="8">
        <v>69.9</v>
      </c>
      <c r="G710" s="3">
        <v>1</v>
      </c>
      <c r="H710" s="6">
        <f>IF('Settings'!$B$11="Scenario",ROUND(E710*G710*IFERROR(SUMIF('Pricing &amp; promotions'!$A$6:$A$8,L710,'Pricing &amp; promotions'!$B$6:$B$8)/100,0),2),J710)</f>
        <v>10.49</v>
      </c>
      <c r="I710" s="6">
        <f>ROUND((E710*G710-H710)/(1+'Settings'!$B$6/100),2)</f>
        <v>49.1</v>
      </c>
      <c r="J710" s="8">
        <v>10.49</v>
      </c>
      <c r="K710" s="3" t="inlineStr">
        <is>
          <t xml:space="preserve">TRUE</t>
        </is>
      </c>
      <c r="L710" s="3" t="inlineStr">
        <is>
          <t xml:space="preserve">SUMMER15</t>
        </is>
      </c>
    </row>
    <row r="711">
      <c r="A711" s="3" t="inlineStr">
        <is>
          <t xml:space="preserve">#1523</t>
        </is>
      </c>
      <c r="B711" s="3" t="inlineStr">
        <is>
          <t xml:space="preserve">2026-06-02</t>
        </is>
      </c>
      <c r="C711" s="3" t="inlineStr">
        <is>
          <t xml:space="preserve">SKU-D</t>
        </is>
      </c>
      <c r="D711" s="3" t="inlineStr">
        <is>
          <t xml:space="preserve">Daily Duo</t>
        </is>
      </c>
      <c r="E711" s="6">
        <f>IF('Settings'!$B$11="Scenario",IFERROR(INDEX('Catalogue'!$E$3:$E$100,MATCH(C711,'Catalogue'!$B$3:$B$100,0)),F711),F711)</f>
        <v>79</v>
      </c>
      <c r="F711" s="8">
        <v>79</v>
      </c>
      <c r="G711" s="3">
        <v>2</v>
      </c>
      <c r="H711" s="6">
        <f>IF('Settings'!$B$11="Scenario",ROUND(E711*G711*IFERROR(SUMIF('Pricing &amp; promotions'!$A$6:$A$8,L711,'Pricing &amp; promotions'!$B$6:$B$8)/100,0),2),J711)</f>
        <v>15.8</v>
      </c>
      <c r="I711" s="6">
        <f>ROUND((E711*G711-H711)/(1+'Settings'!$B$6/100),2)</f>
        <v>117.52</v>
      </c>
      <c r="J711" s="8">
        <v>15.8</v>
      </c>
      <c r="K711" s="3" t="inlineStr">
        <is>
          <t xml:space="preserve">TRUE</t>
        </is>
      </c>
      <c r="L711" s="3" t="inlineStr">
        <is>
          <t xml:space="preserve">WELCOME10</t>
        </is>
      </c>
    </row>
    <row r="712">
      <c r="A712" s="3" t="inlineStr">
        <is>
          <t xml:space="preserve">#1524</t>
        </is>
      </c>
      <c r="B712" s="3" t="inlineStr">
        <is>
          <t xml:space="preserve">2026-06-03</t>
        </is>
      </c>
      <c r="C712" s="3" t="inlineStr">
        <is>
          <t xml:space="preserve">SKU-E</t>
        </is>
      </c>
      <c r="D712" s="3" t="inlineStr">
        <is>
          <t xml:space="preserve">Complete Ritual</t>
        </is>
      </c>
      <c r="E712" s="6">
        <f>IF('Settings'!$B$11="Scenario",IFERROR(INDEX('Catalogue'!$E$3:$E$100,MATCH(C712,'Catalogue'!$B$3:$B$100,0)),F712),F712)</f>
        <v>89</v>
      </c>
      <c r="F712" s="8">
        <v>89</v>
      </c>
      <c r="G712" s="3">
        <v>2</v>
      </c>
      <c r="H712" s="6">
        <f>IF('Settings'!$B$11="Scenario",ROUND(E712*G712*IFERROR(SUMIF('Pricing &amp; promotions'!$A$6:$A$8,L712,'Pricing &amp; promotions'!$B$6:$B$8)/100,0),2),J712)</f>
        <v>0.0</v>
      </c>
      <c r="I712" s="6">
        <f>ROUND((E712*G712-H712)/(1+'Settings'!$B$6/100),2)</f>
        <v>147.11</v>
      </c>
      <c r="J712" s="8">
        <v>0.0</v>
      </c>
      <c r="K712" s="3" t="inlineStr">
        <is>
          <t xml:space="preserve">TRUE</t>
        </is>
      </c>
      <c r="L712" s="3"/>
    </row>
    <row r="713">
      <c r="A713" s="3" t="inlineStr">
        <is>
          <t xml:space="preserve">#1524</t>
        </is>
      </c>
      <c r="B713" s="3" t="inlineStr">
        <is>
          <t xml:space="preserve">2026-06-03</t>
        </is>
      </c>
      <c r="C713" s="3" t="inlineStr">
        <is>
          <t xml:space="preserve">SKU-G</t>
        </is>
      </c>
      <c r="D713" s="3" t="inlineStr">
        <is>
          <t xml:space="preserve">Daily Reset Set</t>
        </is>
      </c>
      <c r="E713" s="6">
        <f>IF('Settings'!$B$11="Scenario",IFERROR(INDEX('Catalogue'!$E$3:$E$100,MATCH(C713,'Catalogue'!$B$3:$B$100,0)),F713),F713)</f>
        <v>69</v>
      </c>
      <c r="F713" s="8">
        <v>69</v>
      </c>
      <c r="G713" s="3">
        <v>2</v>
      </c>
      <c r="H713" s="6">
        <f>IF('Settings'!$B$11="Scenario",ROUND(E713*G713*IFERROR(SUMIF('Pricing &amp; promotions'!$A$6:$A$8,L713,'Pricing &amp; promotions'!$B$6:$B$8)/100,0),2),J713)</f>
        <v>0.0</v>
      </c>
      <c r="I713" s="6">
        <f>ROUND((E713*G713-H713)/(1+'Settings'!$B$6/100),2)</f>
        <v>114.05</v>
      </c>
      <c r="J713" s="8">
        <v>0.0</v>
      </c>
      <c r="K713" s="3" t="inlineStr">
        <is>
          <t xml:space="preserve">TRUE</t>
        </is>
      </c>
      <c r="L713" s="3"/>
    </row>
    <row r="714">
      <c r="A714" s="3" t="inlineStr">
        <is>
          <t xml:space="preserve">#1525</t>
        </is>
      </c>
      <c r="B714" s="3" t="inlineStr">
        <is>
          <t xml:space="preserve">2026-06-03</t>
        </is>
      </c>
      <c r="C714" s="3" t="inlineStr">
        <is>
          <t xml:space="preserve">SKU-E</t>
        </is>
      </c>
      <c r="D714" s="3" t="inlineStr">
        <is>
          <t xml:space="preserve">Complete Ritual</t>
        </is>
      </c>
      <c r="E714" s="6">
        <f>IF('Settings'!$B$11="Scenario",IFERROR(INDEX('Catalogue'!$E$3:$E$100,MATCH(C714,'Catalogue'!$B$3:$B$100,0)),F714),F714)</f>
        <v>89</v>
      </c>
      <c r="F714" s="8">
        <v>89</v>
      </c>
      <c r="G714" s="3">
        <v>1</v>
      </c>
      <c r="H714" s="6">
        <f>IF('Settings'!$B$11="Scenario",ROUND(E714*G714*IFERROR(SUMIF('Pricing &amp; promotions'!$A$6:$A$8,L714,'Pricing &amp; promotions'!$B$6:$B$8)/100,0),2),J714)</f>
        <v>8.9</v>
      </c>
      <c r="I714" s="6">
        <f>ROUND((E714*G714-H714)/(1+'Settings'!$B$6/100),2)</f>
        <v>66.2</v>
      </c>
      <c r="J714" s="8">
        <v>8.9</v>
      </c>
      <c r="K714" s="3" t="inlineStr">
        <is>
          <t xml:space="preserve">TRUE</t>
        </is>
      </c>
      <c r="L714" s="3" t="inlineStr">
        <is>
          <t xml:space="preserve">WELCOME10</t>
        </is>
      </c>
    </row>
    <row r="715">
      <c r="A715" s="3" t="inlineStr">
        <is>
          <t xml:space="preserve">#1526</t>
        </is>
      </c>
      <c r="B715" s="3" t="inlineStr">
        <is>
          <t xml:space="preserve">2026-06-04</t>
        </is>
      </c>
      <c r="C715" s="3" t="inlineStr">
        <is>
          <t xml:space="preserve">SKU-D</t>
        </is>
      </c>
      <c r="D715" s="3" t="inlineStr">
        <is>
          <t xml:space="preserve">Daily Duo</t>
        </is>
      </c>
      <c r="E715" s="6">
        <f>IF('Settings'!$B$11="Scenario",IFERROR(INDEX('Catalogue'!$E$3:$E$100,MATCH(C715,'Catalogue'!$B$3:$B$100,0)),F715),F715)</f>
        <v>79</v>
      </c>
      <c r="F715" s="8">
        <v>79</v>
      </c>
      <c r="G715" s="3">
        <v>1</v>
      </c>
      <c r="H715" s="6">
        <f>IF('Settings'!$B$11="Scenario",ROUND(E715*G715*IFERROR(SUMIF('Pricing &amp; promotions'!$A$6:$A$8,L715,'Pricing &amp; promotions'!$B$6:$B$8)/100,0),2),J715)</f>
        <v>11.85</v>
      </c>
      <c r="I715" s="6">
        <f>ROUND((E715*G715-H715)/(1+'Settings'!$B$6/100),2)</f>
        <v>55.5</v>
      </c>
      <c r="J715" s="8">
        <v>11.85</v>
      </c>
      <c r="K715" s="3" t="inlineStr">
        <is>
          <t xml:space="preserve">TRUE</t>
        </is>
      </c>
      <c r="L715" s="3" t="inlineStr">
        <is>
          <t xml:space="preserve">SUMMER15</t>
        </is>
      </c>
    </row>
    <row r="716">
      <c r="A716" s="3" t="inlineStr">
        <is>
          <t xml:space="preserve">#1527</t>
        </is>
      </c>
      <c r="B716" s="3" t="inlineStr">
        <is>
          <t xml:space="preserve">2026-06-04</t>
        </is>
      </c>
      <c r="C716" s="3" t="inlineStr">
        <is>
          <t xml:space="preserve">SKU-B</t>
        </is>
      </c>
      <c r="D716" s="3" t="inlineStr">
        <is>
          <t xml:space="preserve">Barrier Balm</t>
        </is>
      </c>
      <c r="E716" s="6">
        <f>IF('Settings'!$B$11="Scenario",IFERROR(INDEX('Catalogue'!$E$3:$E$100,MATCH(C716,'Catalogue'!$B$3:$B$100,0)),F716),F716)</f>
        <v>19</v>
      </c>
      <c r="F716" s="8">
        <v>19</v>
      </c>
      <c r="G716" s="3">
        <v>1</v>
      </c>
      <c r="H716" s="6">
        <f>IF('Settings'!$B$11="Scenario",ROUND(E716*G716*IFERROR(SUMIF('Pricing &amp; promotions'!$A$6:$A$8,L716,'Pricing &amp; promotions'!$B$6:$B$8)/100,0),2),J716)</f>
        <v>2.85</v>
      </c>
      <c r="I716" s="6">
        <f>ROUND((E716*G716-H716)/(1+'Settings'!$B$6/100),2)</f>
        <v>13.35</v>
      </c>
      <c r="J716" s="8">
        <v>2.85</v>
      </c>
      <c r="K716" s="3" t="inlineStr">
        <is>
          <t xml:space="preserve">TRUE</t>
        </is>
      </c>
      <c r="L716" s="3" t="inlineStr">
        <is>
          <t xml:space="preserve">SUMMER15</t>
        </is>
      </c>
    </row>
    <row r="717">
      <c r="A717" s="3" t="inlineStr">
        <is>
          <t xml:space="preserve">#1528</t>
        </is>
      </c>
      <c r="B717" s="3" t="inlineStr">
        <is>
          <t xml:space="preserve">2026-06-05</t>
        </is>
      </c>
      <c r="C717" s="3" t="inlineStr">
        <is>
          <t xml:space="preserve">SKU-A</t>
        </is>
      </c>
      <c r="D717" s="3" t="inlineStr">
        <is>
          <t xml:space="preserve">Renewal Serum</t>
        </is>
      </c>
      <c r="E717" s="6">
        <f>IF('Settings'!$B$11="Scenario",IFERROR(INDEX('Catalogue'!$E$3:$E$100,MATCH(C717,'Catalogue'!$B$3:$B$100,0)),F717),F717)</f>
        <v>69.9</v>
      </c>
      <c r="F717" s="8">
        <v>69.9</v>
      </c>
      <c r="G717" s="3">
        <v>1</v>
      </c>
      <c r="H717" s="6">
        <f>IF('Settings'!$B$11="Scenario",ROUND(E717*G717*IFERROR(SUMIF('Pricing &amp; promotions'!$A$6:$A$8,L717,'Pricing &amp; promotions'!$B$6:$B$8)/100,0),2),J717)</f>
        <v>0.0</v>
      </c>
      <c r="I717" s="6">
        <f>ROUND((E717*G717-H717)/(1+'Settings'!$B$6/100),2)</f>
        <v>57.77</v>
      </c>
      <c r="J717" s="8">
        <v>0.0</v>
      </c>
      <c r="K717" s="3" t="inlineStr">
        <is>
          <t xml:space="preserve">TRUE</t>
        </is>
      </c>
      <c r="L717" s="3"/>
    </row>
    <row r="718">
      <c r="A718" s="3" t="inlineStr">
        <is>
          <t xml:space="preserve">#1528</t>
        </is>
      </c>
      <c r="B718" s="3" t="inlineStr">
        <is>
          <t xml:space="preserve">2026-06-05</t>
        </is>
      </c>
      <c r="C718" s="3" t="inlineStr">
        <is>
          <t xml:space="preserve">SKU-D</t>
        </is>
      </c>
      <c r="D718" s="3" t="inlineStr">
        <is>
          <t xml:space="preserve">Daily Duo</t>
        </is>
      </c>
      <c r="E718" s="6">
        <f>IF('Settings'!$B$11="Scenario",IFERROR(INDEX('Catalogue'!$E$3:$E$100,MATCH(C718,'Catalogue'!$B$3:$B$100,0)),F718),F718)</f>
        <v>79</v>
      </c>
      <c r="F718" s="8">
        <v>79</v>
      </c>
      <c r="G718" s="3">
        <v>1</v>
      </c>
      <c r="H718" s="6">
        <f>IF('Settings'!$B$11="Scenario",ROUND(E718*G718*IFERROR(SUMIF('Pricing &amp; promotions'!$A$6:$A$8,L718,'Pricing &amp; promotions'!$B$6:$B$8)/100,0),2),J718)</f>
        <v>0.0</v>
      </c>
      <c r="I718" s="6">
        <f>ROUND((E718*G718-H718)/(1+'Settings'!$B$6/100),2)</f>
        <v>65.29</v>
      </c>
      <c r="J718" s="8">
        <v>0.0</v>
      </c>
      <c r="K718" s="3" t="inlineStr">
        <is>
          <t xml:space="preserve">TRUE</t>
        </is>
      </c>
      <c r="L718" s="3"/>
    </row>
    <row r="719">
      <c r="A719" s="3" t="inlineStr">
        <is>
          <t xml:space="preserve">#1528</t>
        </is>
      </c>
      <c r="B719" s="3" t="inlineStr">
        <is>
          <t xml:space="preserve">2026-06-05</t>
        </is>
      </c>
      <c r="C719" s="3" t="inlineStr">
        <is>
          <t xml:space="preserve">SKU-E</t>
        </is>
      </c>
      <c r="D719" s="3" t="inlineStr">
        <is>
          <t xml:space="preserve">Complete Ritual</t>
        </is>
      </c>
      <c r="E719" s="6">
        <f>IF('Settings'!$B$11="Scenario",IFERROR(INDEX('Catalogue'!$E$3:$E$100,MATCH(C719,'Catalogue'!$B$3:$B$100,0)),F719),F719)</f>
        <v>89</v>
      </c>
      <c r="F719" s="8">
        <v>89</v>
      </c>
      <c r="G719" s="3">
        <v>1</v>
      </c>
      <c r="H719" s="6">
        <f>IF('Settings'!$B$11="Scenario",ROUND(E719*G719*IFERROR(SUMIF('Pricing &amp; promotions'!$A$6:$A$8,L719,'Pricing &amp; promotions'!$B$6:$B$8)/100,0),2),J719)</f>
        <v>0.0</v>
      </c>
      <c r="I719" s="6">
        <f>ROUND((E719*G719-H719)/(1+'Settings'!$B$6/100),2)</f>
        <v>73.55</v>
      </c>
      <c r="J719" s="8">
        <v>0.0</v>
      </c>
      <c r="K719" s="3" t="inlineStr">
        <is>
          <t xml:space="preserve">TRUE</t>
        </is>
      </c>
      <c r="L719" s="3"/>
    </row>
    <row r="720">
      <c r="A720" s="3" t="inlineStr">
        <is>
          <t xml:space="preserve">#1529</t>
        </is>
      </c>
      <c r="B720" s="3" t="inlineStr">
        <is>
          <t xml:space="preserve">2026-06-05</t>
        </is>
      </c>
      <c r="C720" s="3" t="inlineStr">
        <is>
          <t xml:space="preserve">SKU-B</t>
        </is>
      </c>
      <c r="D720" s="3" t="inlineStr">
        <is>
          <t xml:space="preserve">Barrier Balm</t>
        </is>
      </c>
      <c r="E720" s="6">
        <f>IF('Settings'!$B$11="Scenario",IFERROR(INDEX('Catalogue'!$E$3:$E$100,MATCH(C720,'Catalogue'!$B$3:$B$100,0)),F720),F720)</f>
        <v>19</v>
      </c>
      <c r="F720" s="8">
        <v>19</v>
      </c>
      <c r="G720" s="3">
        <v>1</v>
      </c>
      <c r="H720" s="6">
        <f>IF('Settings'!$B$11="Scenario",ROUND(E720*G720*IFERROR(SUMIF('Pricing &amp; promotions'!$A$6:$A$8,L720,'Pricing &amp; promotions'!$B$6:$B$8)/100,0),2),J720)</f>
        <v>1.9</v>
      </c>
      <c r="I720" s="6">
        <f>ROUND((E720*G720-H720)/(1+'Settings'!$B$6/100),2)</f>
        <v>14.13</v>
      </c>
      <c r="J720" s="8">
        <v>1.9</v>
      </c>
      <c r="K720" s="3" t="inlineStr">
        <is>
          <t xml:space="preserve">TRUE</t>
        </is>
      </c>
      <c r="L720" s="3" t="inlineStr">
        <is>
          <t xml:space="preserve">WELCOME10</t>
        </is>
      </c>
    </row>
    <row r="721">
      <c r="A721" s="3" t="inlineStr">
        <is>
          <t xml:space="preserve">#1530</t>
        </is>
      </c>
      <c r="B721" s="3" t="inlineStr">
        <is>
          <t xml:space="preserve">2026-06-06</t>
        </is>
      </c>
      <c r="C721" s="3" t="inlineStr">
        <is>
          <t xml:space="preserve">SKU-D</t>
        </is>
      </c>
      <c r="D721" s="3" t="inlineStr">
        <is>
          <t xml:space="preserve">Daily Duo</t>
        </is>
      </c>
      <c r="E721" s="6">
        <f>IF('Settings'!$B$11="Scenario",IFERROR(INDEX('Catalogue'!$E$3:$E$100,MATCH(C721,'Catalogue'!$B$3:$B$100,0)),F721),F721)</f>
        <v>79</v>
      </c>
      <c r="F721" s="8">
        <v>79</v>
      </c>
      <c r="G721" s="3">
        <v>1</v>
      </c>
      <c r="H721" s="6">
        <f>IF('Settings'!$B$11="Scenario",ROUND(E721*G721*IFERROR(SUMIF('Pricing &amp; promotions'!$A$6:$A$8,L721,'Pricing &amp; promotions'!$B$6:$B$8)/100,0),2),J721)</f>
        <v>11.85</v>
      </c>
      <c r="I721" s="6">
        <f>ROUND((E721*G721-H721)/(1+'Settings'!$B$6/100),2)</f>
        <v>55.5</v>
      </c>
      <c r="J721" s="8">
        <v>11.85</v>
      </c>
      <c r="K721" s="3" t="inlineStr">
        <is>
          <t xml:space="preserve">TRUE</t>
        </is>
      </c>
      <c r="L721" s="3" t="inlineStr">
        <is>
          <t xml:space="preserve">SUMMER15</t>
        </is>
      </c>
    </row>
    <row r="722">
      <c r="A722" s="3" t="inlineStr">
        <is>
          <t xml:space="preserve">#1531</t>
        </is>
      </c>
      <c r="B722" s="3" t="inlineStr">
        <is>
          <t xml:space="preserve">2026-06-06</t>
        </is>
      </c>
      <c r="C722" s="3" t="inlineStr">
        <is>
          <t xml:space="preserve">SKU-B</t>
        </is>
      </c>
      <c r="D722" s="3" t="inlineStr">
        <is>
          <t xml:space="preserve">Barrier Balm</t>
        </is>
      </c>
      <c r="E722" s="6">
        <f>IF('Settings'!$B$11="Scenario",IFERROR(INDEX('Catalogue'!$E$3:$E$100,MATCH(C722,'Catalogue'!$B$3:$B$100,0)),F722),F722)</f>
        <v>19</v>
      </c>
      <c r="F722" s="8">
        <v>19</v>
      </c>
      <c r="G722" s="3">
        <v>1</v>
      </c>
      <c r="H722" s="6">
        <f>IF('Settings'!$B$11="Scenario",ROUND(E722*G722*IFERROR(SUMIF('Pricing &amp; promotions'!$A$6:$A$8,L722,'Pricing &amp; promotions'!$B$6:$B$8)/100,0),2),J722)</f>
        <v>1.9</v>
      </c>
      <c r="I722" s="6">
        <f>ROUND((E722*G722-H722)/(1+'Settings'!$B$6/100),2)</f>
        <v>14.13</v>
      </c>
      <c r="J722" s="8">
        <v>1.9</v>
      </c>
      <c r="K722" s="3" t="inlineStr">
        <is>
          <t xml:space="preserve">TRUE</t>
        </is>
      </c>
      <c r="L722" s="3" t="inlineStr">
        <is>
          <t xml:space="preserve">WELCOME10</t>
        </is>
      </c>
    </row>
    <row r="723">
      <c r="A723" s="3" t="inlineStr">
        <is>
          <t xml:space="preserve">#1532</t>
        </is>
      </c>
      <c r="B723" s="3" t="inlineStr">
        <is>
          <t xml:space="preserve">2026-06-06</t>
        </is>
      </c>
      <c r="C723" s="3" t="inlineStr">
        <is>
          <t xml:space="preserve">SKU-G</t>
        </is>
      </c>
      <c r="D723" s="3" t="inlineStr">
        <is>
          <t xml:space="preserve">Daily Reset Set</t>
        </is>
      </c>
      <c r="E723" s="6">
        <f>IF('Settings'!$B$11="Scenario",IFERROR(INDEX('Catalogue'!$E$3:$E$100,MATCH(C723,'Catalogue'!$B$3:$B$100,0)),F723),F723)</f>
        <v>69</v>
      </c>
      <c r="F723" s="8">
        <v>69</v>
      </c>
      <c r="G723" s="3">
        <v>1</v>
      </c>
      <c r="H723" s="6">
        <f>IF('Settings'!$B$11="Scenario",ROUND(E723*G723*IFERROR(SUMIF('Pricing &amp; promotions'!$A$6:$A$8,L723,'Pricing &amp; promotions'!$B$6:$B$8)/100,0),2),J723)</f>
        <v>0.0</v>
      </c>
      <c r="I723" s="6">
        <f>ROUND((E723*G723-H723)/(1+'Settings'!$B$6/100),2)</f>
        <v>57.02</v>
      </c>
      <c r="J723" s="8">
        <v>0.0</v>
      </c>
      <c r="K723" s="3" t="inlineStr">
        <is>
          <t xml:space="preserve">TRUE</t>
        </is>
      </c>
      <c r="L723" s="3"/>
    </row>
    <row r="724">
      <c r="A724" s="3" t="inlineStr">
        <is>
          <t xml:space="preserve">#1533</t>
        </is>
      </c>
      <c r="B724" s="3" t="inlineStr">
        <is>
          <t xml:space="preserve">2026-06-07</t>
        </is>
      </c>
      <c r="C724" s="3" t="inlineStr">
        <is>
          <t xml:space="preserve">SKU-A</t>
        </is>
      </c>
      <c r="D724" s="3" t="inlineStr">
        <is>
          <t xml:space="preserve">Renewal Serum</t>
        </is>
      </c>
      <c r="E724" s="6">
        <f>IF('Settings'!$B$11="Scenario",IFERROR(INDEX('Catalogue'!$E$3:$E$100,MATCH(C724,'Catalogue'!$B$3:$B$100,0)),F724),F724)</f>
        <v>69.9</v>
      </c>
      <c r="F724" s="8">
        <v>69.9</v>
      </c>
      <c r="G724" s="3">
        <v>1</v>
      </c>
      <c r="H724" s="6">
        <f>IF('Settings'!$B$11="Scenario",ROUND(E724*G724*IFERROR(SUMIF('Pricing &amp; promotions'!$A$6:$A$8,L724,'Pricing &amp; promotions'!$B$6:$B$8)/100,0),2),J724)</f>
        <v>0.0</v>
      </c>
      <c r="I724" s="6">
        <f>ROUND((E724*G724-H724)/(1+'Settings'!$B$6/100),2)</f>
        <v>57.77</v>
      </c>
      <c r="J724" s="8">
        <v>0.0</v>
      </c>
      <c r="K724" s="3" t="inlineStr">
        <is>
          <t xml:space="preserve">TRUE</t>
        </is>
      </c>
      <c r="L724" s="3"/>
    </row>
    <row r="725">
      <c r="A725" s="3" t="inlineStr">
        <is>
          <t xml:space="preserve">#1534</t>
        </is>
      </c>
      <c r="B725" s="3" t="inlineStr">
        <is>
          <t xml:space="preserve">2026-06-08</t>
        </is>
      </c>
      <c r="C725" s="3" t="inlineStr">
        <is>
          <t xml:space="preserve">SKU-C</t>
        </is>
      </c>
      <c r="D725" s="3" t="inlineStr">
        <is>
          <t xml:space="preserve">Contour Stone</t>
        </is>
      </c>
      <c r="E725" s="6">
        <f>IF('Settings'!$B$11="Scenario",IFERROR(INDEX('Catalogue'!$E$3:$E$100,MATCH(C725,'Catalogue'!$B$3:$B$100,0)),F725),F725)</f>
        <v>29</v>
      </c>
      <c r="F725" s="8">
        <v>29</v>
      </c>
      <c r="G725" s="3">
        <v>1</v>
      </c>
      <c r="H725" s="6">
        <f>IF('Settings'!$B$11="Scenario",ROUND(E725*G725*IFERROR(SUMIF('Pricing &amp; promotions'!$A$6:$A$8,L725,'Pricing &amp; promotions'!$B$6:$B$8)/100,0),2),J725)</f>
        <v>0.0</v>
      </c>
      <c r="I725" s="6">
        <f>ROUND((E725*G725-H725)/(1+'Settings'!$B$6/100),2)</f>
        <v>23.97</v>
      </c>
      <c r="J725" s="8">
        <v>0.0</v>
      </c>
      <c r="K725" s="3" t="inlineStr">
        <is>
          <t xml:space="preserve">TRUE</t>
        </is>
      </c>
      <c r="L725" s="3"/>
    </row>
    <row r="726">
      <c r="A726" s="3" t="inlineStr">
        <is>
          <t xml:space="preserve">#1534</t>
        </is>
      </c>
      <c r="B726" s="3" t="inlineStr">
        <is>
          <t xml:space="preserve">2026-06-08</t>
        </is>
      </c>
      <c r="C726" s="3" t="inlineStr">
        <is>
          <t xml:space="preserve">SKU-B</t>
        </is>
      </c>
      <c r="D726" s="3" t="inlineStr">
        <is>
          <t xml:space="preserve">Barrier Balm</t>
        </is>
      </c>
      <c r="E726" s="6">
        <f>IF('Settings'!$B$11="Scenario",IFERROR(INDEX('Catalogue'!$E$3:$E$100,MATCH(C726,'Catalogue'!$B$3:$B$100,0)),F726),F726)</f>
        <v>19</v>
      </c>
      <c r="F726" s="8">
        <v>19</v>
      </c>
      <c r="G726" s="3">
        <v>1</v>
      </c>
      <c r="H726" s="6">
        <f>IF('Settings'!$B$11="Scenario",ROUND(E726*G726*IFERROR(SUMIF('Pricing &amp; promotions'!$A$6:$A$8,L726,'Pricing &amp; promotions'!$B$6:$B$8)/100,0),2),J726)</f>
        <v>0.0</v>
      </c>
      <c r="I726" s="6">
        <f>ROUND((E726*G726-H726)/(1+'Settings'!$B$6/100),2)</f>
        <v>15.7</v>
      </c>
      <c r="J726" s="8">
        <v>0.0</v>
      </c>
      <c r="K726" s="3" t="inlineStr">
        <is>
          <t xml:space="preserve">TRUE</t>
        </is>
      </c>
      <c r="L726" s="3"/>
    </row>
    <row r="727">
      <c r="A727" s="3" t="inlineStr">
        <is>
          <t xml:space="preserve">#1535</t>
        </is>
      </c>
      <c r="B727" s="3" t="inlineStr">
        <is>
          <t xml:space="preserve">2026-06-08</t>
        </is>
      </c>
      <c r="C727" s="3" t="inlineStr">
        <is>
          <t xml:space="preserve">SKU-E</t>
        </is>
      </c>
      <c r="D727" s="3" t="inlineStr">
        <is>
          <t xml:space="preserve">Complete Ritual</t>
        </is>
      </c>
      <c r="E727" s="6">
        <f>IF('Settings'!$B$11="Scenario",IFERROR(INDEX('Catalogue'!$E$3:$E$100,MATCH(C727,'Catalogue'!$B$3:$B$100,0)),F727),F727)</f>
        <v>89</v>
      </c>
      <c r="F727" s="8">
        <v>89</v>
      </c>
      <c r="G727" s="3">
        <v>1</v>
      </c>
      <c r="H727" s="6">
        <f>IF('Settings'!$B$11="Scenario",ROUND(E727*G727*IFERROR(SUMIF('Pricing &amp; promotions'!$A$6:$A$8,L727,'Pricing &amp; promotions'!$B$6:$B$8)/100,0),2),J727)</f>
        <v>8.9</v>
      </c>
      <c r="I727" s="6">
        <f>ROUND((E727*G727-H727)/(1+'Settings'!$B$6/100),2)</f>
        <v>66.2</v>
      </c>
      <c r="J727" s="8">
        <v>8.9</v>
      </c>
      <c r="K727" s="3" t="inlineStr">
        <is>
          <t xml:space="preserve">TRUE</t>
        </is>
      </c>
      <c r="L727" s="3" t="inlineStr">
        <is>
          <t xml:space="preserve">WELCOME10</t>
        </is>
      </c>
    </row>
    <row r="728">
      <c r="A728" s="3" t="inlineStr">
        <is>
          <t xml:space="preserve">#1536</t>
        </is>
      </c>
      <c r="B728" s="3" t="inlineStr">
        <is>
          <t xml:space="preserve">2026-06-08</t>
        </is>
      </c>
      <c r="C728" s="3" t="inlineStr">
        <is>
          <t xml:space="preserve">SKU-F</t>
        </is>
      </c>
      <c r="D728" s="3" t="inlineStr">
        <is>
          <t xml:space="preserve">Cloud Cleanser</t>
        </is>
      </c>
      <c r="E728" s="6">
        <f>IF('Settings'!$B$11="Scenario",IFERROR(INDEX('Catalogue'!$E$3:$E$100,MATCH(C728,'Catalogue'!$B$3:$B$100,0)),F728),F728)</f>
        <v>34</v>
      </c>
      <c r="F728" s="8">
        <v>34</v>
      </c>
      <c r="G728" s="3">
        <v>2</v>
      </c>
      <c r="H728" s="6">
        <f>IF('Settings'!$B$11="Scenario",ROUND(E728*G728*IFERROR(SUMIF('Pricing &amp; promotions'!$A$6:$A$8,L728,'Pricing &amp; promotions'!$B$6:$B$8)/100,0),2),J728)</f>
        <v>0.0</v>
      </c>
      <c r="I728" s="6">
        <f>ROUND((E728*G728-H728)/(1+'Settings'!$B$6/100),2)</f>
        <v>56.2</v>
      </c>
      <c r="J728" s="8">
        <v>0.0</v>
      </c>
      <c r="K728" s="3" t="inlineStr">
        <is>
          <t xml:space="preserve">TRUE</t>
        </is>
      </c>
      <c r="L728" s="3"/>
    </row>
    <row r="729">
      <c r="A729" s="3" t="inlineStr">
        <is>
          <t xml:space="preserve">#1537</t>
        </is>
      </c>
      <c r="B729" s="3" t="inlineStr">
        <is>
          <t xml:space="preserve">2026-06-09</t>
        </is>
      </c>
      <c r="C729" s="3" t="inlineStr">
        <is>
          <t xml:space="preserve">SKU-D</t>
        </is>
      </c>
      <c r="D729" s="3" t="inlineStr">
        <is>
          <t xml:space="preserve">Daily Duo</t>
        </is>
      </c>
      <c r="E729" s="6">
        <f>IF('Settings'!$B$11="Scenario",IFERROR(INDEX('Catalogue'!$E$3:$E$100,MATCH(C729,'Catalogue'!$B$3:$B$100,0)),F729),F729)</f>
        <v>79</v>
      </c>
      <c r="F729" s="8">
        <v>79</v>
      </c>
      <c r="G729" s="3">
        <v>1</v>
      </c>
      <c r="H729" s="6">
        <f>IF('Settings'!$B$11="Scenario",ROUND(E729*G729*IFERROR(SUMIF('Pricing &amp; promotions'!$A$6:$A$8,L729,'Pricing &amp; promotions'!$B$6:$B$8)/100,0),2),J729)</f>
        <v>0.0</v>
      </c>
      <c r="I729" s="6">
        <f>ROUND((E729*G729-H729)/(1+'Settings'!$B$6/100),2)</f>
        <v>65.29</v>
      </c>
      <c r="J729" s="8">
        <v>0.0</v>
      </c>
      <c r="K729" s="3" t="inlineStr">
        <is>
          <t xml:space="preserve">TRUE</t>
        </is>
      </c>
      <c r="L729" s="3"/>
    </row>
    <row r="730">
      <c r="A730" s="3" t="inlineStr">
        <is>
          <t xml:space="preserve">#1538</t>
        </is>
      </c>
      <c r="B730" s="3" t="inlineStr">
        <is>
          <t xml:space="preserve">2026-06-09</t>
        </is>
      </c>
      <c r="C730" s="3" t="inlineStr">
        <is>
          <t xml:space="preserve">SKU-E</t>
        </is>
      </c>
      <c r="D730" s="3" t="inlineStr">
        <is>
          <t xml:space="preserve">Complete Ritual</t>
        </is>
      </c>
      <c r="E730" s="6">
        <f>IF('Settings'!$B$11="Scenario",IFERROR(INDEX('Catalogue'!$E$3:$E$100,MATCH(C730,'Catalogue'!$B$3:$B$100,0)),F730),F730)</f>
        <v>89</v>
      </c>
      <c r="F730" s="8">
        <v>89</v>
      </c>
      <c r="G730" s="3">
        <v>1</v>
      </c>
      <c r="H730" s="6">
        <f>IF('Settings'!$B$11="Scenario",ROUND(E730*G730*IFERROR(SUMIF('Pricing &amp; promotions'!$A$6:$A$8,L730,'Pricing &amp; promotions'!$B$6:$B$8)/100,0),2),J730)</f>
        <v>8.9</v>
      </c>
      <c r="I730" s="6">
        <f>ROUND((E730*G730-H730)/(1+'Settings'!$B$6/100),2)</f>
        <v>66.2</v>
      </c>
      <c r="J730" s="8">
        <v>8.9</v>
      </c>
      <c r="K730" s="3" t="inlineStr">
        <is>
          <t xml:space="preserve">TRUE</t>
        </is>
      </c>
      <c r="L730" s="3" t="inlineStr">
        <is>
          <t xml:space="preserve">WELCOME10</t>
        </is>
      </c>
    </row>
    <row r="731">
      <c r="A731" s="3" t="inlineStr">
        <is>
          <t xml:space="preserve">#1539</t>
        </is>
      </c>
      <c r="B731" s="3" t="inlineStr">
        <is>
          <t xml:space="preserve">2026-06-09</t>
        </is>
      </c>
      <c r="C731" s="3" t="inlineStr">
        <is>
          <t xml:space="preserve">SKU-G</t>
        </is>
      </c>
      <c r="D731" s="3" t="inlineStr">
        <is>
          <t xml:space="preserve">Daily Reset Set</t>
        </is>
      </c>
      <c r="E731" s="6">
        <f>IF('Settings'!$B$11="Scenario",IFERROR(INDEX('Catalogue'!$E$3:$E$100,MATCH(C731,'Catalogue'!$B$3:$B$100,0)),F731),F731)</f>
        <v>69</v>
      </c>
      <c r="F731" s="8">
        <v>69</v>
      </c>
      <c r="G731" s="3">
        <v>1</v>
      </c>
      <c r="H731" s="6">
        <f>IF('Settings'!$B$11="Scenario",ROUND(E731*G731*IFERROR(SUMIF('Pricing &amp; promotions'!$A$6:$A$8,L731,'Pricing &amp; promotions'!$B$6:$B$8)/100,0),2),J731)</f>
        <v>6.9</v>
      </c>
      <c r="I731" s="6">
        <f>ROUND((E731*G731-H731)/(1+'Settings'!$B$6/100),2)</f>
        <v>51.32</v>
      </c>
      <c r="J731" s="8">
        <v>6.9</v>
      </c>
      <c r="K731" s="3" t="inlineStr">
        <is>
          <t xml:space="preserve">TRUE</t>
        </is>
      </c>
      <c r="L731" s="3" t="inlineStr">
        <is>
          <t xml:space="preserve">WELCOME10</t>
        </is>
      </c>
    </row>
    <row r="732">
      <c r="A732" s="3" t="inlineStr">
        <is>
          <t xml:space="preserve">#1539</t>
        </is>
      </c>
      <c r="B732" s="3" t="inlineStr">
        <is>
          <t xml:space="preserve">2026-06-09</t>
        </is>
      </c>
      <c r="C732" s="3" t="inlineStr">
        <is>
          <t xml:space="preserve">SKU-B</t>
        </is>
      </c>
      <c r="D732" s="3" t="inlineStr">
        <is>
          <t xml:space="preserve">Barrier Balm</t>
        </is>
      </c>
      <c r="E732" s="6">
        <f>IF('Settings'!$B$11="Scenario",IFERROR(INDEX('Catalogue'!$E$3:$E$100,MATCH(C732,'Catalogue'!$B$3:$B$100,0)),F732),F732)</f>
        <v>19</v>
      </c>
      <c r="F732" s="8">
        <v>19</v>
      </c>
      <c r="G732" s="3">
        <v>1</v>
      </c>
      <c r="H732" s="6">
        <f>IF('Settings'!$B$11="Scenario",ROUND(E732*G732*IFERROR(SUMIF('Pricing &amp; promotions'!$A$6:$A$8,L732,'Pricing &amp; promotions'!$B$6:$B$8)/100,0),2),J732)</f>
        <v>1.9</v>
      </c>
      <c r="I732" s="6">
        <f>ROUND((E732*G732-H732)/(1+'Settings'!$B$6/100),2)</f>
        <v>14.13</v>
      </c>
      <c r="J732" s="8">
        <v>1.9</v>
      </c>
      <c r="K732" s="3" t="inlineStr">
        <is>
          <t xml:space="preserve">TRUE</t>
        </is>
      </c>
      <c r="L732" s="3" t="inlineStr">
        <is>
          <t xml:space="preserve">WELCOME10</t>
        </is>
      </c>
    </row>
    <row r="733">
      <c r="A733" s="3" t="inlineStr">
        <is>
          <t xml:space="preserve">#1540</t>
        </is>
      </c>
      <c r="B733" s="3" t="inlineStr">
        <is>
          <t xml:space="preserve">2026-06-09</t>
        </is>
      </c>
      <c r="C733" s="3" t="inlineStr">
        <is>
          <t xml:space="preserve">SKU-D</t>
        </is>
      </c>
      <c r="D733" s="3" t="inlineStr">
        <is>
          <t xml:space="preserve">Daily Duo</t>
        </is>
      </c>
      <c r="E733" s="6">
        <f>IF('Settings'!$B$11="Scenario",IFERROR(INDEX('Catalogue'!$E$3:$E$100,MATCH(C733,'Catalogue'!$B$3:$B$100,0)),F733),F733)</f>
        <v>79</v>
      </c>
      <c r="F733" s="8">
        <v>79</v>
      </c>
      <c r="G733" s="3">
        <v>1</v>
      </c>
      <c r="H733" s="6">
        <f>IF('Settings'!$B$11="Scenario",ROUND(E733*G733*IFERROR(SUMIF('Pricing &amp; promotions'!$A$6:$A$8,L733,'Pricing &amp; promotions'!$B$6:$B$8)/100,0),2),J733)</f>
        <v>11.85</v>
      </c>
      <c r="I733" s="6">
        <f>ROUND((E733*G733-H733)/(1+'Settings'!$B$6/100),2)</f>
        <v>55.5</v>
      </c>
      <c r="J733" s="8">
        <v>11.85</v>
      </c>
      <c r="K733" s="3" t="inlineStr">
        <is>
          <t xml:space="preserve">TRUE</t>
        </is>
      </c>
      <c r="L733" s="3" t="inlineStr">
        <is>
          <t xml:space="preserve">SUMMER15</t>
        </is>
      </c>
    </row>
    <row r="734">
      <c r="A734" s="3" t="inlineStr">
        <is>
          <t xml:space="preserve">#1540</t>
        </is>
      </c>
      <c r="B734" s="3" t="inlineStr">
        <is>
          <t xml:space="preserve">2026-06-09</t>
        </is>
      </c>
      <c r="C734" s="3" t="inlineStr">
        <is>
          <t xml:space="preserve">SKU-E</t>
        </is>
      </c>
      <c r="D734" s="3" t="inlineStr">
        <is>
          <t xml:space="preserve">Complete Ritual</t>
        </is>
      </c>
      <c r="E734" s="6">
        <f>IF('Settings'!$B$11="Scenario",IFERROR(INDEX('Catalogue'!$E$3:$E$100,MATCH(C734,'Catalogue'!$B$3:$B$100,0)),F734),F734)</f>
        <v>89</v>
      </c>
      <c r="F734" s="8">
        <v>89</v>
      </c>
      <c r="G734" s="3">
        <v>1</v>
      </c>
      <c r="H734" s="6">
        <f>IF('Settings'!$B$11="Scenario",ROUND(E734*G734*IFERROR(SUMIF('Pricing &amp; promotions'!$A$6:$A$8,L734,'Pricing &amp; promotions'!$B$6:$B$8)/100,0),2),J734)</f>
        <v>13.35</v>
      </c>
      <c r="I734" s="6">
        <f>ROUND((E734*G734-H734)/(1+'Settings'!$B$6/100),2)</f>
        <v>62.52</v>
      </c>
      <c r="J734" s="8">
        <v>13.35</v>
      </c>
      <c r="K734" s="3" t="inlineStr">
        <is>
          <t xml:space="preserve">TRUE</t>
        </is>
      </c>
      <c r="L734" s="3" t="inlineStr">
        <is>
          <t xml:space="preserve">SUMMER15</t>
        </is>
      </c>
    </row>
    <row r="735">
      <c r="A735" s="3" t="inlineStr">
        <is>
          <t xml:space="preserve">#1541</t>
        </is>
      </c>
      <c r="B735" s="3" t="inlineStr">
        <is>
          <t xml:space="preserve">2026-06-09</t>
        </is>
      </c>
      <c r="C735" s="3" t="inlineStr">
        <is>
          <t xml:space="preserve">SKU-E</t>
        </is>
      </c>
      <c r="D735" s="3" t="inlineStr">
        <is>
          <t xml:space="preserve">Complete Ritual</t>
        </is>
      </c>
      <c r="E735" s="6">
        <f>IF('Settings'!$B$11="Scenario",IFERROR(INDEX('Catalogue'!$E$3:$E$100,MATCH(C735,'Catalogue'!$B$3:$B$100,0)),F735),F735)</f>
        <v>89</v>
      </c>
      <c r="F735" s="8">
        <v>89</v>
      </c>
      <c r="G735" s="3">
        <v>1</v>
      </c>
      <c r="H735" s="6">
        <f>IF('Settings'!$B$11="Scenario",ROUND(E735*G735*IFERROR(SUMIF('Pricing &amp; promotions'!$A$6:$A$8,L735,'Pricing &amp; promotions'!$B$6:$B$8)/100,0),2),J735)</f>
        <v>0.0</v>
      </c>
      <c r="I735" s="6">
        <f>ROUND((E735*G735-H735)/(1+'Settings'!$B$6/100),2)</f>
        <v>73.55</v>
      </c>
      <c r="J735" s="8">
        <v>0.0</v>
      </c>
      <c r="K735" s="3" t="inlineStr">
        <is>
          <t xml:space="preserve">TRUE</t>
        </is>
      </c>
      <c r="L735" s="3"/>
    </row>
    <row r="736">
      <c r="A736" s="3" t="inlineStr">
        <is>
          <t xml:space="preserve">#1541</t>
        </is>
      </c>
      <c r="B736" s="3" t="inlineStr">
        <is>
          <t xml:space="preserve">2026-06-09</t>
        </is>
      </c>
      <c r="C736" s="3" t="inlineStr">
        <is>
          <t xml:space="preserve">SKU-A</t>
        </is>
      </c>
      <c r="D736" s="3" t="inlineStr">
        <is>
          <t xml:space="preserve">Renewal Serum</t>
        </is>
      </c>
      <c r="E736" s="6">
        <f>IF('Settings'!$B$11="Scenario",IFERROR(INDEX('Catalogue'!$E$3:$E$100,MATCH(C736,'Catalogue'!$B$3:$B$100,0)),F736),F736)</f>
        <v>69.9</v>
      </c>
      <c r="F736" s="8">
        <v>69.9</v>
      </c>
      <c r="G736" s="3">
        <v>1</v>
      </c>
      <c r="H736" s="6">
        <f>IF('Settings'!$B$11="Scenario",ROUND(E736*G736*IFERROR(SUMIF('Pricing &amp; promotions'!$A$6:$A$8,L736,'Pricing &amp; promotions'!$B$6:$B$8)/100,0),2),J736)</f>
        <v>0.0</v>
      </c>
      <c r="I736" s="6">
        <f>ROUND((E736*G736-H736)/(1+'Settings'!$B$6/100),2)</f>
        <v>57.77</v>
      </c>
      <c r="J736" s="8">
        <v>0.0</v>
      </c>
      <c r="K736" s="3" t="inlineStr">
        <is>
          <t xml:space="preserve">TRUE</t>
        </is>
      </c>
      <c r="L736" s="3"/>
    </row>
    <row r="737">
      <c r="A737" s="3" t="inlineStr">
        <is>
          <t xml:space="preserve">#1542</t>
        </is>
      </c>
      <c r="B737" s="3" t="inlineStr">
        <is>
          <t xml:space="preserve">2026-06-10</t>
        </is>
      </c>
      <c r="C737" s="3" t="inlineStr">
        <is>
          <t xml:space="preserve">SKU-E</t>
        </is>
      </c>
      <c r="D737" s="3" t="inlineStr">
        <is>
          <t xml:space="preserve">Complete Ritual</t>
        </is>
      </c>
      <c r="E737" s="6">
        <f>IF('Settings'!$B$11="Scenario",IFERROR(INDEX('Catalogue'!$E$3:$E$100,MATCH(C737,'Catalogue'!$B$3:$B$100,0)),F737),F737)</f>
        <v>89</v>
      </c>
      <c r="F737" s="8">
        <v>89</v>
      </c>
      <c r="G737" s="3">
        <v>1</v>
      </c>
      <c r="H737" s="6">
        <f>IF('Settings'!$B$11="Scenario",ROUND(E737*G737*IFERROR(SUMIF('Pricing &amp; promotions'!$A$6:$A$8,L737,'Pricing &amp; promotions'!$B$6:$B$8)/100,0),2),J737)</f>
        <v>0.0</v>
      </c>
      <c r="I737" s="6">
        <f>ROUND((E737*G737-H737)/(1+'Settings'!$B$6/100),2)</f>
        <v>73.55</v>
      </c>
      <c r="J737" s="8">
        <v>0.0</v>
      </c>
      <c r="K737" s="3" t="inlineStr">
        <is>
          <t xml:space="preserve">TRUE</t>
        </is>
      </c>
      <c r="L737" s="3"/>
    </row>
    <row r="738">
      <c r="A738" s="3" t="inlineStr">
        <is>
          <t xml:space="preserve">#1542</t>
        </is>
      </c>
      <c r="B738" s="3" t="inlineStr">
        <is>
          <t xml:space="preserve">2026-06-10</t>
        </is>
      </c>
      <c r="C738" s="3" t="inlineStr">
        <is>
          <t xml:space="preserve">SKU-D</t>
        </is>
      </c>
      <c r="D738" s="3" t="inlineStr">
        <is>
          <t xml:space="preserve">Daily Duo</t>
        </is>
      </c>
      <c r="E738" s="6">
        <f>IF('Settings'!$B$11="Scenario",IFERROR(INDEX('Catalogue'!$E$3:$E$100,MATCH(C738,'Catalogue'!$B$3:$B$100,0)),F738),F738)</f>
        <v>79</v>
      </c>
      <c r="F738" s="8">
        <v>79</v>
      </c>
      <c r="G738" s="3">
        <v>1</v>
      </c>
      <c r="H738" s="6">
        <f>IF('Settings'!$B$11="Scenario",ROUND(E738*G738*IFERROR(SUMIF('Pricing &amp; promotions'!$A$6:$A$8,L738,'Pricing &amp; promotions'!$B$6:$B$8)/100,0),2),J738)</f>
        <v>0.0</v>
      </c>
      <c r="I738" s="6">
        <f>ROUND((E738*G738-H738)/(1+'Settings'!$B$6/100),2)</f>
        <v>65.29</v>
      </c>
      <c r="J738" s="8">
        <v>0.0</v>
      </c>
      <c r="K738" s="3" t="inlineStr">
        <is>
          <t xml:space="preserve">TRUE</t>
        </is>
      </c>
      <c r="L738" s="3"/>
    </row>
    <row r="739">
      <c r="A739" s="3" t="inlineStr">
        <is>
          <t xml:space="preserve">#1543</t>
        </is>
      </c>
      <c r="B739" s="3" t="inlineStr">
        <is>
          <t xml:space="preserve">2026-06-10</t>
        </is>
      </c>
      <c r="C739" s="3" t="inlineStr">
        <is>
          <t xml:space="preserve">SKU-E</t>
        </is>
      </c>
      <c r="D739" s="3" t="inlineStr">
        <is>
          <t xml:space="preserve">Complete Ritual</t>
        </is>
      </c>
      <c r="E739" s="6">
        <f>IF('Settings'!$B$11="Scenario",IFERROR(INDEX('Catalogue'!$E$3:$E$100,MATCH(C739,'Catalogue'!$B$3:$B$100,0)),F739),F739)</f>
        <v>89</v>
      </c>
      <c r="F739" s="8">
        <v>89</v>
      </c>
      <c r="G739" s="3">
        <v>1</v>
      </c>
      <c r="H739" s="6">
        <f>IF('Settings'!$B$11="Scenario",ROUND(E739*G739*IFERROR(SUMIF('Pricing &amp; promotions'!$A$6:$A$8,L739,'Pricing &amp; promotions'!$B$6:$B$8)/100,0),2),J739)</f>
        <v>8.9</v>
      </c>
      <c r="I739" s="6">
        <f>ROUND((E739*G739-H739)/(1+'Settings'!$B$6/100),2)</f>
        <v>66.2</v>
      </c>
      <c r="J739" s="8">
        <v>8.9</v>
      </c>
      <c r="K739" s="3" t="inlineStr">
        <is>
          <t xml:space="preserve">TRUE</t>
        </is>
      </c>
      <c r="L739" s="3" t="inlineStr">
        <is>
          <t xml:space="preserve">WELCOME10</t>
        </is>
      </c>
    </row>
    <row r="740">
      <c r="A740" s="3" t="inlineStr">
        <is>
          <t xml:space="preserve">#1544</t>
        </is>
      </c>
      <c r="B740" s="3" t="inlineStr">
        <is>
          <t xml:space="preserve">2026-06-11</t>
        </is>
      </c>
      <c r="C740" s="3" t="inlineStr">
        <is>
          <t xml:space="preserve">SKU-F</t>
        </is>
      </c>
      <c r="D740" s="3" t="inlineStr">
        <is>
          <t xml:space="preserve">Cloud Cleanser</t>
        </is>
      </c>
      <c r="E740" s="6">
        <f>IF('Settings'!$B$11="Scenario",IFERROR(INDEX('Catalogue'!$E$3:$E$100,MATCH(C740,'Catalogue'!$B$3:$B$100,0)),F740),F740)</f>
        <v>34</v>
      </c>
      <c r="F740" s="8">
        <v>34</v>
      </c>
      <c r="G740" s="3">
        <v>1</v>
      </c>
      <c r="H740" s="6">
        <f>IF('Settings'!$B$11="Scenario",ROUND(E740*G740*IFERROR(SUMIF('Pricing &amp; promotions'!$A$6:$A$8,L740,'Pricing &amp; promotions'!$B$6:$B$8)/100,0),2),J740)</f>
        <v>0.0</v>
      </c>
      <c r="I740" s="6">
        <f>ROUND((E740*G740-H740)/(1+'Settings'!$B$6/100),2)</f>
        <v>28.1</v>
      </c>
      <c r="J740" s="8">
        <v>0.0</v>
      </c>
      <c r="K740" s="3" t="inlineStr">
        <is>
          <t xml:space="preserve">TRUE</t>
        </is>
      </c>
      <c r="L740" s="3"/>
    </row>
    <row r="741">
      <c r="A741" s="3" t="inlineStr">
        <is>
          <t xml:space="preserve">#1545</t>
        </is>
      </c>
      <c r="B741" s="3" t="inlineStr">
        <is>
          <t xml:space="preserve">2026-06-12</t>
        </is>
      </c>
      <c r="C741" s="3" t="inlineStr">
        <is>
          <t xml:space="preserve">SKU-B</t>
        </is>
      </c>
      <c r="D741" s="3" t="inlineStr">
        <is>
          <t xml:space="preserve">Barrier Balm</t>
        </is>
      </c>
      <c r="E741" s="6">
        <f>IF('Settings'!$B$11="Scenario",IFERROR(INDEX('Catalogue'!$E$3:$E$100,MATCH(C741,'Catalogue'!$B$3:$B$100,0)),F741),F741)</f>
        <v>19</v>
      </c>
      <c r="F741" s="8">
        <v>19</v>
      </c>
      <c r="G741" s="3">
        <v>1</v>
      </c>
      <c r="H741" s="6">
        <f>IF('Settings'!$B$11="Scenario",ROUND(E741*G741*IFERROR(SUMIF('Pricing &amp; promotions'!$A$6:$A$8,L741,'Pricing &amp; promotions'!$B$6:$B$8)/100,0),2),J741)</f>
        <v>0.0</v>
      </c>
      <c r="I741" s="6">
        <f>ROUND((E741*G741-H741)/(1+'Settings'!$B$6/100),2)</f>
        <v>15.7</v>
      </c>
      <c r="J741" s="8">
        <v>0.0</v>
      </c>
      <c r="K741" s="3" t="inlineStr">
        <is>
          <t xml:space="preserve">TRUE</t>
        </is>
      </c>
      <c r="L741" s="3"/>
    </row>
    <row r="742">
      <c r="A742" s="3" t="inlineStr">
        <is>
          <t xml:space="preserve">#1546</t>
        </is>
      </c>
      <c r="B742" s="3" t="inlineStr">
        <is>
          <t xml:space="preserve">2026-06-12</t>
        </is>
      </c>
      <c r="C742" s="3" t="inlineStr">
        <is>
          <t xml:space="preserve">SKU-C</t>
        </is>
      </c>
      <c r="D742" s="3" t="inlineStr">
        <is>
          <t xml:space="preserve">Contour Stone</t>
        </is>
      </c>
      <c r="E742" s="6">
        <f>IF('Settings'!$B$11="Scenario",IFERROR(INDEX('Catalogue'!$E$3:$E$100,MATCH(C742,'Catalogue'!$B$3:$B$100,0)),F742),F742)</f>
        <v>29</v>
      </c>
      <c r="F742" s="8">
        <v>29</v>
      </c>
      <c r="G742" s="3">
        <v>1</v>
      </c>
      <c r="H742" s="6">
        <f>IF('Settings'!$B$11="Scenario",ROUND(E742*G742*IFERROR(SUMIF('Pricing &amp; promotions'!$A$6:$A$8,L742,'Pricing &amp; promotions'!$B$6:$B$8)/100,0),2),J742)</f>
        <v>2.9</v>
      </c>
      <c r="I742" s="6">
        <f>ROUND((E742*G742-H742)/(1+'Settings'!$B$6/100),2)</f>
        <v>21.57</v>
      </c>
      <c r="J742" s="8">
        <v>2.9</v>
      </c>
      <c r="K742" s="3" t="inlineStr">
        <is>
          <t xml:space="preserve">TRUE</t>
        </is>
      </c>
      <c r="L742" s="3" t="inlineStr">
        <is>
          <t xml:space="preserve">WELCOME10</t>
        </is>
      </c>
    </row>
    <row r="743">
      <c r="A743" s="3" t="inlineStr">
        <is>
          <t xml:space="preserve">#1546</t>
        </is>
      </c>
      <c r="B743" s="3" t="inlineStr">
        <is>
          <t xml:space="preserve">2026-06-12</t>
        </is>
      </c>
      <c r="C743" s="3" t="inlineStr">
        <is>
          <t xml:space="preserve">SKU-A</t>
        </is>
      </c>
      <c r="D743" s="3" t="inlineStr">
        <is>
          <t xml:space="preserve">Renewal Serum</t>
        </is>
      </c>
      <c r="E743" s="6">
        <f>IF('Settings'!$B$11="Scenario",IFERROR(INDEX('Catalogue'!$E$3:$E$100,MATCH(C743,'Catalogue'!$B$3:$B$100,0)),F743),F743)</f>
        <v>69.9</v>
      </c>
      <c r="F743" s="8">
        <v>69.9</v>
      </c>
      <c r="G743" s="3">
        <v>2</v>
      </c>
      <c r="H743" s="6">
        <f>IF('Settings'!$B$11="Scenario",ROUND(E743*G743*IFERROR(SUMIF('Pricing &amp; promotions'!$A$6:$A$8,L743,'Pricing &amp; promotions'!$B$6:$B$8)/100,0),2),J743)</f>
        <v>13.98</v>
      </c>
      <c r="I743" s="6">
        <f>ROUND((E743*G743-H743)/(1+'Settings'!$B$6/100),2)</f>
        <v>103.98</v>
      </c>
      <c r="J743" s="8">
        <v>13.98</v>
      </c>
      <c r="K743" s="3" t="inlineStr">
        <is>
          <t xml:space="preserve">TRUE</t>
        </is>
      </c>
      <c r="L743" s="3" t="inlineStr">
        <is>
          <t xml:space="preserve">WELCOME10</t>
        </is>
      </c>
    </row>
    <row r="744">
      <c r="A744" s="3" t="inlineStr">
        <is>
          <t xml:space="preserve">#1547</t>
        </is>
      </c>
      <c r="B744" s="3" t="inlineStr">
        <is>
          <t xml:space="preserve">2026-06-13</t>
        </is>
      </c>
      <c r="C744" s="3" t="inlineStr">
        <is>
          <t xml:space="preserve">SKU-D</t>
        </is>
      </c>
      <c r="D744" s="3" t="inlineStr">
        <is>
          <t xml:space="preserve">Daily Duo</t>
        </is>
      </c>
      <c r="E744" s="6">
        <f>IF('Settings'!$B$11="Scenario",IFERROR(INDEX('Catalogue'!$E$3:$E$100,MATCH(C744,'Catalogue'!$B$3:$B$100,0)),F744),F744)</f>
        <v>79</v>
      </c>
      <c r="F744" s="8">
        <v>79</v>
      </c>
      <c r="G744" s="3">
        <v>1</v>
      </c>
      <c r="H744" s="6">
        <f>IF('Settings'!$B$11="Scenario",ROUND(E744*G744*IFERROR(SUMIF('Pricing &amp; promotions'!$A$6:$A$8,L744,'Pricing &amp; promotions'!$B$6:$B$8)/100,0),2),J744)</f>
        <v>11.85</v>
      </c>
      <c r="I744" s="6">
        <f>ROUND((E744*G744-H744)/(1+'Settings'!$B$6/100),2)</f>
        <v>55.5</v>
      </c>
      <c r="J744" s="8">
        <v>11.85</v>
      </c>
      <c r="K744" s="3" t="inlineStr">
        <is>
          <t xml:space="preserve">TRUE</t>
        </is>
      </c>
      <c r="L744" s="3" t="inlineStr">
        <is>
          <t xml:space="preserve">SUMMER15</t>
        </is>
      </c>
    </row>
    <row r="745">
      <c r="A745" s="3" t="inlineStr">
        <is>
          <t xml:space="preserve">#1548</t>
        </is>
      </c>
      <c r="B745" s="3" t="inlineStr">
        <is>
          <t xml:space="preserve">2026-06-13</t>
        </is>
      </c>
      <c r="C745" s="3" t="inlineStr">
        <is>
          <t xml:space="preserve">SKU-D</t>
        </is>
      </c>
      <c r="D745" s="3" t="inlineStr">
        <is>
          <t xml:space="preserve">Daily Duo</t>
        </is>
      </c>
      <c r="E745" s="6">
        <f>IF('Settings'!$B$11="Scenario",IFERROR(INDEX('Catalogue'!$E$3:$E$100,MATCH(C745,'Catalogue'!$B$3:$B$100,0)),F745),F745)</f>
        <v>79</v>
      </c>
      <c r="F745" s="8">
        <v>79</v>
      </c>
      <c r="G745" s="3">
        <v>1</v>
      </c>
      <c r="H745" s="6">
        <f>IF('Settings'!$B$11="Scenario",ROUND(E745*G745*IFERROR(SUMIF('Pricing &amp; promotions'!$A$6:$A$8,L745,'Pricing &amp; promotions'!$B$6:$B$8)/100,0),2),J745)</f>
        <v>0.0</v>
      </c>
      <c r="I745" s="6">
        <f>ROUND((E745*G745-H745)/(1+'Settings'!$B$6/100),2)</f>
        <v>65.29</v>
      </c>
      <c r="J745" s="8">
        <v>0.0</v>
      </c>
      <c r="K745" s="3" t="inlineStr">
        <is>
          <t xml:space="preserve">TRUE</t>
        </is>
      </c>
      <c r="L745" s="3"/>
    </row>
    <row r="746">
      <c r="A746" s="3" t="inlineStr">
        <is>
          <t xml:space="preserve">#1548</t>
        </is>
      </c>
      <c r="B746" s="3" t="inlineStr">
        <is>
          <t xml:space="preserve">2026-06-13</t>
        </is>
      </c>
      <c r="C746" s="3" t="inlineStr">
        <is>
          <t xml:space="preserve">SKU-G</t>
        </is>
      </c>
      <c r="D746" s="3" t="inlineStr">
        <is>
          <t xml:space="preserve">Daily Reset Set</t>
        </is>
      </c>
      <c r="E746" s="6">
        <f>IF('Settings'!$B$11="Scenario",IFERROR(INDEX('Catalogue'!$E$3:$E$100,MATCH(C746,'Catalogue'!$B$3:$B$100,0)),F746),F746)</f>
        <v>69</v>
      </c>
      <c r="F746" s="8">
        <v>69</v>
      </c>
      <c r="G746" s="3">
        <v>1</v>
      </c>
      <c r="H746" s="6">
        <f>IF('Settings'!$B$11="Scenario",ROUND(E746*G746*IFERROR(SUMIF('Pricing &amp; promotions'!$A$6:$A$8,L746,'Pricing &amp; promotions'!$B$6:$B$8)/100,0),2),J746)</f>
        <v>0.0</v>
      </c>
      <c r="I746" s="6">
        <f>ROUND((E746*G746-H746)/(1+'Settings'!$B$6/100),2)</f>
        <v>57.02</v>
      </c>
      <c r="J746" s="8">
        <v>0.0</v>
      </c>
      <c r="K746" s="3" t="inlineStr">
        <is>
          <t xml:space="preserve">TRUE</t>
        </is>
      </c>
      <c r="L746" s="3"/>
    </row>
    <row r="747">
      <c r="A747" s="3" t="inlineStr">
        <is>
          <t xml:space="preserve">#1549</t>
        </is>
      </c>
      <c r="B747" s="3" t="inlineStr">
        <is>
          <t xml:space="preserve">2026-06-13</t>
        </is>
      </c>
      <c r="C747" s="3" t="inlineStr">
        <is>
          <t xml:space="preserve">SKU-A</t>
        </is>
      </c>
      <c r="D747" s="3" t="inlineStr">
        <is>
          <t xml:space="preserve">Renewal Serum</t>
        </is>
      </c>
      <c r="E747" s="6">
        <f>IF('Settings'!$B$11="Scenario",IFERROR(INDEX('Catalogue'!$E$3:$E$100,MATCH(C747,'Catalogue'!$B$3:$B$100,0)),F747),F747)</f>
        <v>69.9</v>
      </c>
      <c r="F747" s="8">
        <v>69.9</v>
      </c>
      <c r="G747" s="3">
        <v>1</v>
      </c>
      <c r="H747" s="6">
        <f>IF('Settings'!$B$11="Scenario",ROUND(E747*G747*IFERROR(SUMIF('Pricing &amp; promotions'!$A$6:$A$8,L747,'Pricing &amp; promotions'!$B$6:$B$8)/100,0),2),J747)</f>
        <v>6.99</v>
      </c>
      <c r="I747" s="6">
        <f>ROUND((E747*G747-H747)/(1+'Settings'!$B$6/100),2)</f>
        <v>51.99</v>
      </c>
      <c r="J747" s="8">
        <v>6.99</v>
      </c>
      <c r="K747" s="3" t="inlineStr">
        <is>
          <t xml:space="preserve">TRUE</t>
        </is>
      </c>
      <c r="L747" s="3" t="inlineStr">
        <is>
          <t xml:space="preserve">WELCOME10</t>
        </is>
      </c>
    </row>
    <row r="748">
      <c r="A748" s="3" t="inlineStr">
        <is>
          <t xml:space="preserve">#1550</t>
        </is>
      </c>
      <c r="B748" s="3" t="inlineStr">
        <is>
          <t xml:space="preserve">2026-06-14</t>
        </is>
      </c>
      <c r="C748" s="3" t="inlineStr">
        <is>
          <t xml:space="preserve">SKU-D</t>
        </is>
      </c>
      <c r="D748" s="3" t="inlineStr">
        <is>
          <t xml:space="preserve">Daily Duo</t>
        </is>
      </c>
      <c r="E748" s="6">
        <f>IF('Settings'!$B$11="Scenario",IFERROR(INDEX('Catalogue'!$E$3:$E$100,MATCH(C748,'Catalogue'!$B$3:$B$100,0)),F748),F748)</f>
        <v>79</v>
      </c>
      <c r="F748" s="8">
        <v>79</v>
      </c>
      <c r="G748" s="3">
        <v>1</v>
      </c>
      <c r="H748" s="6">
        <f>IF('Settings'!$B$11="Scenario",ROUND(E748*G748*IFERROR(SUMIF('Pricing &amp; promotions'!$A$6:$A$8,L748,'Pricing &amp; promotions'!$B$6:$B$8)/100,0),2),J748)</f>
        <v>0.0</v>
      </c>
      <c r="I748" s="6">
        <f>ROUND((E748*G748-H748)/(1+'Settings'!$B$6/100),2)</f>
        <v>65.29</v>
      </c>
      <c r="J748" s="8">
        <v>0.0</v>
      </c>
      <c r="K748" s="3" t="inlineStr">
        <is>
          <t xml:space="preserve">TRUE</t>
        </is>
      </c>
      <c r="L748" s="3"/>
    </row>
    <row r="749">
      <c r="A749" s="3" t="inlineStr">
        <is>
          <t xml:space="preserve">#1551</t>
        </is>
      </c>
      <c r="B749" s="3" t="inlineStr">
        <is>
          <t xml:space="preserve">2026-06-15</t>
        </is>
      </c>
      <c r="C749" s="3" t="inlineStr">
        <is>
          <t xml:space="preserve">SKU-D</t>
        </is>
      </c>
      <c r="D749" s="3" t="inlineStr">
        <is>
          <t xml:space="preserve">Daily Duo</t>
        </is>
      </c>
      <c r="E749" s="6">
        <f>IF('Settings'!$B$11="Scenario",IFERROR(INDEX('Catalogue'!$E$3:$E$100,MATCH(C749,'Catalogue'!$B$3:$B$100,0)),F749),F749)</f>
        <v>79</v>
      </c>
      <c r="F749" s="8">
        <v>79</v>
      </c>
      <c r="G749" s="3">
        <v>1</v>
      </c>
      <c r="H749" s="6">
        <f>IF('Settings'!$B$11="Scenario",ROUND(E749*G749*IFERROR(SUMIF('Pricing &amp; promotions'!$A$6:$A$8,L749,'Pricing &amp; promotions'!$B$6:$B$8)/100,0),2),J749)</f>
        <v>11.85</v>
      </c>
      <c r="I749" s="6">
        <f>ROUND((E749*G749-H749)/(1+'Settings'!$B$6/100),2)</f>
        <v>55.5</v>
      </c>
      <c r="J749" s="8">
        <v>11.85</v>
      </c>
      <c r="K749" s="3" t="inlineStr">
        <is>
          <t xml:space="preserve">TRUE</t>
        </is>
      </c>
      <c r="L749" s="3" t="inlineStr">
        <is>
          <t xml:space="preserve">SUMMER15</t>
        </is>
      </c>
    </row>
    <row r="750">
      <c r="A750" s="3" t="inlineStr">
        <is>
          <t xml:space="preserve">#1552</t>
        </is>
      </c>
      <c r="B750" s="3" t="inlineStr">
        <is>
          <t xml:space="preserve">2026-06-15</t>
        </is>
      </c>
      <c r="C750" s="3" t="inlineStr">
        <is>
          <t xml:space="preserve">SKU-A</t>
        </is>
      </c>
      <c r="D750" s="3" t="inlineStr">
        <is>
          <t xml:space="preserve">Renewal Serum</t>
        </is>
      </c>
      <c r="E750" s="6">
        <f>IF('Settings'!$B$11="Scenario",IFERROR(INDEX('Catalogue'!$E$3:$E$100,MATCH(C750,'Catalogue'!$B$3:$B$100,0)),F750),F750)</f>
        <v>69.9</v>
      </c>
      <c r="F750" s="8">
        <v>69.9</v>
      </c>
      <c r="G750" s="3">
        <v>1</v>
      </c>
      <c r="H750" s="6">
        <f>IF('Settings'!$B$11="Scenario",ROUND(E750*G750*IFERROR(SUMIF('Pricing &amp; promotions'!$A$6:$A$8,L750,'Pricing &amp; promotions'!$B$6:$B$8)/100,0),2),J750)</f>
        <v>6.99</v>
      </c>
      <c r="I750" s="6">
        <f>ROUND((E750*G750-H750)/(1+'Settings'!$B$6/100),2)</f>
        <v>51.99</v>
      </c>
      <c r="J750" s="8">
        <v>6.99</v>
      </c>
      <c r="K750" s="3" t="inlineStr">
        <is>
          <t xml:space="preserve">TRUE</t>
        </is>
      </c>
      <c r="L750" s="3" t="inlineStr">
        <is>
          <t xml:space="preserve">WELCOME10</t>
        </is>
      </c>
    </row>
    <row r="751">
      <c r="A751" s="3" t="inlineStr">
        <is>
          <t xml:space="preserve">#1553</t>
        </is>
      </c>
      <c r="B751" s="3" t="inlineStr">
        <is>
          <t xml:space="preserve">2026-06-15</t>
        </is>
      </c>
      <c r="C751" s="3" t="inlineStr">
        <is>
          <t xml:space="preserve">SKU-G</t>
        </is>
      </c>
      <c r="D751" s="3" t="inlineStr">
        <is>
          <t xml:space="preserve">Daily Reset Set</t>
        </is>
      </c>
      <c r="E751" s="6">
        <f>IF('Settings'!$B$11="Scenario",IFERROR(INDEX('Catalogue'!$E$3:$E$100,MATCH(C751,'Catalogue'!$B$3:$B$100,0)),F751),F751)</f>
        <v>69</v>
      </c>
      <c r="F751" s="8">
        <v>69</v>
      </c>
      <c r="G751" s="3">
        <v>1</v>
      </c>
      <c r="H751" s="6">
        <f>IF('Settings'!$B$11="Scenario",ROUND(E751*G751*IFERROR(SUMIF('Pricing &amp; promotions'!$A$6:$A$8,L751,'Pricing &amp; promotions'!$B$6:$B$8)/100,0),2),J751)</f>
        <v>0.0</v>
      </c>
      <c r="I751" s="6">
        <f>ROUND((E751*G751-H751)/(1+'Settings'!$B$6/100),2)</f>
        <v>57.02</v>
      </c>
      <c r="J751" s="8">
        <v>0.0</v>
      </c>
      <c r="K751" s="3" t="inlineStr">
        <is>
          <t xml:space="preserve">TRUE</t>
        </is>
      </c>
      <c r="L751" s="3"/>
    </row>
    <row r="752">
      <c r="A752" s="3" t="inlineStr">
        <is>
          <t xml:space="preserve">#1554</t>
        </is>
      </c>
      <c r="B752" s="3" t="inlineStr">
        <is>
          <t xml:space="preserve">2026-06-16</t>
        </is>
      </c>
      <c r="C752" s="3" t="inlineStr">
        <is>
          <t xml:space="preserve">SKU-D</t>
        </is>
      </c>
      <c r="D752" s="3" t="inlineStr">
        <is>
          <t xml:space="preserve">Daily Duo</t>
        </is>
      </c>
      <c r="E752" s="6">
        <f>IF('Settings'!$B$11="Scenario",IFERROR(INDEX('Catalogue'!$E$3:$E$100,MATCH(C752,'Catalogue'!$B$3:$B$100,0)),F752),F752)</f>
        <v>79</v>
      </c>
      <c r="F752" s="8">
        <v>79</v>
      </c>
      <c r="G752" s="3">
        <v>1</v>
      </c>
      <c r="H752" s="6">
        <f>IF('Settings'!$B$11="Scenario",ROUND(E752*G752*IFERROR(SUMIF('Pricing &amp; promotions'!$A$6:$A$8,L752,'Pricing &amp; promotions'!$B$6:$B$8)/100,0),2),J752)</f>
        <v>0.0</v>
      </c>
      <c r="I752" s="6">
        <f>ROUND((E752*G752-H752)/(1+'Settings'!$B$6/100),2)</f>
        <v>65.29</v>
      </c>
      <c r="J752" s="8">
        <v>0.0</v>
      </c>
      <c r="K752" s="3" t="inlineStr">
        <is>
          <t xml:space="preserve">TRUE</t>
        </is>
      </c>
      <c r="L752" s="3"/>
    </row>
    <row r="753">
      <c r="A753" s="3" t="inlineStr">
        <is>
          <t xml:space="preserve">#1555</t>
        </is>
      </c>
      <c r="B753" s="3" t="inlineStr">
        <is>
          <t xml:space="preserve">2026-06-16</t>
        </is>
      </c>
      <c r="C753" s="3" t="inlineStr">
        <is>
          <t xml:space="preserve">SKU-D</t>
        </is>
      </c>
      <c r="D753" s="3" t="inlineStr">
        <is>
          <t xml:space="preserve">Daily Duo</t>
        </is>
      </c>
      <c r="E753" s="6">
        <f>IF('Settings'!$B$11="Scenario",IFERROR(INDEX('Catalogue'!$E$3:$E$100,MATCH(C753,'Catalogue'!$B$3:$B$100,0)),F753),F753)</f>
        <v>79</v>
      </c>
      <c r="F753" s="8">
        <v>79</v>
      </c>
      <c r="G753" s="3">
        <v>1</v>
      </c>
      <c r="H753" s="6">
        <f>IF('Settings'!$B$11="Scenario",ROUND(E753*G753*IFERROR(SUMIF('Pricing &amp; promotions'!$A$6:$A$8,L753,'Pricing &amp; promotions'!$B$6:$B$8)/100,0),2),J753)</f>
        <v>7.9</v>
      </c>
      <c r="I753" s="6">
        <f>ROUND((E753*G753-H753)/(1+'Settings'!$B$6/100),2)</f>
        <v>58.76</v>
      </c>
      <c r="J753" s="8">
        <v>7.9</v>
      </c>
      <c r="K753" s="3" t="inlineStr">
        <is>
          <t xml:space="preserve">TRUE</t>
        </is>
      </c>
      <c r="L753" s="3" t="inlineStr">
        <is>
          <t xml:space="preserve">WELCOME10</t>
        </is>
      </c>
    </row>
    <row r="754">
      <c r="A754" s="3" t="inlineStr">
        <is>
          <t xml:space="preserve">#1556</t>
        </is>
      </c>
      <c r="B754" s="3" t="inlineStr">
        <is>
          <t xml:space="preserve">2026-06-16</t>
        </is>
      </c>
      <c r="C754" s="3" t="inlineStr">
        <is>
          <t xml:space="preserve">SKU-B</t>
        </is>
      </c>
      <c r="D754" s="3" t="inlineStr">
        <is>
          <t xml:space="preserve">Barrier Balm</t>
        </is>
      </c>
      <c r="E754" s="6">
        <f>IF('Settings'!$B$11="Scenario",IFERROR(INDEX('Catalogue'!$E$3:$E$100,MATCH(C754,'Catalogue'!$B$3:$B$100,0)),F754),F754)</f>
        <v>19</v>
      </c>
      <c r="F754" s="8">
        <v>19</v>
      </c>
      <c r="G754" s="3">
        <v>1</v>
      </c>
      <c r="H754" s="6">
        <f>IF('Settings'!$B$11="Scenario",ROUND(E754*G754*IFERROR(SUMIF('Pricing &amp; promotions'!$A$6:$A$8,L754,'Pricing &amp; promotions'!$B$6:$B$8)/100,0),2),J754)</f>
        <v>0.0</v>
      </c>
      <c r="I754" s="6">
        <f>ROUND((E754*G754-H754)/(1+'Settings'!$B$6/100),2)</f>
        <v>15.7</v>
      </c>
      <c r="J754" s="8">
        <v>0.0</v>
      </c>
      <c r="K754" s="3" t="inlineStr">
        <is>
          <t xml:space="preserve">TRUE</t>
        </is>
      </c>
      <c r="L754" s="3"/>
    </row>
    <row r="755">
      <c r="A755" s="3" t="inlineStr">
        <is>
          <t xml:space="preserve">#1557</t>
        </is>
      </c>
      <c r="B755" s="3" t="inlineStr">
        <is>
          <t xml:space="preserve">2026-06-17</t>
        </is>
      </c>
      <c r="C755" s="3" t="inlineStr">
        <is>
          <t xml:space="preserve">SKU-F</t>
        </is>
      </c>
      <c r="D755" s="3" t="inlineStr">
        <is>
          <t xml:space="preserve">Cloud Cleanser</t>
        </is>
      </c>
      <c r="E755" s="6">
        <f>IF('Settings'!$B$11="Scenario",IFERROR(INDEX('Catalogue'!$E$3:$E$100,MATCH(C755,'Catalogue'!$B$3:$B$100,0)),F755),F755)</f>
        <v>34</v>
      </c>
      <c r="F755" s="8">
        <v>34</v>
      </c>
      <c r="G755" s="3">
        <v>1</v>
      </c>
      <c r="H755" s="6">
        <f>IF('Settings'!$B$11="Scenario",ROUND(E755*G755*IFERROR(SUMIF('Pricing &amp; promotions'!$A$6:$A$8,L755,'Pricing &amp; promotions'!$B$6:$B$8)/100,0),2),J755)</f>
        <v>5.1</v>
      </c>
      <c r="I755" s="6">
        <f>ROUND((E755*G755-H755)/(1+'Settings'!$B$6/100),2)</f>
        <v>23.88</v>
      </c>
      <c r="J755" s="8">
        <v>5.1</v>
      </c>
      <c r="K755" s="3" t="inlineStr">
        <is>
          <t xml:space="preserve">TRUE</t>
        </is>
      </c>
      <c r="L755" s="3" t="inlineStr">
        <is>
          <t xml:space="preserve">SUMMER15</t>
        </is>
      </c>
    </row>
    <row r="756">
      <c r="A756" s="3" t="inlineStr">
        <is>
          <t xml:space="preserve">#1558</t>
        </is>
      </c>
      <c r="B756" s="3" t="inlineStr">
        <is>
          <t xml:space="preserve">2026-06-17</t>
        </is>
      </c>
      <c r="C756" s="3" t="inlineStr">
        <is>
          <t xml:space="preserve">SKU-D</t>
        </is>
      </c>
      <c r="D756" s="3" t="inlineStr">
        <is>
          <t xml:space="preserve">Daily Duo</t>
        </is>
      </c>
      <c r="E756" s="6">
        <f>IF('Settings'!$B$11="Scenario",IFERROR(INDEX('Catalogue'!$E$3:$E$100,MATCH(C756,'Catalogue'!$B$3:$B$100,0)),F756),F756)</f>
        <v>79</v>
      </c>
      <c r="F756" s="8">
        <v>79</v>
      </c>
      <c r="G756" s="3">
        <v>1</v>
      </c>
      <c r="H756" s="6">
        <f>IF('Settings'!$B$11="Scenario",ROUND(E756*G756*IFERROR(SUMIF('Pricing &amp; promotions'!$A$6:$A$8,L756,'Pricing &amp; promotions'!$B$6:$B$8)/100,0),2),J756)</f>
        <v>0.0</v>
      </c>
      <c r="I756" s="6">
        <f>ROUND((E756*G756-H756)/(1+'Settings'!$B$6/100),2)</f>
        <v>65.29</v>
      </c>
      <c r="J756" s="8">
        <v>0.0</v>
      </c>
      <c r="K756" s="3" t="inlineStr">
        <is>
          <t xml:space="preserve">TRUE</t>
        </is>
      </c>
      <c r="L756" s="3"/>
    </row>
    <row r="757">
      <c r="A757" s="3" t="inlineStr">
        <is>
          <t xml:space="preserve">#1559</t>
        </is>
      </c>
      <c r="B757" s="3" t="inlineStr">
        <is>
          <t xml:space="preserve">2026-06-17</t>
        </is>
      </c>
      <c r="C757" s="3" t="inlineStr">
        <is>
          <t xml:space="preserve">SKU-B</t>
        </is>
      </c>
      <c r="D757" s="3" t="inlineStr">
        <is>
          <t xml:space="preserve">Barrier Balm</t>
        </is>
      </c>
      <c r="E757" s="6">
        <f>IF('Settings'!$B$11="Scenario",IFERROR(INDEX('Catalogue'!$E$3:$E$100,MATCH(C757,'Catalogue'!$B$3:$B$100,0)),F757),F757)</f>
        <v>19</v>
      </c>
      <c r="F757" s="8">
        <v>19</v>
      </c>
      <c r="G757" s="3">
        <v>1</v>
      </c>
      <c r="H757" s="6">
        <f>IF('Settings'!$B$11="Scenario",ROUND(E757*G757*IFERROR(SUMIF('Pricing &amp; promotions'!$A$6:$A$8,L757,'Pricing &amp; promotions'!$B$6:$B$8)/100,0),2),J757)</f>
        <v>0.0</v>
      </c>
      <c r="I757" s="6">
        <f>ROUND((E757*G757-H757)/(1+'Settings'!$B$6/100),2)</f>
        <v>15.7</v>
      </c>
      <c r="J757" s="8">
        <v>0.0</v>
      </c>
      <c r="K757" s="3" t="inlineStr">
        <is>
          <t xml:space="preserve">TRUE</t>
        </is>
      </c>
      <c r="L757" s="3"/>
    </row>
    <row r="758">
      <c r="A758" s="3" t="inlineStr">
        <is>
          <t xml:space="preserve">#1560</t>
        </is>
      </c>
      <c r="B758" s="3" t="inlineStr">
        <is>
          <t xml:space="preserve">2026-06-17</t>
        </is>
      </c>
      <c r="C758" s="3" t="inlineStr">
        <is>
          <t xml:space="preserve">SKU-A</t>
        </is>
      </c>
      <c r="D758" s="3" t="inlineStr">
        <is>
          <t xml:space="preserve">Renewal Serum</t>
        </is>
      </c>
      <c r="E758" s="6">
        <f>IF('Settings'!$B$11="Scenario",IFERROR(INDEX('Catalogue'!$E$3:$E$100,MATCH(C758,'Catalogue'!$B$3:$B$100,0)),F758),F758)</f>
        <v>69.9</v>
      </c>
      <c r="F758" s="8">
        <v>69.9</v>
      </c>
      <c r="G758" s="3">
        <v>2</v>
      </c>
      <c r="H758" s="6">
        <f>IF('Settings'!$B$11="Scenario",ROUND(E758*G758*IFERROR(SUMIF('Pricing &amp; promotions'!$A$6:$A$8,L758,'Pricing &amp; promotions'!$B$6:$B$8)/100,0),2),J758)</f>
        <v>13.98</v>
      </c>
      <c r="I758" s="6">
        <f>ROUND((E758*G758-H758)/(1+'Settings'!$B$6/100),2)</f>
        <v>103.98</v>
      </c>
      <c r="J758" s="8">
        <v>13.98</v>
      </c>
      <c r="K758" s="3" t="inlineStr">
        <is>
          <t xml:space="preserve">TRUE</t>
        </is>
      </c>
      <c r="L758" s="3" t="inlineStr">
        <is>
          <t xml:space="preserve">WELCOME10</t>
        </is>
      </c>
    </row>
    <row r="759">
      <c r="A759" s="3" t="inlineStr">
        <is>
          <t xml:space="preserve">#1561</t>
        </is>
      </c>
      <c r="B759" s="3" t="inlineStr">
        <is>
          <t xml:space="preserve">2026-06-17</t>
        </is>
      </c>
      <c r="C759" s="3" t="inlineStr">
        <is>
          <t xml:space="preserve">SKU-B</t>
        </is>
      </c>
      <c r="D759" s="3" t="inlineStr">
        <is>
          <t xml:space="preserve">Barrier Balm</t>
        </is>
      </c>
      <c r="E759" s="6">
        <f>IF('Settings'!$B$11="Scenario",IFERROR(INDEX('Catalogue'!$E$3:$E$100,MATCH(C759,'Catalogue'!$B$3:$B$100,0)),F759),F759)</f>
        <v>19</v>
      </c>
      <c r="F759" s="8">
        <v>19</v>
      </c>
      <c r="G759" s="3">
        <v>1</v>
      </c>
      <c r="H759" s="6">
        <f>IF('Settings'!$B$11="Scenario",ROUND(E759*G759*IFERROR(SUMIF('Pricing &amp; promotions'!$A$6:$A$8,L759,'Pricing &amp; promotions'!$B$6:$B$8)/100,0),2),J759)</f>
        <v>1.9</v>
      </c>
      <c r="I759" s="6">
        <f>ROUND((E759*G759-H759)/(1+'Settings'!$B$6/100),2)</f>
        <v>14.13</v>
      </c>
      <c r="J759" s="8">
        <v>1.9</v>
      </c>
      <c r="K759" s="3" t="inlineStr">
        <is>
          <t xml:space="preserve">TRUE</t>
        </is>
      </c>
      <c r="L759" s="3" t="inlineStr">
        <is>
          <t xml:space="preserve">WELCOME10</t>
        </is>
      </c>
    </row>
    <row r="760">
      <c r="A760" s="3" t="inlineStr">
        <is>
          <t xml:space="preserve">#1562</t>
        </is>
      </c>
      <c r="B760" s="3" t="inlineStr">
        <is>
          <t xml:space="preserve">2026-06-17</t>
        </is>
      </c>
      <c r="C760" s="3" t="inlineStr">
        <is>
          <t xml:space="preserve">SKU-A</t>
        </is>
      </c>
      <c r="D760" s="3" t="inlineStr">
        <is>
          <t xml:space="preserve">Renewal Serum</t>
        </is>
      </c>
      <c r="E760" s="6">
        <f>IF('Settings'!$B$11="Scenario",IFERROR(INDEX('Catalogue'!$E$3:$E$100,MATCH(C760,'Catalogue'!$B$3:$B$100,0)),F760),F760)</f>
        <v>69.9</v>
      </c>
      <c r="F760" s="8">
        <v>69.9</v>
      </c>
      <c r="G760" s="3">
        <v>1</v>
      </c>
      <c r="H760" s="6">
        <f>IF('Settings'!$B$11="Scenario",ROUND(E760*G760*IFERROR(SUMIF('Pricing &amp; promotions'!$A$6:$A$8,L760,'Pricing &amp; promotions'!$B$6:$B$8)/100,0),2),J760)</f>
        <v>6.99</v>
      </c>
      <c r="I760" s="6">
        <f>ROUND((E760*G760-H760)/(1+'Settings'!$B$6/100),2)</f>
        <v>51.99</v>
      </c>
      <c r="J760" s="8">
        <v>6.99</v>
      </c>
      <c r="K760" s="3" t="inlineStr">
        <is>
          <t xml:space="preserve">TRUE</t>
        </is>
      </c>
      <c r="L760" s="3" t="inlineStr">
        <is>
          <t xml:space="preserve">WELCOME10</t>
        </is>
      </c>
    </row>
    <row r="761">
      <c r="A761" s="3" t="inlineStr">
        <is>
          <t xml:space="preserve">#1563</t>
        </is>
      </c>
      <c r="B761" s="3" t="inlineStr">
        <is>
          <t xml:space="preserve">2026-06-18</t>
        </is>
      </c>
      <c r="C761" s="3" t="inlineStr">
        <is>
          <t xml:space="preserve">SKU-D</t>
        </is>
      </c>
      <c r="D761" s="3" t="inlineStr">
        <is>
          <t xml:space="preserve">Daily Duo</t>
        </is>
      </c>
      <c r="E761" s="6">
        <f>IF('Settings'!$B$11="Scenario",IFERROR(INDEX('Catalogue'!$E$3:$E$100,MATCH(C761,'Catalogue'!$B$3:$B$100,0)),F761),F761)</f>
        <v>79</v>
      </c>
      <c r="F761" s="8">
        <v>79</v>
      </c>
      <c r="G761" s="3">
        <v>1</v>
      </c>
      <c r="H761" s="6">
        <f>IF('Settings'!$B$11="Scenario",ROUND(E761*G761*IFERROR(SUMIF('Pricing &amp; promotions'!$A$6:$A$8,L761,'Pricing &amp; promotions'!$B$6:$B$8)/100,0),2),J761)</f>
        <v>0.0</v>
      </c>
      <c r="I761" s="6">
        <f>ROUND((E761*G761-H761)/(1+'Settings'!$B$6/100),2)</f>
        <v>65.29</v>
      </c>
      <c r="J761" s="8">
        <v>0.0</v>
      </c>
      <c r="K761" s="3" t="inlineStr">
        <is>
          <t xml:space="preserve">TRUE</t>
        </is>
      </c>
      <c r="L761" s="3"/>
    </row>
    <row r="762">
      <c r="A762" s="3" t="inlineStr">
        <is>
          <t xml:space="preserve">#1564</t>
        </is>
      </c>
      <c r="B762" s="3" t="inlineStr">
        <is>
          <t xml:space="preserve">2026-06-19</t>
        </is>
      </c>
      <c r="C762" s="3" t="inlineStr">
        <is>
          <t xml:space="preserve">SKU-D</t>
        </is>
      </c>
      <c r="D762" s="3" t="inlineStr">
        <is>
          <t xml:space="preserve">Daily Duo</t>
        </is>
      </c>
      <c r="E762" s="6">
        <f>IF('Settings'!$B$11="Scenario",IFERROR(INDEX('Catalogue'!$E$3:$E$100,MATCH(C762,'Catalogue'!$B$3:$B$100,0)),F762),F762)</f>
        <v>79</v>
      </c>
      <c r="F762" s="8">
        <v>79</v>
      </c>
      <c r="G762" s="3">
        <v>1</v>
      </c>
      <c r="H762" s="6">
        <f>IF('Settings'!$B$11="Scenario",ROUND(E762*G762*IFERROR(SUMIF('Pricing &amp; promotions'!$A$6:$A$8,L762,'Pricing &amp; promotions'!$B$6:$B$8)/100,0),2),J762)</f>
        <v>7.9</v>
      </c>
      <c r="I762" s="6">
        <f>ROUND((E762*G762-H762)/(1+'Settings'!$B$6/100),2)</f>
        <v>58.76</v>
      </c>
      <c r="J762" s="8">
        <v>7.9</v>
      </c>
      <c r="K762" s="3" t="inlineStr">
        <is>
          <t xml:space="preserve">TRUE</t>
        </is>
      </c>
      <c r="L762" s="3" t="inlineStr">
        <is>
          <t xml:space="preserve">WELCOME10</t>
        </is>
      </c>
    </row>
    <row r="763">
      <c r="A763" s="3" t="inlineStr">
        <is>
          <t xml:space="preserve">#1565</t>
        </is>
      </c>
      <c r="B763" s="3" t="inlineStr">
        <is>
          <t xml:space="preserve">2026-06-19</t>
        </is>
      </c>
      <c r="C763" s="3" t="inlineStr">
        <is>
          <t xml:space="preserve">SKU-A</t>
        </is>
      </c>
      <c r="D763" s="3" t="inlineStr">
        <is>
          <t xml:space="preserve">Renewal Serum</t>
        </is>
      </c>
      <c r="E763" s="6">
        <f>IF('Settings'!$B$11="Scenario",IFERROR(INDEX('Catalogue'!$E$3:$E$100,MATCH(C763,'Catalogue'!$B$3:$B$100,0)),F763),F763)</f>
        <v>69.9</v>
      </c>
      <c r="F763" s="8">
        <v>69.9</v>
      </c>
      <c r="G763" s="3">
        <v>1</v>
      </c>
      <c r="H763" s="6">
        <f>IF('Settings'!$B$11="Scenario",ROUND(E763*G763*IFERROR(SUMIF('Pricing &amp; promotions'!$A$6:$A$8,L763,'Pricing &amp; promotions'!$B$6:$B$8)/100,0),2),J763)</f>
        <v>6.99</v>
      </c>
      <c r="I763" s="6">
        <f>ROUND((E763*G763-H763)/(1+'Settings'!$B$6/100),2)</f>
        <v>51.99</v>
      </c>
      <c r="J763" s="8">
        <v>6.99</v>
      </c>
      <c r="K763" s="3" t="inlineStr">
        <is>
          <t xml:space="preserve">TRUE</t>
        </is>
      </c>
      <c r="L763" s="3" t="inlineStr">
        <is>
          <t xml:space="preserve">WELCOME10</t>
        </is>
      </c>
    </row>
    <row r="764">
      <c r="A764" s="3" t="inlineStr">
        <is>
          <t xml:space="preserve">#1566</t>
        </is>
      </c>
      <c r="B764" s="3" t="inlineStr">
        <is>
          <t xml:space="preserve">2026-06-19</t>
        </is>
      </c>
      <c r="C764" s="3" t="inlineStr">
        <is>
          <t xml:space="preserve">SKU-B</t>
        </is>
      </c>
      <c r="D764" s="3" t="inlineStr">
        <is>
          <t xml:space="preserve">Barrier Balm</t>
        </is>
      </c>
      <c r="E764" s="6">
        <f>IF('Settings'!$B$11="Scenario",IFERROR(INDEX('Catalogue'!$E$3:$E$100,MATCH(C764,'Catalogue'!$B$3:$B$100,0)),F764),F764)</f>
        <v>19</v>
      </c>
      <c r="F764" s="8">
        <v>19</v>
      </c>
      <c r="G764" s="3">
        <v>1</v>
      </c>
      <c r="H764" s="6">
        <f>IF('Settings'!$B$11="Scenario",ROUND(E764*G764*IFERROR(SUMIF('Pricing &amp; promotions'!$A$6:$A$8,L764,'Pricing &amp; promotions'!$B$6:$B$8)/100,0),2),J764)</f>
        <v>1.9</v>
      </c>
      <c r="I764" s="6">
        <f>ROUND((E764*G764-H764)/(1+'Settings'!$B$6/100),2)</f>
        <v>14.13</v>
      </c>
      <c r="J764" s="8">
        <v>1.9</v>
      </c>
      <c r="K764" s="3" t="inlineStr">
        <is>
          <t xml:space="preserve">TRUE</t>
        </is>
      </c>
      <c r="L764" s="3" t="inlineStr">
        <is>
          <t xml:space="preserve">WELCOME10</t>
        </is>
      </c>
    </row>
    <row r="765">
      <c r="A765" s="3" t="inlineStr">
        <is>
          <t xml:space="preserve">#1567</t>
        </is>
      </c>
      <c r="B765" s="3" t="inlineStr">
        <is>
          <t xml:space="preserve">2026-06-19</t>
        </is>
      </c>
      <c r="C765" s="3" t="inlineStr">
        <is>
          <t xml:space="preserve">SKU-A</t>
        </is>
      </c>
      <c r="D765" s="3" t="inlineStr">
        <is>
          <t xml:space="preserve">Renewal Serum</t>
        </is>
      </c>
      <c r="E765" s="6">
        <f>IF('Settings'!$B$11="Scenario",IFERROR(INDEX('Catalogue'!$E$3:$E$100,MATCH(C765,'Catalogue'!$B$3:$B$100,0)),F765),F765)</f>
        <v>69.9</v>
      </c>
      <c r="F765" s="8">
        <v>69.9</v>
      </c>
      <c r="G765" s="3">
        <v>1</v>
      </c>
      <c r="H765" s="6">
        <f>IF('Settings'!$B$11="Scenario",ROUND(E765*G765*IFERROR(SUMIF('Pricing &amp; promotions'!$A$6:$A$8,L765,'Pricing &amp; promotions'!$B$6:$B$8)/100,0),2),J765)</f>
        <v>0.0</v>
      </c>
      <c r="I765" s="6">
        <f>ROUND((E765*G765-H765)/(1+'Settings'!$B$6/100),2)</f>
        <v>57.77</v>
      </c>
      <c r="J765" s="8">
        <v>0.0</v>
      </c>
      <c r="K765" s="3" t="inlineStr">
        <is>
          <t xml:space="preserve">TRUE</t>
        </is>
      </c>
      <c r="L765" s="3"/>
    </row>
    <row r="766">
      <c r="A766" s="3" t="inlineStr">
        <is>
          <t xml:space="preserve">#1568</t>
        </is>
      </c>
      <c r="B766" s="3" t="inlineStr">
        <is>
          <t xml:space="preserve">2026-06-20</t>
        </is>
      </c>
      <c r="C766" s="3" t="inlineStr">
        <is>
          <t xml:space="preserve">SKU-D</t>
        </is>
      </c>
      <c r="D766" s="3" t="inlineStr">
        <is>
          <t xml:space="preserve">Daily Duo</t>
        </is>
      </c>
      <c r="E766" s="6">
        <f>IF('Settings'!$B$11="Scenario",IFERROR(INDEX('Catalogue'!$E$3:$E$100,MATCH(C766,'Catalogue'!$B$3:$B$100,0)),F766),F766)</f>
        <v>79</v>
      </c>
      <c r="F766" s="8">
        <v>79</v>
      </c>
      <c r="G766" s="3">
        <v>1</v>
      </c>
      <c r="H766" s="6">
        <f>IF('Settings'!$B$11="Scenario",ROUND(E766*G766*IFERROR(SUMIF('Pricing &amp; promotions'!$A$6:$A$8,L766,'Pricing &amp; promotions'!$B$6:$B$8)/100,0),2),J766)</f>
        <v>0.0</v>
      </c>
      <c r="I766" s="6">
        <f>ROUND((E766*G766-H766)/(1+'Settings'!$B$6/100),2)</f>
        <v>65.29</v>
      </c>
      <c r="J766" s="8">
        <v>0.0</v>
      </c>
      <c r="K766" s="3" t="inlineStr">
        <is>
          <t xml:space="preserve">TRUE</t>
        </is>
      </c>
      <c r="L766" s="3"/>
    </row>
    <row r="767">
      <c r="A767" s="3" t="inlineStr">
        <is>
          <t xml:space="preserve">#1569</t>
        </is>
      </c>
      <c r="B767" s="3" t="inlineStr">
        <is>
          <t xml:space="preserve">2026-06-20</t>
        </is>
      </c>
      <c r="C767" s="3" t="inlineStr">
        <is>
          <t xml:space="preserve">SKU-B</t>
        </is>
      </c>
      <c r="D767" s="3" t="inlineStr">
        <is>
          <t xml:space="preserve">Barrier Balm</t>
        </is>
      </c>
      <c r="E767" s="6">
        <f>IF('Settings'!$B$11="Scenario",IFERROR(INDEX('Catalogue'!$E$3:$E$100,MATCH(C767,'Catalogue'!$B$3:$B$100,0)),F767),F767)</f>
        <v>19</v>
      </c>
      <c r="F767" s="8">
        <v>19</v>
      </c>
      <c r="G767" s="3">
        <v>1</v>
      </c>
      <c r="H767" s="6">
        <f>IF('Settings'!$B$11="Scenario",ROUND(E767*G767*IFERROR(SUMIF('Pricing &amp; promotions'!$A$6:$A$8,L767,'Pricing &amp; promotions'!$B$6:$B$8)/100,0),2),J767)</f>
        <v>0.0</v>
      </c>
      <c r="I767" s="6">
        <f>ROUND((E767*G767-H767)/(1+'Settings'!$B$6/100),2)</f>
        <v>15.7</v>
      </c>
      <c r="J767" s="8">
        <v>0.0</v>
      </c>
      <c r="K767" s="3" t="inlineStr">
        <is>
          <t xml:space="preserve">TRUE</t>
        </is>
      </c>
      <c r="L767" s="3"/>
    </row>
    <row r="768">
      <c r="A768" s="3" t="inlineStr">
        <is>
          <t xml:space="preserve">#1569</t>
        </is>
      </c>
      <c r="B768" s="3" t="inlineStr">
        <is>
          <t xml:space="preserve">2026-06-20</t>
        </is>
      </c>
      <c r="C768" s="3" t="inlineStr">
        <is>
          <t xml:space="preserve">SKU-G</t>
        </is>
      </c>
      <c r="D768" s="3" t="inlineStr">
        <is>
          <t xml:space="preserve">Daily Reset Set</t>
        </is>
      </c>
      <c r="E768" s="6">
        <f>IF('Settings'!$B$11="Scenario",IFERROR(INDEX('Catalogue'!$E$3:$E$100,MATCH(C768,'Catalogue'!$B$3:$B$100,0)),F768),F768)</f>
        <v>69</v>
      </c>
      <c r="F768" s="8">
        <v>69</v>
      </c>
      <c r="G768" s="3">
        <v>1</v>
      </c>
      <c r="H768" s="6">
        <f>IF('Settings'!$B$11="Scenario",ROUND(E768*G768*IFERROR(SUMIF('Pricing &amp; promotions'!$A$6:$A$8,L768,'Pricing &amp; promotions'!$B$6:$B$8)/100,0),2),J768)</f>
        <v>0.0</v>
      </c>
      <c r="I768" s="6">
        <f>ROUND((E768*G768-H768)/(1+'Settings'!$B$6/100),2)</f>
        <v>57.02</v>
      </c>
      <c r="J768" s="8">
        <v>0.0</v>
      </c>
      <c r="K768" s="3" t="inlineStr">
        <is>
          <t xml:space="preserve">TRUE</t>
        </is>
      </c>
      <c r="L768" s="3"/>
    </row>
    <row r="769">
      <c r="A769" s="3" t="inlineStr">
        <is>
          <t xml:space="preserve">#1569</t>
        </is>
      </c>
      <c r="B769" s="3" t="inlineStr">
        <is>
          <t xml:space="preserve">2026-06-20</t>
        </is>
      </c>
      <c r="C769" s="3" t="inlineStr">
        <is>
          <t xml:space="preserve">SKU-E</t>
        </is>
      </c>
      <c r="D769" s="3" t="inlineStr">
        <is>
          <t xml:space="preserve">Complete Ritual</t>
        </is>
      </c>
      <c r="E769" s="6">
        <f>IF('Settings'!$B$11="Scenario",IFERROR(INDEX('Catalogue'!$E$3:$E$100,MATCH(C769,'Catalogue'!$B$3:$B$100,0)),F769),F769)</f>
        <v>89</v>
      </c>
      <c r="F769" s="8">
        <v>89</v>
      </c>
      <c r="G769" s="3">
        <v>1</v>
      </c>
      <c r="H769" s="6">
        <f>IF('Settings'!$B$11="Scenario",ROUND(E769*G769*IFERROR(SUMIF('Pricing &amp; promotions'!$A$6:$A$8,L769,'Pricing &amp; promotions'!$B$6:$B$8)/100,0),2),J769)</f>
        <v>0.0</v>
      </c>
      <c r="I769" s="6">
        <f>ROUND((E769*G769-H769)/(1+'Settings'!$B$6/100),2)</f>
        <v>73.55</v>
      </c>
      <c r="J769" s="8">
        <v>0.0</v>
      </c>
      <c r="K769" s="3" t="inlineStr">
        <is>
          <t xml:space="preserve">TRUE</t>
        </is>
      </c>
      <c r="L769" s="3"/>
    </row>
    <row r="770">
      <c r="A770" s="3" t="inlineStr">
        <is>
          <t xml:space="preserve">#1570</t>
        </is>
      </c>
      <c r="B770" s="3" t="inlineStr">
        <is>
          <t xml:space="preserve">2026-06-21</t>
        </is>
      </c>
      <c r="C770" s="3" t="inlineStr">
        <is>
          <t xml:space="preserve">SKU-G</t>
        </is>
      </c>
      <c r="D770" s="3" t="inlineStr">
        <is>
          <t xml:space="preserve">Daily Reset Set</t>
        </is>
      </c>
      <c r="E770" s="6">
        <f>IF('Settings'!$B$11="Scenario",IFERROR(INDEX('Catalogue'!$E$3:$E$100,MATCH(C770,'Catalogue'!$B$3:$B$100,0)),F770),F770)</f>
        <v>69</v>
      </c>
      <c r="F770" s="8">
        <v>69</v>
      </c>
      <c r="G770" s="3">
        <v>1</v>
      </c>
      <c r="H770" s="6">
        <f>IF('Settings'!$B$11="Scenario",ROUND(E770*G770*IFERROR(SUMIF('Pricing &amp; promotions'!$A$6:$A$8,L770,'Pricing &amp; promotions'!$B$6:$B$8)/100,0),2),J770)</f>
        <v>0.0</v>
      </c>
      <c r="I770" s="6">
        <f>ROUND((E770*G770-H770)/(1+'Settings'!$B$6/100),2)</f>
        <v>57.02</v>
      </c>
      <c r="J770" s="8">
        <v>0.0</v>
      </c>
      <c r="K770" s="3" t="inlineStr">
        <is>
          <t xml:space="preserve">TRUE</t>
        </is>
      </c>
      <c r="L770" s="3"/>
    </row>
    <row r="771">
      <c r="A771" s="3" t="inlineStr">
        <is>
          <t xml:space="preserve">#1571</t>
        </is>
      </c>
      <c r="B771" s="3" t="inlineStr">
        <is>
          <t xml:space="preserve">2026-06-21</t>
        </is>
      </c>
      <c r="C771" s="3" t="inlineStr">
        <is>
          <t xml:space="preserve">SKU-D</t>
        </is>
      </c>
      <c r="D771" s="3" t="inlineStr">
        <is>
          <t xml:space="preserve">Daily Duo</t>
        </is>
      </c>
      <c r="E771" s="6">
        <f>IF('Settings'!$B$11="Scenario",IFERROR(INDEX('Catalogue'!$E$3:$E$100,MATCH(C771,'Catalogue'!$B$3:$B$100,0)),F771),F771)</f>
        <v>79</v>
      </c>
      <c r="F771" s="8">
        <v>79</v>
      </c>
      <c r="G771" s="3">
        <v>1</v>
      </c>
      <c r="H771" s="6">
        <f>IF('Settings'!$B$11="Scenario",ROUND(E771*G771*IFERROR(SUMIF('Pricing &amp; promotions'!$A$6:$A$8,L771,'Pricing &amp; promotions'!$B$6:$B$8)/100,0),2),J771)</f>
        <v>11.85</v>
      </c>
      <c r="I771" s="6">
        <f>ROUND((E771*G771-H771)/(1+'Settings'!$B$6/100),2)</f>
        <v>55.5</v>
      </c>
      <c r="J771" s="8">
        <v>11.85</v>
      </c>
      <c r="K771" s="3" t="inlineStr">
        <is>
          <t xml:space="preserve">TRUE</t>
        </is>
      </c>
      <c r="L771" s="3" t="inlineStr">
        <is>
          <t xml:space="preserve">SUMMER15</t>
        </is>
      </c>
    </row>
    <row r="772">
      <c r="A772" s="3" t="inlineStr">
        <is>
          <t xml:space="preserve">#1571</t>
        </is>
      </c>
      <c r="B772" s="3" t="inlineStr">
        <is>
          <t xml:space="preserve">2026-06-21</t>
        </is>
      </c>
      <c r="C772" s="3" t="inlineStr">
        <is>
          <t xml:space="preserve">SKU-C</t>
        </is>
      </c>
      <c r="D772" s="3" t="inlineStr">
        <is>
          <t xml:space="preserve">Contour Stone</t>
        </is>
      </c>
      <c r="E772" s="6">
        <f>IF('Settings'!$B$11="Scenario",IFERROR(INDEX('Catalogue'!$E$3:$E$100,MATCH(C772,'Catalogue'!$B$3:$B$100,0)),F772),F772)</f>
        <v>29</v>
      </c>
      <c r="F772" s="8">
        <v>29</v>
      </c>
      <c r="G772" s="3">
        <v>1</v>
      </c>
      <c r="H772" s="6">
        <f>IF('Settings'!$B$11="Scenario",ROUND(E772*G772*IFERROR(SUMIF('Pricing &amp; promotions'!$A$6:$A$8,L772,'Pricing &amp; promotions'!$B$6:$B$8)/100,0),2),J772)</f>
        <v>4.35</v>
      </c>
      <c r="I772" s="6">
        <f>ROUND((E772*G772-H772)/(1+'Settings'!$B$6/100),2)</f>
        <v>20.37</v>
      </c>
      <c r="J772" s="8">
        <v>4.35</v>
      </c>
      <c r="K772" s="3" t="inlineStr">
        <is>
          <t xml:space="preserve">TRUE</t>
        </is>
      </c>
      <c r="L772" s="3" t="inlineStr">
        <is>
          <t xml:space="preserve">SUMMER15</t>
        </is>
      </c>
    </row>
    <row r="773">
      <c r="A773" s="3" t="inlineStr">
        <is>
          <t xml:space="preserve">#1572</t>
        </is>
      </c>
      <c r="B773" s="3" t="inlineStr">
        <is>
          <t xml:space="preserve">2026-06-21</t>
        </is>
      </c>
      <c r="C773" s="3" t="inlineStr">
        <is>
          <t xml:space="preserve">SKU-G</t>
        </is>
      </c>
      <c r="D773" s="3" t="inlineStr">
        <is>
          <t xml:space="preserve">Daily Reset Set</t>
        </is>
      </c>
      <c r="E773" s="6">
        <f>IF('Settings'!$B$11="Scenario",IFERROR(INDEX('Catalogue'!$E$3:$E$100,MATCH(C773,'Catalogue'!$B$3:$B$100,0)),F773),F773)</f>
        <v>69</v>
      </c>
      <c r="F773" s="8">
        <v>69</v>
      </c>
      <c r="G773" s="3">
        <v>1</v>
      </c>
      <c r="H773" s="6">
        <f>IF('Settings'!$B$11="Scenario",ROUND(E773*G773*IFERROR(SUMIF('Pricing &amp; promotions'!$A$6:$A$8,L773,'Pricing &amp; promotions'!$B$6:$B$8)/100,0),2),J773)</f>
        <v>13.8</v>
      </c>
      <c r="I773" s="6">
        <f>ROUND((E773*G773-H773)/(1+'Settings'!$B$6/100),2)</f>
        <v>45.62</v>
      </c>
      <c r="J773" s="8">
        <v>13.8</v>
      </c>
      <c r="K773" s="3" t="inlineStr">
        <is>
          <t xml:space="preserve">TRUE</t>
        </is>
      </c>
      <c r="L773" s="3" t="inlineStr">
        <is>
          <t xml:space="preserve">VIP20</t>
        </is>
      </c>
    </row>
    <row r="774">
      <c r="A774" s="3" t="inlineStr">
        <is>
          <t xml:space="preserve">#1573</t>
        </is>
      </c>
      <c r="B774" s="3" t="inlineStr">
        <is>
          <t xml:space="preserve">2026-06-23</t>
        </is>
      </c>
      <c r="C774" s="3" t="inlineStr">
        <is>
          <t xml:space="preserve">SKU-A</t>
        </is>
      </c>
      <c r="D774" s="3" t="inlineStr">
        <is>
          <t xml:space="preserve">Renewal Serum</t>
        </is>
      </c>
      <c r="E774" s="6">
        <f>IF('Settings'!$B$11="Scenario",IFERROR(INDEX('Catalogue'!$E$3:$E$100,MATCH(C774,'Catalogue'!$B$3:$B$100,0)),F774),F774)</f>
        <v>69.9</v>
      </c>
      <c r="F774" s="8">
        <v>69.9</v>
      </c>
      <c r="G774" s="3">
        <v>1</v>
      </c>
      <c r="H774" s="6">
        <f>IF('Settings'!$B$11="Scenario",ROUND(E774*G774*IFERROR(SUMIF('Pricing &amp; promotions'!$A$6:$A$8,L774,'Pricing &amp; promotions'!$B$6:$B$8)/100,0),2),J774)</f>
        <v>0.0</v>
      </c>
      <c r="I774" s="6">
        <f>ROUND((E774*G774-H774)/(1+'Settings'!$B$6/100),2)</f>
        <v>57.77</v>
      </c>
      <c r="J774" s="8">
        <v>0.0</v>
      </c>
      <c r="K774" s="3" t="inlineStr">
        <is>
          <t xml:space="preserve">TRUE</t>
        </is>
      </c>
      <c r="L774" s="3"/>
    </row>
    <row r="775">
      <c r="A775" s="3" t="inlineStr">
        <is>
          <t xml:space="preserve">#1573</t>
        </is>
      </c>
      <c r="B775" s="3" t="inlineStr">
        <is>
          <t xml:space="preserve">2026-06-23</t>
        </is>
      </c>
      <c r="C775" s="3" t="inlineStr">
        <is>
          <t xml:space="preserve">SKU-G</t>
        </is>
      </c>
      <c r="D775" s="3" t="inlineStr">
        <is>
          <t xml:space="preserve">Daily Reset Set</t>
        </is>
      </c>
      <c r="E775" s="6">
        <f>IF('Settings'!$B$11="Scenario",IFERROR(INDEX('Catalogue'!$E$3:$E$100,MATCH(C775,'Catalogue'!$B$3:$B$100,0)),F775),F775)</f>
        <v>69</v>
      </c>
      <c r="F775" s="8">
        <v>69</v>
      </c>
      <c r="G775" s="3">
        <v>2</v>
      </c>
      <c r="H775" s="6">
        <f>IF('Settings'!$B$11="Scenario",ROUND(E775*G775*IFERROR(SUMIF('Pricing &amp; promotions'!$A$6:$A$8,L775,'Pricing &amp; promotions'!$B$6:$B$8)/100,0),2),J775)</f>
        <v>0.0</v>
      </c>
      <c r="I775" s="6">
        <f>ROUND((E775*G775-H775)/(1+'Settings'!$B$6/100),2)</f>
        <v>114.05</v>
      </c>
      <c r="J775" s="8">
        <v>0.0</v>
      </c>
      <c r="K775" s="3" t="inlineStr">
        <is>
          <t xml:space="preserve">TRUE</t>
        </is>
      </c>
      <c r="L775" s="3"/>
    </row>
    <row r="776">
      <c r="A776" s="3" t="inlineStr">
        <is>
          <t xml:space="preserve">#1574</t>
        </is>
      </c>
      <c r="B776" s="3" t="inlineStr">
        <is>
          <t xml:space="preserve">2026-06-23</t>
        </is>
      </c>
      <c r="C776" s="3" t="inlineStr">
        <is>
          <t xml:space="preserve">SKU-A</t>
        </is>
      </c>
      <c r="D776" s="3" t="inlineStr">
        <is>
          <t xml:space="preserve">Renewal Serum</t>
        </is>
      </c>
      <c r="E776" s="6">
        <f>IF('Settings'!$B$11="Scenario",IFERROR(INDEX('Catalogue'!$E$3:$E$100,MATCH(C776,'Catalogue'!$B$3:$B$100,0)),F776),F776)</f>
        <v>69.9</v>
      </c>
      <c r="F776" s="8">
        <v>69.9</v>
      </c>
      <c r="G776" s="3">
        <v>1</v>
      </c>
      <c r="H776" s="6">
        <f>IF('Settings'!$B$11="Scenario",ROUND(E776*G776*IFERROR(SUMIF('Pricing &amp; promotions'!$A$6:$A$8,L776,'Pricing &amp; promotions'!$B$6:$B$8)/100,0),2),J776)</f>
        <v>0.0</v>
      </c>
      <c r="I776" s="6">
        <f>ROUND((E776*G776-H776)/(1+'Settings'!$B$6/100),2)</f>
        <v>57.77</v>
      </c>
      <c r="J776" s="8">
        <v>0.0</v>
      </c>
      <c r="K776" s="3" t="inlineStr">
        <is>
          <t xml:space="preserve">TRUE</t>
        </is>
      </c>
      <c r="L776" s="3"/>
    </row>
    <row r="777">
      <c r="A777" s="3" t="inlineStr">
        <is>
          <t xml:space="preserve">#1575</t>
        </is>
      </c>
      <c r="B777" s="3" t="inlineStr">
        <is>
          <t xml:space="preserve">2026-06-23</t>
        </is>
      </c>
      <c r="C777" s="3" t="inlineStr">
        <is>
          <t xml:space="preserve">SKU-B</t>
        </is>
      </c>
      <c r="D777" s="3" t="inlineStr">
        <is>
          <t xml:space="preserve">Barrier Balm</t>
        </is>
      </c>
      <c r="E777" s="6">
        <f>IF('Settings'!$B$11="Scenario",IFERROR(INDEX('Catalogue'!$E$3:$E$100,MATCH(C777,'Catalogue'!$B$3:$B$100,0)),F777),F777)</f>
        <v>19</v>
      </c>
      <c r="F777" s="8">
        <v>19</v>
      </c>
      <c r="G777" s="3">
        <v>1</v>
      </c>
      <c r="H777" s="6">
        <f>IF('Settings'!$B$11="Scenario",ROUND(E777*G777*IFERROR(SUMIF('Pricing &amp; promotions'!$A$6:$A$8,L777,'Pricing &amp; promotions'!$B$6:$B$8)/100,0),2),J777)</f>
        <v>0.0</v>
      </c>
      <c r="I777" s="6">
        <f>ROUND((E777*G777-H777)/(1+'Settings'!$B$6/100),2)</f>
        <v>15.7</v>
      </c>
      <c r="J777" s="8">
        <v>0.0</v>
      </c>
      <c r="K777" s="3" t="inlineStr">
        <is>
          <t xml:space="preserve">TRUE</t>
        </is>
      </c>
      <c r="L777" s="3"/>
    </row>
    <row r="778">
      <c r="A778" s="3" t="inlineStr">
        <is>
          <t xml:space="preserve">#1576</t>
        </is>
      </c>
      <c r="B778" s="3" t="inlineStr">
        <is>
          <t xml:space="preserve">2026-06-24</t>
        </is>
      </c>
      <c r="C778" s="3" t="inlineStr">
        <is>
          <t xml:space="preserve">SKU-A</t>
        </is>
      </c>
      <c r="D778" s="3" t="inlineStr">
        <is>
          <t xml:space="preserve">Renewal Serum</t>
        </is>
      </c>
      <c r="E778" s="6">
        <f>IF('Settings'!$B$11="Scenario",IFERROR(INDEX('Catalogue'!$E$3:$E$100,MATCH(C778,'Catalogue'!$B$3:$B$100,0)),F778),F778)</f>
        <v>69.9</v>
      </c>
      <c r="F778" s="8">
        <v>69.9</v>
      </c>
      <c r="G778" s="3">
        <v>1</v>
      </c>
      <c r="H778" s="6">
        <f>IF('Settings'!$B$11="Scenario",ROUND(E778*G778*IFERROR(SUMIF('Pricing &amp; promotions'!$A$6:$A$8,L778,'Pricing &amp; promotions'!$B$6:$B$8)/100,0),2),J778)</f>
        <v>0.0</v>
      </c>
      <c r="I778" s="6">
        <f>ROUND((E778*G778-H778)/(1+'Settings'!$B$6/100),2)</f>
        <v>57.77</v>
      </c>
      <c r="J778" s="8">
        <v>0.0</v>
      </c>
      <c r="K778" s="3" t="inlineStr">
        <is>
          <t xml:space="preserve">TRUE</t>
        </is>
      </c>
      <c r="L778" s="3"/>
    </row>
    <row r="779">
      <c r="A779" s="3" t="inlineStr">
        <is>
          <t xml:space="preserve">#1577</t>
        </is>
      </c>
      <c r="B779" s="3" t="inlineStr">
        <is>
          <t xml:space="preserve">2026-06-24</t>
        </is>
      </c>
      <c r="C779" s="3" t="inlineStr">
        <is>
          <t xml:space="preserve">SKU-D</t>
        </is>
      </c>
      <c r="D779" s="3" t="inlineStr">
        <is>
          <t xml:space="preserve">Daily Duo</t>
        </is>
      </c>
      <c r="E779" s="6">
        <f>IF('Settings'!$B$11="Scenario",IFERROR(INDEX('Catalogue'!$E$3:$E$100,MATCH(C779,'Catalogue'!$B$3:$B$100,0)),F779),F779)</f>
        <v>79</v>
      </c>
      <c r="F779" s="8">
        <v>79</v>
      </c>
      <c r="G779" s="3">
        <v>1</v>
      </c>
      <c r="H779" s="6">
        <f>IF('Settings'!$B$11="Scenario",ROUND(E779*G779*IFERROR(SUMIF('Pricing &amp; promotions'!$A$6:$A$8,L779,'Pricing &amp; promotions'!$B$6:$B$8)/100,0),2),J779)</f>
        <v>0.0</v>
      </c>
      <c r="I779" s="6">
        <f>ROUND((E779*G779-H779)/(1+'Settings'!$B$6/100),2)</f>
        <v>65.29</v>
      </c>
      <c r="J779" s="8">
        <v>0.0</v>
      </c>
      <c r="K779" s="3" t="inlineStr">
        <is>
          <t xml:space="preserve">TRUE</t>
        </is>
      </c>
      <c r="L779" s="3"/>
    </row>
    <row r="780">
      <c r="A780" s="3" t="inlineStr">
        <is>
          <t xml:space="preserve">#1578</t>
        </is>
      </c>
      <c r="B780" s="3" t="inlineStr">
        <is>
          <t xml:space="preserve">2026-06-24</t>
        </is>
      </c>
      <c r="C780" s="3" t="inlineStr">
        <is>
          <t xml:space="preserve">SKU-C</t>
        </is>
      </c>
      <c r="D780" s="3" t="inlineStr">
        <is>
          <t xml:space="preserve">Contour Stone</t>
        </is>
      </c>
      <c r="E780" s="6">
        <f>IF('Settings'!$B$11="Scenario",IFERROR(INDEX('Catalogue'!$E$3:$E$100,MATCH(C780,'Catalogue'!$B$3:$B$100,0)),F780),F780)</f>
        <v>29</v>
      </c>
      <c r="F780" s="8">
        <v>29</v>
      </c>
      <c r="G780" s="3">
        <v>2</v>
      </c>
      <c r="H780" s="6">
        <f>IF('Settings'!$B$11="Scenario",ROUND(E780*G780*IFERROR(SUMIF('Pricing &amp; promotions'!$A$6:$A$8,L780,'Pricing &amp; promotions'!$B$6:$B$8)/100,0),2),J780)</f>
        <v>0.0</v>
      </c>
      <c r="I780" s="6">
        <f>ROUND((E780*G780-H780)/(1+'Settings'!$B$6/100),2)</f>
        <v>47.93</v>
      </c>
      <c r="J780" s="8">
        <v>0.0</v>
      </c>
      <c r="K780" s="3" t="inlineStr">
        <is>
          <t xml:space="preserve">TRUE</t>
        </is>
      </c>
      <c r="L780" s="3"/>
    </row>
    <row r="781">
      <c r="A781" s="3" t="inlineStr">
        <is>
          <t xml:space="preserve">#1579</t>
        </is>
      </c>
      <c r="B781" s="3" t="inlineStr">
        <is>
          <t xml:space="preserve">2026-06-24</t>
        </is>
      </c>
      <c r="C781" s="3" t="inlineStr">
        <is>
          <t xml:space="preserve">SKU-A</t>
        </is>
      </c>
      <c r="D781" s="3" t="inlineStr">
        <is>
          <t xml:space="preserve">Renewal Serum</t>
        </is>
      </c>
      <c r="E781" s="6">
        <f>IF('Settings'!$B$11="Scenario",IFERROR(INDEX('Catalogue'!$E$3:$E$100,MATCH(C781,'Catalogue'!$B$3:$B$100,0)),F781),F781)</f>
        <v>69.9</v>
      </c>
      <c r="F781" s="8">
        <v>69.9</v>
      </c>
      <c r="G781" s="3">
        <v>1</v>
      </c>
      <c r="H781" s="6">
        <f>IF('Settings'!$B$11="Scenario",ROUND(E781*G781*IFERROR(SUMIF('Pricing &amp; promotions'!$A$6:$A$8,L781,'Pricing &amp; promotions'!$B$6:$B$8)/100,0),2),J781)</f>
        <v>0.0</v>
      </c>
      <c r="I781" s="6">
        <f>ROUND((E781*G781-H781)/(1+'Settings'!$B$6/100),2)</f>
        <v>57.77</v>
      </c>
      <c r="J781" s="8">
        <v>0.0</v>
      </c>
      <c r="K781" s="3" t="inlineStr">
        <is>
          <t xml:space="preserve">TRUE</t>
        </is>
      </c>
      <c r="L781" s="3"/>
    </row>
    <row r="782">
      <c r="A782" s="3" t="inlineStr">
        <is>
          <t xml:space="preserve">#1579</t>
        </is>
      </c>
      <c r="B782" s="3" t="inlineStr">
        <is>
          <t xml:space="preserve">2026-06-24</t>
        </is>
      </c>
      <c r="C782" s="3" t="inlineStr">
        <is>
          <t xml:space="preserve">SKU-D</t>
        </is>
      </c>
      <c r="D782" s="3" t="inlineStr">
        <is>
          <t xml:space="preserve">Daily Duo</t>
        </is>
      </c>
      <c r="E782" s="6">
        <f>IF('Settings'!$B$11="Scenario",IFERROR(INDEX('Catalogue'!$E$3:$E$100,MATCH(C782,'Catalogue'!$B$3:$B$100,0)),F782),F782)</f>
        <v>79</v>
      </c>
      <c r="F782" s="8">
        <v>79</v>
      </c>
      <c r="G782" s="3">
        <v>1</v>
      </c>
      <c r="H782" s="6">
        <f>IF('Settings'!$B$11="Scenario",ROUND(E782*G782*IFERROR(SUMIF('Pricing &amp; promotions'!$A$6:$A$8,L782,'Pricing &amp; promotions'!$B$6:$B$8)/100,0),2),J782)</f>
        <v>0.0</v>
      </c>
      <c r="I782" s="6">
        <f>ROUND((E782*G782-H782)/(1+'Settings'!$B$6/100),2)</f>
        <v>65.29</v>
      </c>
      <c r="J782" s="8">
        <v>0.0</v>
      </c>
      <c r="K782" s="3" t="inlineStr">
        <is>
          <t xml:space="preserve">TRUE</t>
        </is>
      </c>
      <c r="L782" s="3"/>
    </row>
    <row r="783">
      <c r="A783" s="3" t="inlineStr">
        <is>
          <t xml:space="preserve">#1580</t>
        </is>
      </c>
      <c r="B783" s="3" t="inlineStr">
        <is>
          <t xml:space="preserve">2026-06-24</t>
        </is>
      </c>
      <c r="C783" s="3" t="inlineStr">
        <is>
          <t xml:space="preserve">SKU-A</t>
        </is>
      </c>
      <c r="D783" s="3" t="inlineStr">
        <is>
          <t xml:space="preserve">Renewal Serum</t>
        </is>
      </c>
      <c r="E783" s="6">
        <f>IF('Settings'!$B$11="Scenario",IFERROR(INDEX('Catalogue'!$E$3:$E$100,MATCH(C783,'Catalogue'!$B$3:$B$100,0)),F783),F783)</f>
        <v>69.9</v>
      </c>
      <c r="F783" s="8">
        <v>69.9</v>
      </c>
      <c r="G783" s="3">
        <v>1</v>
      </c>
      <c r="H783" s="6">
        <f>IF('Settings'!$B$11="Scenario",ROUND(E783*G783*IFERROR(SUMIF('Pricing &amp; promotions'!$A$6:$A$8,L783,'Pricing &amp; promotions'!$B$6:$B$8)/100,0),2),J783)</f>
        <v>0.0</v>
      </c>
      <c r="I783" s="6">
        <f>ROUND((E783*G783-H783)/(1+'Settings'!$B$6/100),2)</f>
        <v>57.77</v>
      </c>
      <c r="J783" s="8">
        <v>0.0</v>
      </c>
      <c r="K783" s="3" t="inlineStr">
        <is>
          <t xml:space="preserve">TRUE</t>
        </is>
      </c>
      <c r="L783" s="3"/>
    </row>
    <row r="784">
      <c r="A784" s="3" t="inlineStr">
        <is>
          <t xml:space="preserve">#1580</t>
        </is>
      </c>
      <c r="B784" s="3" t="inlineStr">
        <is>
          <t xml:space="preserve">2026-06-24</t>
        </is>
      </c>
      <c r="C784" s="3" t="inlineStr">
        <is>
          <t xml:space="preserve">SKU-G</t>
        </is>
      </c>
      <c r="D784" s="3" t="inlineStr">
        <is>
          <t xml:space="preserve">Daily Reset Set</t>
        </is>
      </c>
      <c r="E784" s="6">
        <f>IF('Settings'!$B$11="Scenario",IFERROR(INDEX('Catalogue'!$E$3:$E$100,MATCH(C784,'Catalogue'!$B$3:$B$100,0)),F784),F784)</f>
        <v>69</v>
      </c>
      <c r="F784" s="8">
        <v>69</v>
      </c>
      <c r="G784" s="3">
        <v>1</v>
      </c>
      <c r="H784" s="6">
        <f>IF('Settings'!$B$11="Scenario",ROUND(E784*G784*IFERROR(SUMIF('Pricing &amp; promotions'!$A$6:$A$8,L784,'Pricing &amp; promotions'!$B$6:$B$8)/100,0),2),J784)</f>
        <v>0.0</v>
      </c>
      <c r="I784" s="6">
        <f>ROUND((E784*G784-H784)/(1+'Settings'!$B$6/100),2)</f>
        <v>57.02</v>
      </c>
      <c r="J784" s="8">
        <v>0.0</v>
      </c>
      <c r="K784" s="3" t="inlineStr">
        <is>
          <t xml:space="preserve">TRUE</t>
        </is>
      </c>
      <c r="L784" s="3"/>
    </row>
    <row r="785">
      <c r="A785" s="3" t="inlineStr">
        <is>
          <t xml:space="preserve">#1581</t>
        </is>
      </c>
      <c r="B785" s="3" t="inlineStr">
        <is>
          <t xml:space="preserve">2026-06-25</t>
        </is>
      </c>
      <c r="C785" s="3" t="inlineStr">
        <is>
          <t xml:space="preserve">SKU-A</t>
        </is>
      </c>
      <c r="D785" s="3" t="inlineStr">
        <is>
          <t xml:space="preserve">Renewal Serum</t>
        </is>
      </c>
      <c r="E785" s="6">
        <f>IF('Settings'!$B$11="Scenario",IFERROR(INDEX('Catalogue'!$E$3:$E$100,MATCH(C785,'Catalogue'!$B$3:$B$100,0)),F785),F785)</f>
        <v>69.9</v>
      </c>
      <c r="F785" s="8">
        <v>69.9</v>
      </c>
      <c r="G785" s="3">
        <v>1</v>
      </c>
      <c r="H785" s="6">
        <f>IF('Settings'!$B$11="Scenario",ROUND(E785*G785*IFERROR(SUMIF('Pricing &amp; promotions'!$A$6:$A$8,L785,'Pricing &amp; promotions'!$B$6:$B$8)/100,0),2),J785)</f>
        <v>0.0</v>
      </c>
      <c r="I785" s="6">
        <f>ROUND((E785*G785-H785)/(1+'Settings'!$B$6/100),2)</f>
        <v>57.77</v>
      </c>
      <c r="J785" s="8">
        <v>0.0</v>
      </c>
      <c r="K785" s="3" t="inlineStr">
        <is>
          <t xml:space="preserve">TRUE</t>
        </is>
      </c>
      <c r="L785" s="3"/>
    </row>
    <row r="786">
      <c r="A786" s="3" t="inlineStr">
        <is>
          <t xml:space="preserve">#1581</t>
        </is>
      </c>
      <c r="B786" s="3" t="inlineStr">
        <is>
          <t xml:space="preserve">2026-06-25</t>
        </is>
      </c>
      <c r="C786" s="3" t="inlineStr">
        <is>
          <t xml:space="preserve">SKU-F</t>
        </is>
      </c>
      <c r="D786" s="3" t="inlineStr">
        <is>
          <t xml:space="preserve">Cloud Cleanser</t>
        </is>
      </c>
      <c r="E786" s="6">
        <f>IF('Settings'!$B$11="Scenario",IFERROR(INDEX('Catalogue'!$E$3:$E$100,MATCH(C786,'Catalogue'!$B$3:$B$100,0)),F786),F786)</f>
        <v>34</v>
      </c>
      <c r="F786" s="8">
        <v>34</v>
      </c>
      <c r="G786" s="3">
        <v>1</v>
      </c>
      <c r="H786" s="6">
        <f>IF('Settings'!$B$11="Scenario",ROUND(E786*G786*IFERROR(SUMIF('Pricing &amp; promotions'!$A$6:$A$8,L786,'Pricing &amp; promotions'!$B$6:$B$8)/100,0),2),J786)</f>
        <v>0.0</v>
      </c>
      <c r="I786" s="6">
        <f>ROUND((E786*G786-H786)/(1+'Settings'!$B$6/100),2)</f>
        <v>28.1</v>
      </c>
      <c r="J786" s="8">
        <v>0.0</v>
      </c>
      <c r="K786" s="3" t="inlineStr">
        <is>
          <t xml:space="preserve">TRUE</t>
        </is>
      </c>
      <c r="L786" s="3"/>
    </row>
    <row r="787">
      <c r="A787" s="3" t="inlineStr">
        <is>
          <t xml:space="preserve">#1582</t>
        </is>
      </c>
      <c r="B787" s="3" t="inlineStr">
        <is>
          <t xml:space="preserve">2026-06-25</t>
        </is>
      </c>
      <c r="C787" s="3" t="inlineStr">
        <is>
          <t xml:space="preserve">SKU-D</t>
        </is>
      </c>
      <c r="D787" s="3" t="inlineStr">
        <is>
          <t xml:space="preserve">Daily Duo</t>
        </is>
      </c>
      <c r="E787" s="6">
        <f>IF('Settings'!$B$11="Scenario",IFERROR(INDEX('Catalogue'!$E$3:$E$100,MATCH(C787,'Catalogue'!$B$3:$B$100,0)),F787),F787)</f>
        <v>79</v>
      </c>
      <c r="F787" s="8">
        <v>79</v>
      </c>
      <c r="G787" s="3">
        <v>1</v>
      </c>
      <c r="H787" s="6">
        <f>IF('Settings'!$B$11="Scenario",ROUND(E787*G787*IFERROR(SUMIF('Pricing &amp; promotions'!$A$6:$A$8,L787,'Pricing &amp; promotions'!$B$6:$B$8)/100,0),2),J787)</f>
        <v>0.0</v>
      </c>
      <c r="I787" s="6">
        <f>ROUND((E787*G787-H787)/(1+'Settings'!$B$6/100),2)</f>
        <v>65.29</v>
      </c>
      <c r="J787" s="8">
        <v>0.0</v>
      </c>
      <c r="K787" s="3" t="inlineStr">
        <is>
          <t xml:space="preserve">TRUE</t>
        </is>
      </c>
      <c r="L787" s="3"/>
    </row>
    <row r="788">
      <c r="A788" s="3" t="inlineStr">
        <is>
          <t xml:space="preserve">#1582</t>
        </is>
      </c>
      <c r="B788" s="3" t="inlineStr">
        <is>
          <t xml:space="preserve">2026-06-25</t>
        </is>
      </c>
      <c r="C788" s="3" t="inlineStr">
        <is>
          <t xml:space="preserve">SKU-A</t>
        </is>
      </c>
      <c r="D788" s="3" t="inlineStr">
        <is>
          <t xml:space="preserve">Renewal Serum</t>
        </is>
      </c>
      <c r="E788" s="6">
        <f>IF('Settings'!$B$11="Scenario",IFERROR(INDEX('Catalogue'!$E$3:$E$100,MATCH(C788,'Catalogue'!$B$3:$B$100,0)),F788),F788)</f>
        <v>69.9</v>
      </c>
      <c r="F788" s="8">
        <v>69.9</v>
      </c>
      <c r="G788" s="3">
        <v>1</v>
      </c>
      <c r="H788" s="6">
        <f>IF('Settings'!$B$11="Scenario",ROUND(E788*G788*IFERROR(SUMIF('Pricing &amp; promotions'!$A$6:$A$8,L788,'Pricing &amp; promotions'!$B$6:$B$8)/100,0),2),J788)</f>
        <v>0.0</v>
      </c>
      <c r="I788" s="6">
        <f>ROUND((E788*G788-H788)/(1+'Settings'!$B$6/100),2)</f>
        <v>57.77</v>
      </c>
      <c r="J788" s="8">
        <v>0.0</v>
      </c>
      <c r="K788" s="3" t="inlineStr">
        <is>
          <t xml:space="preserve">TRUE</t>
        </is>
      </c>
      <c r="L788" s="3"/>
    </row>
    <row r="789">
      <c r="A789" s="3" t="inlineStr">
        <is>
          <t xml:space="preserve">#1583</t>
        </is>
      </c>
      <c r="B789" s="3" t="inlineStr">
        <is>
          <t xml:space="preserve">2026-06-26</t>
        </is>
      </c>
      <c r="C789" s="3" t="inlineStr">
        <is>
          <t xml:space="preserve">SKU-A</t>
        </is>
      </c>
      <c r="D789" s="3" t="inlineStr">
        <is>
          <t xml:space="preserve">Renewal Serum</t>
        </is>
      </c>
      <c r="E789" s="6">
        <f>IF('Settings'!$B$11="Scenario",IFERROR(INDEX('Catalogue'!$E$3:$E$100,MATCH(C789,'Catalogue'!$B$3:$B$100,0)),F789),F789)</f>
        <v>69.9</v>
      </c>
      <c r="F789" s="8">
        <v>69.9</v>
      </c>
      <c r="G789" s="3">
        <v>1</v>
      </c>
      <c r="H789" s="6">
        <f>IF('Settings'!$B$11="Scenario",ROUND(E789*G789*IFERROR(SUMIF('Pricing &amp; promotions'!$A$6:$A$8,L789,'Pricing &amp; promotions'!$B$6:$B$8)/100,0),2),J789)</f>
        <v>0.0</v>
      </c>
      <c r="I789" s="6">
        <f>ROUND((E789*G789-H789)/(1+'Settings'!$B$6/100),2)</f>
        <v>57.77</v>
      </c>
      <c r="J789" s="8">
        <v>0.0</v>
      </c>
      <c r="K789" s="3" t="inlineStr">
        <is>
          <t xml:space="preserve">TRUE</t>
        </is>
      </c>
      <c r="L789" s="3"/>
    </row>
    <row r="790">
      <c r="A790" s="3" t="inlineStr">
        <is>
          <t xml:space="preserve">#1584</t>
        </is>
      </c>
      <c r="B790" s="3" t="inlineStr">
        <is>
          <t xml:space="preserve">2026-06-26</t>
        </is>
      </c>
      <c r="C790" s="3" t="inlineStr">
        <is>
          <t xml:space="preserve">SKU-F</t>
        </is>
      </c>
      <c r="D790" s="3" t="inlineStr">
        <is>
          <t xml:space="preserve">Cloud Cleanser</t>
        </is>
      </c>
      <c r="E790" s="6">
        <f>IF('Settings'!$B$11="Scenario",IFERROR(INDEX('Catalogue'!$E$3:$E$100,MATCH(C790,'Catalogue'!$B$3:$B$100,0)),F790),F790)</f>
        <v>34</v>
      </c>
      <c r="F790" s="8">
        <v>34</v>
      </c>
      <c r="G790" s="3">
        <v>2</v>
      </c>
      <c r="H790" s="6">
        <f>IF('Settings'!$B$11="Scenario",ROUND(E790*G790*IFERROR(SUMIF('Pricing &amp; promotions'!$A$6:$A$8,L790,'Pricing &amp; promotions'!$B$6:$B$8)/100,0),2),J790)</f>
        <v>0.0</v>
      </c>
      <c r="I790" s="6">
        <f>ROUND((E790*G790-H790)/(1+'Settings'!$B$6/100),2)</f>
        <v>56.2</v>
      </c>
      <c r="J790" s="8">
        <v>0.0</v>
      </c>
      <c r="K790" s="3" t="inlineStr">
        <is>
          <t xml:space="preserve">TRUE</t>
        </is>
      </c>
      <c r="L790" s="3"/>
    </row>
    <row r="791">
      <c r="A791" s="3" t="inlineStr">
        <is>
          <t xml:space="preserve">#1585</t>
        </is>
      </c>
      <c r="B791" s="3" t="inlineStr">
        <is>
          <t xml:space="preserve">2026-06-26</t>
        </is>
      </c>
      <c r="C791" s="3" t="inlineStr">
        <is>
          <t xml:space="preserve">SKU-B</t>
        </is>
      </c>
      <c r="D791" s="3" t="inlineStr">
        <is>
          <t xml:space="preserve">Barrier Balm</t>
        </is>
      </c>
      <c r="E791" s="6">
        <f>IF('Settings'!$B$11="Scenario",IFERROR(INDEX('Catalogue'!$E$3:$E$100,MATCH(C791,'Catalogue'!$B$3:$B$100,0)),F791),F791)</f>
        <v>19</v>
      </c>
      <c r="F791" s="8">
        <v>19</v>
      </c>
      <c r="G791" s="3">
        <v>1</v>
      </c>
      <c r="H791" s="6">
        <f>IF('Settings'!$B$11="Scenario",ROUND(E791*G791*IFERROR(SUMIF('Pricing &amp; promotions'!$A$6:$A$8,L791,'Pricing &amp; promotions'!$B$6:$B$8)/100,0),2),J791)</f>
        <v>0.0</v>
      </c>
      <c r="I791" s="6">
        <f>ROUND((E791*G791-H791)/(1+'Settings'!$B$6/100),2)</f>
        <v>15.7</v>
      </c>
      <c r="J791" s="8">
        <v>0.0</v>
      </c>
      <c r="K791" s="3" t="inlineStr">
        <is>
          <t xml:space="preserve">TRUE</t>
        </is>
      </c>
      <c r="L791" s="3"/>
    </row>
    <row r="792">
      <c r="A792" s="3" t="inlineStr">
        <is>
          <t xml:space="preserve">#1585</t>
        </is>
      </c>
      <c r="B792" s="3" t="inlineStr">
        <is>
          <t xml:space="preserve">2026-06-26</t>
        </is>
      </c>
      <c r="C792" s="3" t="inlineStr">
        <is>
          <t xml:space="preserve">SKU-E</t>
        </is>
      </c>
      <c r="D792" s="3" t="inlineStr">
        <is>
          <t xml:space="preserve">Complete Ritual</t>
        </is>
      </c>
      <c r="E792" s="6">
        <f>IF('Settings'!$B$11="Scenario",IFERROR(INDEX('Catalogue'!$E$3:$E$100,MATCH(C792,'Catalogue'!$B$3:$B$100,0)),F792),F792)</f>
        <v>89</v>
      </c>
      <c r="F792" s="8">
        <v>89</v>
      </c>
      <c r="G792" s="3">
        <v>1</v>
      </c>
      <c r="H792" s="6">
        <f>IF('Settings'!$B$11="Scenario",ROUND(E792*G792*IFERROR(SUMIF('Pricing &amp; promotions'!$A$6:$A$8,L792,'Pricing &amp; promotions'!$B$6:$B$8)/100,0),2),J792)</f>
        <v>0.0</v>
      </c>
      <c r="I792" s="6">
        <f>ROUND((E792*G792-H792)/(1+'Settings'!$B$6/100),2)</f>
        <v>73.55</v>
      </c>
      <c r="J792" s="8">
        <v>0.0</v>
      </c>
      <c r="K792" s="3" t="inlineStr">
        <is>
          <t xml:space="preserve">TRUE</t>
        </is>
      </c>
      <c r="L792" s="3"/>
    </row>
    <row r="793">
      <c r="A793" s="3" t="inlineStr">
        <is>
          <t xml:space="preserve">#1585</t>
        </is>
      </c>
      <c r="B793" s="3" t="inlineStr">
        <is>
          <t xml:space="preserve">2026-06-26</t>
        </is>
      </c>
      <c r="C793" s="3" t="inlineStr">
        <is>
          <t xml:space="preserve">SKU-A</t>
        </is>
      </c>
      <c r="D793" s="3" t="inlineStr">
        <is>
          <t xml:space="preserve">Renewal Serum</t>
        </is>
      </c>
      <c r="E793" s="6">
        <f>IF('Settings'!$B$11="Scenario",IFERROR(INDEX('Catalogue'!$E$3:$E$100,MATCH(C793,'Catalogue'!$B$3:$B$100,0)),F793),F793)</f>
        <v>69.9</v>
      </c>
      <c r="F793" s="8">
        <v>69.9</v>
      </c>
      <c r="G793" s="3">
        <v>1</v>
      </c>
      <c r="H793" s="6">
        <f>IF('Settings'!$B$11="Scenario",ROUND(E793*G793*IFERROR(SUMIF('Pricing &amp; promotions'!$A$6:$A$8,L793,'Pricing &amp; promotions'!$B$6:$B$8)/100,0),2),J793)</f>
        <v>0.0</v>
      </c>
      <c r="I793" s="6">
        <f>ROUND((E793*G793-H793)/(1+'Settings'!$B$6/100),2)</f>
        <v>57.77</v>
      </c>
      <c r="J793" s="8">
        <v>0.0</v>
      </c>
      <c r="K793" s="3" t="inlineStr">
        <is>
          <t xml:space="preserve">TRUE</t>
        </is>
      </c>
      <c r="L793" s="3"/>
    </row>
    <row r="794">
      <c r="A794" s="3" t="inlineStr">
        <is>
          <t xml:space="preserve">#1586</t>
        </is>
      </c>
      <c r="B794" s="3" t="inlineStr">
        <is>
          <t xml:space="preserve">2026-06-26</t>
        </is>
      </c>
      <c r="C794" s="3" t="inlineStr">
        <is>
          <t xml:space="preserve">SKU-G</t>
        </is>
      </c>
      <c r="D794" s="3" t="inlineStr">
        <is>
          <t xml:space="preserve">Daily Reset Set</t>
        </is>
      </c>
      <c r="E794" s="6">
        <f>IF('Settings'!$B$11="Scenario",IFERROR(INDEX('Catalogue'!$E$3:$E$100,MATCH(C794,'Catalogue'!$B$3:$B$100,0)),F794),F794)</f>
        <v>69</v>
      </c>
      <c r="F794" s="8">
        <v>69</v>
      </c>
      <c r="G794" s="3">
        <v>2</v>
      </c>
      <c r="H794" s="6">
        <f>IF('Settings'!$B$11="Scenario",ROUND(E794*G794*IFERROR(SUMIF('Pricing &amp; promotions'!$A$6:$A$8,L794,'Pricing &amp; promotions'!$B$6:$B$8)/100,0),2),J794)</f>
        <v>0.0</v>
      </c>
      <c r="I794" s="6">
        <f>ROUND((E794*G794-H794)/(1+'Settings'!$B$6/100),2)</f>
        <v>114.05</v>
      </c>
      <c r="J794" s="8">
        <v>0.0</v>
      </c>
      <c r="K794" s="3" t="inlineStr">
        <is>
          <t xml:space="preserve">TRUE</t>
        </is>
      </c>
      <c r="L794" s="3"/>
    </row>
    <row r="795">
      <c r="A795" s="3" t="inlineStr">
        <is>
          <t xml:space="preserve">#1587</t>
        </is>
      </c>
      <c r="B795" s="3" t="inlineStr">
        <is>
          <t xml:space="preserve">2026-06-27</t>
        </is>
      </c>
      <c r="C795" s="3" t="inlineStr">
        <is>
          <t xml:space="preserve">SKU-E</t>
        </is>
      </c>
      <c r="D795" s="3" t="inlineStr">
        <is>
          <t xml:space="preserve">Complete Ritual</t>
        </is>
      </c>
      <c r="E795" s="6">
        <f>IF('Settings'!$B$11="Scenario",IFERROR(INDEX('Catalogue'!$E$3:$E$100,MATCH(C795,'Catalogue'!$B$3:$B$100,0)),F795),F795)</f>
        <v>89</v>
      </c>
      <c r="F795" s="8">
        <v>89</v>
      </c>
      <c r="G795" s="3">
        <v>1</v>
      </c>
      <c r="H795" s="6">
        <f>IF('Settings'!$B$11="Scenario",ROUND(E795*G795*IFERROR(SUMIF('Pricing &amp; promotions'!$A$6:$A$8,L795,'Pricing &amp; promotions'!$B$6:$B$8)/100,0),2),J795)</f>
        <v>0.0</v>
      </c>
      <c r="I795" s="6">
        <f>ROUND((E795*G795-H795)/(1+'Settings'!$B$6/100),2)</f>
        <v>73.55</v>
      </c>
      <c r="J795" s="8">
        <v>0.0</v>
      </c>
      <c r="K795" s="3" t="inlineStr">
        <is>
          <t xml:space="preserve">TRUE</t>
        </is>
      </c>
      <c r="L795" s="3"/>
    </row>
    <row r="796">
      <c r="A796" s="3" t="inlineStr">
        <is>
          <t xml:space="preserve">#1588</t>
        </is>
      </c>
      <c r="B796" s="3" t="inlineStr">
        <is>
          <t xml:space="preserve">2026-06-27</t>
        </is>
      </c>
      <c r="C796" s="3" t="inlineStr">
        <is>
          <t xml:space="preserve">SKU-A</t>
        </is>
      </c>
      <c r="D796" s="3" t="inlineStr">
        <is>
          <t xml:space="preserve">Renewal Serum</t>
        </is>
      </c>
      <c r="E796" s="6">
        <f>IF('Settings'!$B$11="Scenario",IFERROR(INDEX('Catalogue'!$E$3:$E$100,MATCH(C796,'Catalogue'!$B$3:$B$100,0)),F796),F796)</f>
        <v>69.9</v>
      </c>
      <c r="F796" s="8">
        <v>69.9</v>
      </c>
      <c r="G796" s="3">
        <v>1</v>
      </c>
      <c r="H796" s="6">
        <f>IF('Settings'!$B$11="Scenario",ROUND(E796*G796*IFERROR(SUMIF('Pricing &amp; promotions'!$A$6:$A$8,L796,'Pricing &amp; promotions'!$B$6:$B$8)/100,0),2),J796)</f>
        <v>0.0</v>
      </c>
      <c r="I796" s="6">
        <f>ROUND((E796*G796-H796)/(1+'Settings'!$B$6/100),2)</f>
        <v>57.77</v>
      </c>
      <c r="J796" s="8">
        <v>0.0</v>
      </c>
      <c r="K796" s="3" t="inlineStr">
        <is>
          <t xml:space="preserve">TRUE</t>
        </is>
      </c>
      <c r="L796" s="3"/>
    </row>
    <row r="797">
      <c r="A797" s="3" t="inlineStr">
        <is>
          <t xml:space="preserve">#1589</t>
        </is>
      </c>
      <c r="B797" s="3" t="inlineStr">
        <is>
          <t xml:space="preserve">2026-06-27</t>
        </is>
      </c>
      <c r="C797" s="3" t="inlineStr">
        <is>
          <t xml:space="preserve">SKU-A</t>
        </is>
      </c>
      <c r="D797" s="3" t="inlineStr">
        <is>
          <t xml:space="preserve">Renewal Serum</t>
        </is>
      </c>
      <c r="E797" s="6">
        <f>IF('Settings'!$B$11="Scenario",IFERROR(INDEX('Catalogue'!$E$3:$E$100,MATCH(C797,'Catalogue'!$B$3:$B$100,0)),F797),F797)</f>
        <v>69.9</v>
      </c>
      <c r="F797" s="8">
        <v>69.9</v>
      </c>
      <c r="G797" s="3">
        <v>1</v>
      </c>
      <c r="H797" s="6">
        <f>IF('Settings'!$B$11="Scenario",ROUND(E797*G797*IFERROR(SUMIF('Pricing &amp; promotions'!$A$6:$A$8,L797,'Pricing &amp; promotions'!$B$6:$B$8)/100,0),2),J797)</f>
        <v>0.0</v>
      </c>
      <c r="I797" s="6">
        <f>ROUND((E797*G797-H797)/(1+'Settings'!$B$6/100),2)</f>
        <v>57.77</v>
      </c>
      <c r="J797" s="8">
        <v>0.0</v>
      </c>
      <c r="K797" s="3" t="inlineStr">
        <is>
          <t xml:space="preserve">TRUE</t>
        </is>
      </c>
      <c r="L797" s="3"/>
    </row>
    <row r="798">
      <c r="A798" s="3" t="inlineStr">
        <is>
          <t xml:space="preserve">#1589</t>
        </is>
      </c>
      <c r="B798" s="3" t="inlineStr">
        <is>
          <t xml:space="preserve">2026-06-27</t>
        </is>
      </c>
      <c r="C798" s="3" t="inlineStr">
        <is>
          <t xml:space="preserve">SKU-D</t>
        </is>
      </c>
      <c r="D798" s="3" t="inlineStr">
        <is>
          <t xml:space="preserve">Daily Duo</t>
        </is>
      </c>
      <c r="E798" s="6">
        <f>IF('Settings'!$B$11="Scenario",IFERROR(INDEX('Catalogue'!$E$3:$E$100,MATCH(C798,'Catalogue'!$B$3:$B$100,0)),F798),F798)</f>
        <v>79</v>
      </c>
      <c r="F798" s="8">
        <v>79</v>
      </c>
      <c r="G798" s="3">
        <v>1</v>
      </c>
      <c r="H798" s="6">
        <f>IF('Settings'!$B$11="Scenario",ROUND(E798*G798*IFERROR(SUMIF('Pricing &amp; promotions'!$A$6:$A$8,L798,'Pricing &amp; promotions'!$B$6:$B$8)/100,0),2),J798)</f>
        <v>0.0</v>
      </c>
      <c r="I798" s="6">
        <f>ROUND((E798*G798-H798)/(1+'Settings'!$B$6/100),2)</f>
        <v>65.29</v>
      </c>
      <c r="J798" s="8">
        <v>0.0</v>
      </c>
      <c r="K798" s="3" t="inlineStr">
        <is>
          <t xml:space="preserve">TRUE</t>
        </is>
      </c>
      <c r="L798" s="3"/>
    </row>
    <row r="799">
      <c r="A799" s="3" t="inlineStr">
        <is>
          <t xml:space="preserve">#1590</t>
        </is>
      </c>
      <c r="B799" s="3" t="inlineStr">
        <is>
          <t xml:space="preserve">2026-06-28</t>
        </is>
      </c>
      <c r="C799" s="3" t="inlineStr">
        <is>
          <t xml:space="preserve">SKU-D</t>
        </is>
      </c>
      <c r="D799" s="3" t="inlineStr">
        <is>
          <t xml:space="preserve">Daily Duo</t>
        </is>
      </c>
      <c r="E799" s="6">
        <f>IF('Settings'!$B$11="Scenario",IFERROR(INDEX('Catalogue'!$E$3:$E$100,MATCH(C799,'Catalogue'!$B$3:$B$100,0)),F799),F799)</f>
        <v>79</v>
      </c>
      <c r="F799" s="8">
        <v>79</v>
      </c>
      <c r="G799" s="3">
        <v>1</v>
      </c>
      <c r="H799" s="6">
        <f>IF('Settings'!$B$11="Scenario",ROUND(E799*G799*IFERROR(SUMIF('Pricing &amp; promotions'!$A$6:$A$8,L799,'Pricing &amp; promotions'!$B$6:$B$8)/100,0),2),J799)</f>
        <v>7.9</v>
      </c>
      <c r="I799" s="6">
        <f>ROUND((E799*G799-H799)/(1+'Settings'!$B$6/100),2)</f>
        <v>58.76</v>
      </c>
      <c r="J799" s="8">
        <v>7.9</v>
      </c>
      <c r="K799" s="3" t="inlineStr">
        <is>
          <t xml:space="preserve">TRUE</t>
        </is>
      </c>
      <c r="L799" s="3" t="inlineStr">
        <is>
          <t xml:space="preserve">WELCOME10</t>
        </is>
      </c>
    </row>
    <row r="800">
      <c r="A800" s="3" t="inlineStr">
        <is>
          <t xml:space="preserve">#1591</t>
        </is>
      </c>
      <c r="B800" s="3" t="inlineStr">
        <is>
          <t xml:space="preserve">2026-06-28</t>
        </is>
      </c>
      <c r="C800" s="3" t="inlineStr">
        <is>
          <t xml:space="preserve">SKU-G</t>
        </is>
      </c>
      <c r="D800" s="3" t="inlineStr">
        <is>
          <t xml:space="preserve">Daily Reset Set</t>
        </is>
      </c>
      <c r="E800" s="6">
        <f>IF('Settings'!$B$11="Scenario",IFERROR(INDEX('Catalogue'!$E$3:$E$100,MATCH(C800,'Catalogue'!$B$3:$B$100,0)),F800),F800)</f>
        <v>69</v>
      </c>
      <c r="F800" s="8">
        <v>69</v>
      </c>
      <c r="G800" s="3">
        <v>1</v>
      </c>
      <c r="H800" s="6">
        <f>IF('Settings'!$B$11="Scenario",ROUND(E800*G800*IFERROR(SUMIF('Pricing &amp; promotions'!$A$6:$A$8,L800,'Pricing &amp; promotions'!$B$6:$B$8)/100,0),2),J800)</f>
        <v>0.0</v>
      </c>
      <c r="I800" s="6">
        <f>ROUND((E800*G800-H800)/(1+'Settings'!$B$6/100),2)</f>
        <v>57.02</v>
      </c>
      <c r="J800" s="8">
        <v>0.0</v>
      </c>
      <c r="K800" s="3" t="inlineStr">
        <is>
          <t xml:space="preserve">TRUE</t>
        </is>
      </c>
      <c r="L800" s="3"/>
    </row>
    <row r="801">
      <c r="A801" s="3" t="inlineStr">
        <is>
          <t xml:space="preserve">#1592</t>
        </is>
      </c>
      <c r="B801" s="3" t="inlineStr">
        <is>
          <t xml:space="preserve">2026-06-29</t>
        </is>
      </c>
      <c r="C801" s="3" t="inlineStr">
        <is>
          <t xml:space="preserve">SKU-G</t>
        </is>
      </c>
      <c r="D801" s="3" t="inlineStr">
        <is>
          <t xml:space="preserve">Daily Reset Set</t>
        </is>
      </c>
      <c r="E801" s="6">
        <f>IF('Settings'!$B$11="Scenario",IFERROR(INDEX('Catalogue'!$E$3:$E$100,MATCH(C801,'Catalogue'!$B$3:$B$100,0)),F801),F801)</f>
        <v>69</v>
      </c>
      <c r="F801" s="8">
        <v>69</v>
      </c>
      <c r="G801" s="3">
        <v>1</v>
      </c>
      <c r="H801" s="6">
        <f>IF('Settings'!$B$11="Scenario",ROUND(E801*G801*IFERROR(SUMIF('Pricing &amp; promotions'!$A$6:$A$8,L801,'Pricing &amp; promotions'!$B$6:$B$8)/100,0),2),J801)</f>
        <v>0.0</v>
      </c>
      <c r="I801" s="6">
        <f>ROUND((E801*G801-H801)/(1+'Settings'!$B$6/100),2)</f>
        <v>57.02</v>
      </c>
      <c r="J801" s="8">
        <v>0.0</v>
      </c>
      <c r="K801" s="3" t="inlineStr">
        <is>
          <t xml:space="preserve">TRUE</t>
        </is>
      </c>
      <c r="L801" s="3"/>
    </row>
    <row r="802">
      <c r="A802" s="3" t="inlineStr">
        <is>
          <t xml:space="preserve">#1593</t>
        </is>
      </c>
      <c r="B802" s="3" t="inlineStr">
        <is>
          <t xml:space="preserve">2026-06-29</t>
        </is>
      </c>
      <c r="C802" s="3" t="inlineStr">
        <is>
          <t xml:space="preserve">SKU-A</t>
        </is>
      </c>
      <c r="D802" s="3" t="inlineStr">
        <is>
          <t xml:space="preserve">Renewal Serum</t>
        </is>
      </c>
      <c r="E802" s="6">
        <f>IF('Settings'!$B$11="Scenario",IFERROR(INDEX('Catalogue'!$E$3:$E$100,MATCH(C802,'Catalogue'!$B$3:$B$100,0)),F802),F802)</f>
        <v>69.9</v>
      </c>
      <c r="F802" s="8">
        <v>69.9</v>
      </c>
      <c r="G802" s="3">
        <v>1</v>
      </c>
      <c r="H802" s="6">
        <f>IF('Settings'!$B$11="Scenario",ROUND(E802*G802*IFERROR(SUMIF('Pricing &amp; promotions'!$A$6:$A$8,L802,'Pricing &amp; promotions'!$B$6:$B$8)/100,0),2),J802)</f>
        <v>0.0</v>
      </c>
      <c r="I802" s="6">
        <f>ROUND((E802*G802-H802)/(1+'Settings'!$B$6/100),2)</f>
        <v>57.77</v>
      </c>
      <c r="J802" s="8">
        <v>0.0</v>
      </c>
      <c r="K802" s="3" t="inlineStr">
        <is>
          <t xml:space="preserve">TRUE</t>
        </is>
      </c>
      <c r="L802" s="3"/>
    </row>
    <row r="803">
      <c r="A803" s="3" t="inlineStr">
        <is>
          <t xml:space="preserve">#1594</t>
        </is>
      </c>
      <c r="B803" s="3" t="inlineStr">
        <is>
          <t xml:space="preserve">2026-06-29</t>
        </is>
      </c>
      <c r="C803" s="3" t="inlineStr">
        <is>
          <t xml:space="preserve">SKU-E</t>
        </is>
      </c>
      <c r="D803" s="3" t="inlineStr">
        <is>
          <t xml:space="preserve">Complete Ritual</t>
        </is>
      </c>
      <c r="E803" s="6">
        <f>IF('Settings'!$B$11="Scenario",IFERROR(INDEX('Catalogue'!$E$3:$E$100,MATCH(C803,'Catalogue'!$B$3:$B$100,0)),F803),F803)</f>
        <v>89</v>
      </c>
      <c r="F803" s="8">
        <v>89</v>
      </c>
      <c r="G803" s="3">
        <v>2</v>
      </c>
      <c r="H803" s="6">
        <f>IF('Settings'!$B$11="Scenario",ROUND(E803*G803*IFERROR(SUMIF('Pricing &amp; promotions'!$A$6:$A$8,L803,'Pricing &amp; promotions'!$B$6:$B$8)/100,0),2),J803)</f>
        <v>0.0</v>
      </c>
      <c r="I803" s="6">
        <f>ROUND((E803*G803-H803)/(1+'Settings'!$B$6/100),2)</f>
        <v>147.11</v>
      </c>
      <c r="J803" s="8">
        <v>0.0</v>
      </c>
      <c r="K803" s="3" t="inlineStr">
        <is>
          <t xml:space="preserve">TRUE</t>
        </is>
      </c>
      <c r="L803" s="3"/>
    </row>
    <row r="804">
      <c r="A804" s="3" t="inlineStr">
        <is>
          <t xml:space="preserve">#1594</t>
        </is>
      </c>
      <c r="B804" s="3" t="inlineStr">
        <is>
          <t xml:space="preserve">2026-06-29</t>
        </is>
      </c>
      <c r="C804" s="3" t="inlineStr">
        <is>
          <t xml:space="preserve">SKU-B</t>
        </is>
      </c>
      <c r="D804" s="3" t="inlineStr">
        <is>
          <t xml:space="preserve">Barrier Balm</t>
        </is>
      </c>
      <c r="E804" s="6">
        <f>IF('Settings'!$B$11="Scenario",IFERROR(INDEX('Catalogue'!$E$3:$E$100,MATCH(C804,'Catalogue'!$B$3:$B$100,0)),F804),F804)</f>
        <v>19</v>
      </c>
      <c r="F804" s="8">
        <v>19</v>
      </c>
      <c r="G804" s="3">
        <v>1</v>
      </c>
      <c r="H804" s="6">
        <f>IF('Settings'!$B$11="Scenario",ROUND(E804*G804*IFERROR(SUMIF('Pricing &amp; promotions'!$A$6:$A$8,L804,'Pricing &amp; promotions'!$B$6:$B$8)/100,0),2),J804)</f>
        <v>0.0</v>
      </c>
      <c r="I804" s="6">
        <f>ROUND((E804*G804-H804)/(1+'Settings'!$B$6/100),2)</f>
        <v>15.7</v>
      </c>
      <c r="J804" s="8">
        <v>0.0</v>
      </c>
      <c r="K804" s="3" t="inlineStr">
        <is>
          <t xml:space="preserve">TRUE</t>
        </is>
      </c>
      <c r="L804" s="3"/>
    </row>
    <row r="805">
      <c r="A805" s="3" t="inlineStr">
        <is>
          <t xml:space="preserve">#1594</t>
        </is>
      </c>
      <c r="B805" s="3" t="inlineStr">
        <is>
          <t xml:space="preserve">2026-06-29</t>
        </is>
      </c>
      <c r="C805" s="3" t="inlineStr">
        <is>
          <t xml:space="preserve">SKU-F</t>
        </is>
      </c>
      <c r="D805" s="3" t="inlineStr">
        <is>
          <t xml:space="preserve">Cloud Cleanser</t>
        </is>
      </c>
      <c r="E805" s="6">
        <f>IF('Settings'!$B$11="Scenario",IFERROR(INDEX('Catalogue'!$E$3:$E$100,MATCH(C805,'Catalogue'!$B$3:$B$100,0)),F805),F805)</f>
        <v>34</v>
      </c>
      <c r="F805" s="8">
        <v>34</v>
      </c>
      <c r="G805" s="3">
        <v>1</v>
      </c>
      <c r="H805" s="6">
        <f>IF('Settings'!$B$11="Scenario",ROUND(E805*G805*IFERROR(SUMIF('Pricing &amp; promotions'!$A$6:$A$8,L805,'Pricing &amp; promotions'!$B$6:$B$8)/100,0),2),J805)</f>
        <v>0.0</v>
      </c>
      <c r="I805" s="6">
        <f>ROUND((E805*G805-H805)/(1+'Settings'!$B$6/100),2)</f>
        <v>28.1</v>
      </c>
      <c r="J805" s="8">
        <v>0.0</v>
      </c>
      <c r="K805" s="3" t="inlineStr">
        <is>
          <t xml:space="preserve">TRUE</t>
        </is>
      </c>
      <c r="L805" s="3"/>
    </row>
    <row r="806">
      <c r="A806" s="3" t="inlineStr">
        <is>
          <t xml:space="preserve">#1595</t>
        </is>
      </c>
      <c r="B806" s="3" t="inlineStr">
        <is>
          <t xml:space="preserve">2026-06-29</t>
        </is>
      </c>
      <c r="C806" s="3" t="inlineStr">
        <is>
          <t xml:space="preserve">SKU-E</t>
        </is>
      </c>
      <c r="D806" s="3" t="inlineStr">
        <is>
          <t xml:space="preserve">Complete Ritual</t>
        </is>
      </c>
      <c r="E806" s="6">
        <f>IF('Settings'!$B$11="Scenario",IFERROR(INDEX('Catalogue'!$E$3:$E$100,MATCH(C806,'Catalogue'!$B$3:$B$100,0)),F806),F806)</f>
        <v>89</v>
      </c>
      <c r="F806" s="8">
        <v>89</v>
      </c>
      <c r="G806" s="3">
        <v>1</v>
      </c>
      <c r="H806" s="6">
        <f>IF('Settings'!$B$11="Scenario",ROUND(E806*G806*IFERROR(SUMIF('Pricing &amp; promotions'!$A$6:$A$8,L806,'Pricing &amp; promotions'!$B$6:$B$8)/100,0),2),J806)</f>
        <v>0.0</v>
      </c>
      <c r="I806" s="6">
        <f>ROUND((E806*G806-H806)/(1+'Settings'!$B$6/100),2)</f>
        <v>73.55</v>
      </c>
      <c r="J806" s="8">
        <v>0.0</v>
      </c>
      <c r="K806" s="3" t="inlineStr">
        <is>
          <t xml:space="preserve">TRUE</t>
        </is>
      </c>
      <c r="L806" s="3"/>
    </row>
    <row r="807">
      <c r="A807" s="3" t="inlineStr">
        <is>
          <t xml:space="preserve">#1596</t>
        </is>
      </c>
      <c r="B807" s="3" t="inlineStr">
        <is>
          <t xml:space="preserve">2026-06-30</t>
        </is>
      </c>
      <c r="C807" s="3" t="inlineStr">
        <is>
          <t xml:space="preserve">SKU-A</t>
        </is>
      </c>
      <c r="D807" s="3" t="inlineStr">
        <is>
          <t xml:space="preserve">Renewal Serum</t>
        </is>
      </c>
      <c r="E807" s="6">
        <f>IF('Settings'!$B$11="Scenario",IFERROR(INDEX('Catalogue'!$E$3:$E$100,MATCH(C807,'Catalogue'!$B$3:$B$100,0)),F807),F807)</f>
        <v>69.9</v>
      </c>
      <c r="F807" s="8">
        <v>69.9</v>
      </c>
      <c r="G807" s="3">
        <v>1</v>
      </c>
      <c r="H807" s="6">
        <f>IF('Settings'!$B$11="Scenario",ROUND(E807*G807*IFERROR(SUMIF('Pricing &amp; promotions'!$A$6:$A$8,L807,'Pricing &amp; promotions'!$B$6:$B$8)/100,0),2),J807)</f>
        <v>0.0</v>
      </c>
      <c r="I807" s="6">
        <f>ROUND((E807*G807-H807)/(1+'Settings'!$B$6/100),2)</f>
        <v>57.77</v>
      </c>
      <c r="J807" s="8">
        <v>0.0</v>
      </c>
      <c r="K807" s="3" t="inlineStr">
        <is>
          <t xml:space="preserve">TRUE</t>
        </is>
      </c>
      <c r="L807" s="3"/>
    </row>
    <row r="808">
      <c r="A808" s="3" t="inlineStr">
        <is>
          <t xml:space="preserve">#1597</t>
        </is>
      </c>
      <c r="B808" s="3" t="inlineStr">
        <is>
          <t xml:space="preserve">2026-06-30</t>
        </is>
      </c>
      <c r="C808" s="3" t="inlineStr">
        <is>
          <t xml:space="preserve">SKU-B</t>
        </is>
      </c>
      <c r="D808" s="3" t="inlineStr">
        <is>
          <t xml:space="preserve">Barrier Balm</t>
        </is>
      </c>
      <c r="E808" s="6">
        <f>IF('Settings'!$B$11="Scenario",IFERROR(INDEX('Catalogue'!$E$3:$E$100,MATCH(C808,'Catalogue'!$B$3:$B$100,0)),F808),F808)</f>
        <v>19</v>
      </c>
      <c r="F808" s="8">
        <v>19</v>
      </c>
      <c r="G808" s="3">
        <v>1</v>
      </c>
      <c r="H808" s="6">
        <f>IF('Settings'!$B$11="Scenario",ROUND(E808*G808*IFERROR(SUMIF('Pricing &amp; promotions'!$A$6:$A$8,L808,'Pricing &amp; promotions'!$B$6:$B$8)/100,0),2),J808)</f>
        <v>0.0</v>
      </c>
      <c r="I808" s="6">
        <f>ROUND((E808*G808-H808)/(1+'Settings'!$B$6/100),2)</f>
        <v>15.7</v>
      </c>
      <c r="J808" s="8">
        <v>0.0</v>
      </c>
      <c r="K808" s="3" t="inlineStr">
        <is>
          <t xml:space="preserve">TRUE</t>
        </is>
      </c>
      <c r="L808" s="3"/>
    </row>
    <row r="809">
      <c r="A809" s="3" t="inlineStr">
        <is>
          <t xml:space="preserve">#1597</t>
        </is>
      </c>
      <c r="B809" s="3" t="inlineStr">
        <is>
          <t xml:space="preserve">2026-06-30</t>
        </is>
      </c>
      <c r="C809" s="3" t="inlineStr">
        <is>
          <t xml:space="preserve">SKU-G</t>
        </is>
      </c>
      <c r="D809" s="3" t="inlineStr">
        <is>
          <t xml:space="preserve">Daily Reset Set</t>
        </is>
      </c>
      <c r="E809" s="6">
        <f>IF('Settings'!$B$11="Scenario",IFERROR(INDEX('Catalogue'!$E$3:$E$100,MATCH(C809,'Catalogue'!$B$3:$B$100,0)),F809),F809)</f>
        <v>69</v>
      </c>
      <c r="F809" s="8">
        <v>69</v>
      </c>
      <c r="G809" s="3">
        <v>2</v>
      </c>
      <c r="H809" s="6">
        <f>IF('Settings'!$B$11="Scenario",ROUND(E809*G809*IFERROR(SUMIF('Pricing &amp; promotions'!$A$6:$A$8,L809,'Pricing &amp; promotions'!$B$6:$B$8)/100,0),2),J809)</f>
        <v>0.0</v>
      </c>
      <c r="I809" s="6">
        <f>ROUND((E809*G809-H809)/(1+'Settings'!$B$6/100),2)</f>
        <v>114.05</v>
      </c>
      <c r="J809" s="8">
        <v>0.0</v>
      </c>
      <c r="K809" s="3" t="inlineStr">
        <is>
          <t xml:space="preserve">TRUE</t>
        </is>
      </c>
      <c r="L809" s="3"/>
    </row>
    <row r="810">
      <c r="A810" s="3" t="inlineStr">
        <is>
          <t xml:space="preserve">#1598</t>
        </is>
      </c>
      <c r="B810" s="3" t="inlineStr">
        <is>
          <t xml:space="preserve">2026-06-30</t>
        </is>
      </c>
      <c r="C810" s="3" t="inlineStr">
        <is>
          <t xml:space="preserve">SKU-A</t>
        </is>
      </c>
      <c r="D810" s="3" t="inlineStr">
        <is>
          <t xml:space="preserve">Renewal Serum</t>
        </is>
      </c>
      <c r="E810" s="6">
        <f>IF('Settings'!$B$11="Scenario",IFERROR(INDEX('Catalogue'!$E$3:$E$100,MATCH(C810,'Catalogue'!$B$3:$B$100,0)),F810),F810)</f>
        <v>69.9</v>
      </c>
      <c r="F810" s="8">
        <v>69.9</v>
      </c>
      <c r="G810" s="3">
        <v>2</v>
      </c>
      <c r="H810" s="6">
        <f>IF('Settings'!$B$11="Scenario",ROUND(E810*G810*IFERROR(SUMIF('Pricing &amp; promotions'!$A$6:$A$8,L810,'Pricing &amp; promotions'!$B$6:$B$8)/100,0),2),J810)</f>
        <v>13.98</v>
      </c>
      <c r="I810" s="6">
        <f>ROUND((E810*G810-H810)/(1+'Settings'!$B$6/100),2)</f>
        <v>103.98</v>
      </c>
      <c r="J810" s="8">
        <v>13.98</v>
      </c>
      <c r="K810" s="3" t="inlineStr">
        <is>
          <t xml:space="preserve">TRUE</t>
        </is>
      </c>
      <c r="L810" s="3" t="inlineStr">
        <is>
          <t xml:space="preserve">WELCOME10</t>
        </is>
      </c>
    </row>
    <row r="811">
      <c r="A811" s="3" t="inlineStr">
        <is>
          <t xml:space="preserve">#1599</t>
        </is>
      </c>
      <c r="B811" s="3" t="inlineStr">
        <is>
          <t xml:space="preserve">2026-07-01</t>
        </is>
      </c>
      <c r="C811" s="3" t="inlineStr">
        <is>
          <t xml:space="preserve">SKU-A</t>
        </is>
      </c>
      <c r="D811" s="3" t="inlineStr">
        <is>
          <t xml:space="preserve">Renewal Serum</t>
        </is>
      </c>
      <c r="E811" s="6">
        <f>IF('Settings'!$B$11="Scenario",IFERROR(INDEX('Catalogue'!$E$3:$E$100,MATCH(C811,'Catalogue'!$B$3:$B$100,0)),F811),F811)</f>
        <v>69.9</v>
      </c>
      <c r="F811" s="8">
        <v>69.9</v>
      </c>
      <c r="G811" s="3">
        <v>1</v>
      </c>
      <c r="H811" s="6">
        <f>IF('Settings'!$B$11="Scenario",ROUND(E811*G811*IFERROR(SUMIF('Pricing &amp; promotions'!$A$6:$A$8,L811,'Pricing &amp; promotions'!$B$6:$B$8)/100,0),2),J811)</f>
        <v>10.49</v>
      </c>
      <c r="I811" s="6">
        <f>ROUND((E811*G811-H811)/(1+'Settings'!$B$6/100),2)</f>
        <v>49.1</v>
      </c>
      <c r="J811" s="8">
        <v>10.49</v>
      </c>
      <c r="K811" s="3" t="inlineStr">
        <is>
          <t xml:space="preserve">TRUE</t>
        </is>
      </c>
      <c r="L811" s="3" t="inlineStr">
        <is>
          <t xml:space="preserve">SUMMER15</t>
        </is>
      </c>
    </row>
    <row r="812">
      <c r="A812" s="3" t="inlineStr">
        <is>
          <t xml:space="preserve">#1599</t>
        </is>
      </c>
      <c r="B812" s="3" t="inlineStr">
        <is>
          <t xml:space="preserve">2026-07-01</t>
        </is>
      </c>
      <c r="C812" s="3" t="inlineStr">
        <is>
          <t xml:space="preserve">SKU-D</t>
        </is>
      </c>
      <c r="D812" s="3" t="inlineStr">
        <is>
          <t xml:space="preserve">Daily Duo</t>
        </is>
      </c>
      <c r="E812" s="6">
        <f>IF('Settings'!$B$11="Scenario",IFERROR(INDEX('Catalogue'!$E$3:$E$100,MATCH(C812,'Catalogue'!$B$3:$B$100,0)),F812),F812)</f>
        <v>79</v>
      </c>
      <c r="F812" s="8">
        <v>79</v>
      </c>
      <c r="G812" s="3">
        <v>1</v>
      </c>
      <c r="H812" s="6">
        <f>IF('Settings'!$B$11="Scenario",ROUND(E812*G812*IFERROR(SUMIF('Pricing &amp; promotions'!$A$6:$A$8,L812,'Pricing &amp; promotions'!$B$6:$B$8)/100,0),2),J812)</f>
        <v>11.85</v>
      </c>
      <c r="I812" s="6">
        <f>ROUND((E812*G812-H812)/(1+'Settings'!$B$6/100),2)</f>
        <v>55.5</v>
      </c>
      <c r="J812" s="8">
        <v>11.85</v>
      </c>
      <c r="K812" s="3" t="inlineStr">
        <is>
          <t xml:space="preserve">TRUE</t>
        </is>
      </c>
      <c r="L812" s="3" t="inlineStr">
        <is>
          <t xml:space="preserve">SUMMER15</t>
        </is>
      </c>
    </row>
    <row r="813">
      <c r="A813" s="3" t="inlineStr">
        <is>
          <t xml:space="preserve">#1600</t>
        </is>
      </c>
      <c r="B813" s="3" t="inlineStr">
        <is>
          <t xml:space="preserve">2026-07-01</t>
        </is>
      </c>
      <c r="C813" s="3" t="inlineStr">
        <is>
          <t xml:space="preserve">SKU-F</t>
        </is>
      </c>
      <c r="D813" s="3" t="inlineStr">
        <is>
          <t xml:space="preserve">Cloud Cleanser</t>
        </is>
      </c>
      <c r="E813" s="6">
        <f>IF('Settings'!$B$11="Scenario",IFERROR(INDEX('Catalogue'!$E$3:$E$100,MATCH(C813,'Catalogue'!$B$3:$B$100,0)),F813),F813)</f>
        <v>34</v>
      </c>
      <c r="F813" s="8">
        <v>34</v>
      </c>
      <c r="G813" s="3">
        <v>1</v>
      </c>
      <c r="H813" s="6">
        <f>IF('Settings'!$B$11="Scenario",ROUND(E813*G813*IFERROR(SUMIF('Pricing &amp; promotions'!$A$6:$A$8,L813,'Pricing &amp; promotions'!$B$6:$B$8)/100,0),2),J813)</f>
        <v>3.4</v>
      </c>
      <c r="I813" s="6">
        <f>ROUND((E813*G813-H813)/(1+'Settings'!$B$6/100),2)</f>
        <v>25.29</v>
      </c>
      <c r="J813" s="8">
        <v>3.4</v>
      </c>
      <c r="K813" s="3" t="inlineStr">
        <is>
          <t xml:space="preserve">TRUE</t>
        </is>
      </c>
      <c r="L813" s="3" t="inlineStr">
        <is>
          <t xml:space="preserve">WELCOME10</t>
        </is>
      </c>
    </row>
    <row r="814">
      <c r="A814" s="3" t="inlineStr">
        <is>
          <t xml:space="preserve">#1601</t>
        </is>
      </c>
      <c r="B814" s="3" t="inlineStr">
        <is>
          <t xml:space="preserve">2026-07-02</t>
        </is>
      </c>
      <c r="C814" s="3" t="inlineStr">
        <is>
          <t xml:space="preserve">SKU-A</t>
        </is>
      </c>
      <c r="D814" s="3" t="inlineStr">
        <is>
          <t xml:space="preserve">Renewal Serum</t>
        </is>
      </c>
      <c r="E814" s="6">
        <f>IF('Settings'!$B$11="Scenario",IFERROR(INDEX('Catalogue'!$E$3:$E$100,MATCH(C814,'Catalogue'!$B$3:$B$100,0)),F814),F814)</f>
        <v>69.9</v>
      </c>
      <c r="F814" s="8">
        <v>69.9</v>
      </c>
      <c r="G814" s="3">
        <v>1</v>
      </c>
      <c r="H814" s="6">
        <f>IF('Settings'!$B$11="Scenario",ROUND(E814*G814*IFERROR(SUMIF('Pricing &amp; promotions'!$A$6:$A$8,L814,'Pricing &amp; promotions'!$B$6:$B$8)/100,0),2),J814)</f>
        <v>0.0</v>
      </c>
      <c r="I814" s="6">
        <f>ROUND((E814*G814-H814)/(1+'Settings'!$B$6/100),2)</f>
        <v>57.77</v>
      </c>
      <c r="J814" s="8">
        <v>0.0</v>
      </c>
      <c r="K814" s="3" t="inlineStr">
        <is>
          <t xml:space="preserve">TRUE</t>
        </is>
      </c>
      <c r="L814" s="3"/>
    </row>
    <row r="815">
      <c r="A815" s="3" t="inlineStr">
        <is>
          <t xml:space="preserve">#1602</t>
        </is>
      </c>
      <c r="B815" s="3" t="inlineStr">
        <is>
          <t xml:space="preserve">2026-07-02</t>
        </is>
      </c>
      <c r="C815" s="3" t="inlineStr">
        <is>
          <t xml:space="preserve">SKU-E</t>
        </is>
      </c>
      <c r="D815" s="3" t="inlineStr">
        <is>
          <t xml:space="preserve">Complete Ritual</t>
        </is>
      </c>
      <c r="E815" s="6">
        <f>IF('Settings'!$B$11="Scenario",IFERROR(INDEX('Catalogue'!$E$3:$E$100,MATCH(C815,'Catalogue'!$B$3:$B$100,0)),F815),F815)</f>
        <v>89</v>
      </c>
      <c r="F815" s="8">
        <v>89</v>
      </c>
      <c r="G815" s="3">
        <v>1</v>
      </c>
      <c r="H815" s="6">
        <f>IF('Settings'!$B$11="Scenario",ROUND(E815*G815*IFERROR(SUMIF('Pricing &amp; promotions'!$A$6:$A$8,L815,'Pricing &amp; promotions'!$B$6:$B$8)/100,0),2),J815)</f>
        <v>8.9</v>
      </c>
      <c r="I815" s="6">
        <f>ROUND((E815*G815-H815)/(1+'Settings'!$B$6/100),2)</f>
        <v>66.2</v>
      </c>
      <c r="J815" s="8">
        <v>8.9</v>
      </c>
      <c r="K815" s="3" t="inlineStr">
        <is>
          <t xml:space="preserve">TRUE</t>
        </is>
      </c>
      <c r="L815" s="3" t="inlineStr">
        <is>
          <t xml:space="preserve">WELCOME10</t>
        </is>
      </c>
    </row>
    <row r="816">
      <c r="A816" s="3" t="inlineStr">
        <is>
          <t xml:space="preserve">#1603</t>
        </is>
      </c>
      <c r="B816" s="3" t="inlineStr">
        <is>
          <t xml:space="preserve">2026-07-03</t>
        </is>
      </c>
      <c r="C816" s="3" t="inlineStr">
        <is>
          <t xml:space="preserve">SKU-G</t>
        </is>
      </c>
      <c r="D816" s="3" t="inlineStr">
        <is>
          <t xml:space="preserve">Daily Reset Set</t>
        </is>
      </c>
      <c r="E816" s="6">
        <f>IF('Settings'!$B$11="Scenario",IFERROR(INDEX('Catalogue'!$E$3:$E$100,MATCH(C816,'Catalogue'!$B$3:$B$100,0)),F816),F816)</f>
        <v>69</v>
      </c>
      <c r="F816" s="8">
        <v>69</v>
      </c>
      <c r="G816" s="3">
        <v>1</v>
      </c>
      <c r="H816" s="6">
        <f>IF('Settings'!$B$11="Scenario",ROUND(E816*G816*IFERROR(SUMIF('Pricing &amp; promotions'!$A$6:$A$8,L816,'Pricing &amp; promotions'!$B$6:$B$8)/100,0),2),J816)</f>
        <v>0.0</v>
      </c>
      <c r="I816" s="6">
        <f>ROUND((E816*G816-H816)/(1+'Settings'!$B$6/100),2)</f>
        <v>57.02</v>
      </c>
      <c r="J816" s="8">
        <v>0.0</v>
      </c>
      <c r="K816" s="3" t="inlineStr">
        <is>
          <t xml:space="preserve">TRUE</t>
        </is>
      </c>
      <c r="L816" s="3"/>
    </row>
    <row r="817">
      <c r="A817" s="3" t="inlineStr">
        <is>
          <t xml:space="preserve">#1603</t>
        </is>
      </c>
      <c r="B817" s="3" t="inlineStr">
        <is>
          <t xml:space="preserve">2026-07-03</t>
        </is>
      </c>
      <c r="C817" s="3" t="inlineStr">
        <is>
          <t xml:space="preserve">SKU-E</t>
        </is>
      </c>
      <c r="D817" s="3" t="inlineStr">
        <is>
          <t xml:space="preserve">Complete Ritual</t>
        </is>
      </c>
      <c r="E817" s="6">
        <f>IF('Settings'!$B$11="Scenario",IFERROR(INDEX('Catalogue'!$E$3:$E$100,MATCH(C817,'Catalogue'!$B$3:$B$100,0)),F817),F817)</f>
        <v>89</v>
      </c>
      <c r="F817" s="8">
        <v>89</v>
      </c>
      <c r="G817" s="3">
        <v>1</v>
      </c>
      <c r="H817" s="6">
        <f>IF('Settings'!$B$11="Scenario",ROUND(E817*G817*IFERROR(SUMIF('Pricing &amp; promotions'!$A$6:$A$8,L817,'Pricing &amp; promotions'!$B$6:$B$8)/100,0),2),J817)</f>
        <v>0.0</v>
      </c>
      <c r="I817" s="6">
        <f>ROUND((E817*G817-H817)/(1+'Settings'!$B$6/100),2)</f>
        <v>73.55</v>
      </c>
      <c r="J817" s="8">
        <v>0.0</v>
      </c>
      <c r="K817" s="3" t="inlineStr">
        <is>
          <t xml:space="preserve">TRUE</t>
        </is>
      </c>
      <c r="L817" s="3"/>
    </row>
    <row r="818">
      <c r="A818" s="3" t="inlineStr">
        <is>
          <t xml:space="preserve">#1604</t>
        </is>
      </c>
      <c r="B818" s="3" t="inlineStr">
        <is>
          <t xml:space="preserve">2026-07-04</t>
        </is>
      </c>
      <c r="C818" s="3" t="inlineStr">
        <is>
          <t xml:space="preserve">SKU-G</t>
        </is>
      </c>
      <c r="D818" s="3" t="inlineStr">
        <is>
          <t xml:space="preserve">Daily Reset Set</t>
        </is>
      </c>
      <c r="E818" s="6">
        <f>IF('Settings'!$B$11="Scenario",IFERROR(INDEX('Catalogue'!$E$3:$E$100,MATCH(C818,'Catalogue'!$B$3:$B$100,0)),F818),F818)</f>
        <v>69</v>
      </c>
      <c r="F818" s="8">
        <v>69</v>
      </c>
      <c r="G818" s="3">
        <v>2</v>
      </c>
      <c r="H818" s="6">
        <f>IF('Settings'!$B$11="Scenario",ROUND(E818*G818*IFERROR(SUMIF('Pricing &amp; promotions'!$A$6:$A$8,L818,'Pricing &amp; promotions'!$B$6:$B$8)/100,0),2),J818)</f>
        <v>0.0</v>
      </c>
      <c r="I818" s="6">
        <f>ROUND((E818*G818-H818)/(1+'Settings'!$B$6/100),2)</f>
        <v>114.05</v>
      </c>
      <c r="J818" s="8">
        <v>0.0</v>
      </c>
      <c r="K818" s="3" t="inlineStr">
        <is>
          <t xml:space="preserve">TRUE</t>
        </is>
      </c>
      <c r="L818" s="3"/>
    </row>
    <row r="819">
      <c r="A819" s="3" t="inlineStr">
        <is>
          <t xml:space="preserve">#1605</t>
        </is>
      </c>
      <c r="B819" s="3" t="inlineStr">
        <is>
          <t xml:space="preserve">2026-07-04</t>
        </is>
      </c>
      <c r="C819" s="3" t="inlineStr">
        <is>
          <t xml:space="preserve">SKU-E</t>
        </is>
      </c>
      <c r="D819" s="3" t="inlineStr">
        <is>
          <t xml:space="preserve">Complete Ritual</t>
        </is>
      </c>
      <c r="E819" s="6">
        <f>IF('Settings'!$B$11="Scenario",IFERROR(INDEX('Catalogue'!$E$3:$E$100,MATCH(C819,'Catalogue'!$B$3:$B$100,0)),F819),F819)</f>
        <v>89</v>
      </c>
      <c r="F819" s="8">
        <v>89</v>
      </c>
      <c r="G819" s="3">
        <v>1</v>
      </c>
      <c r="H819" s="6">
        <f>IF('Settings'!$B$11="Scenario",ROUND(E819*G819*IFERROR(SUMIF('Pricing &amp; promotions'!$A$6:$A$8,L819,'Pricing &amp; promotions'!$B$6:$B$8)/100,0),2),J819)</f>
        <v>0.0</v>
      </c>
      <c r="I819" s="6">
        <f>ROUND((E819*G819-H819)/(1+'Settings'!$B$6/100),2)</f>
        <v>73.55</v>
      </c>
      <c r="J819" s="8">
        <v>0.0</v>
      </c>
      <c r="K819" s="3" t="inlineStr">
        <is>
          <t xml:space="preserve">TRUE</t>
        </is>
      </c>
      <c r="L819" s="3"/>
    </row>
    <row r="820">
      <c r="A820" s="3" t="inlineStr">
        <is>
          <t xml:space="preserve">#1605</t>
        </is>
      </c>
      <c r="B820" s="3" t="inlineStr">
        <is>
          <t xml:space="preserve">2026-07-04</t>
        </is>
      </c>
      <c r="C820" s="3" t="inlineStr">
        <is>
          <t xml:space="preserve">SKU-A</t>
        </is>
      </c>
      <c r="D820" s="3" t="inlineStr">
        <is>
          <t xml:space="preserve">Renewal Serum</t>
        </is>
      </c>
      <c r="E820" s="6">
        <f>IF('Settings'!$B$11="Scenario",IFERROR(INDEX('Catalogue'!$E$3:$E$100,MATCH(C820,'Catalogue'!$B$3:$B$100,0)),F820),F820)</f>
        <v>69.9</v>
      </c>
      <c r="F820" s="8">
        <v>69.9</v>
      </c>
      <c r="G820" s="3">
        <v>1</v>
      </c>
      <c r="H820" s="6">
        <f>IF('Settings'!$B$11="Scenario",ROUND(E820*G820*IFERROR(SUMIF('Pricing &amp; promotions'!$A$6:$A$8,L820,'Pricing &amp; promotions'!$B$6:$B$8)/100,0),2),J820)</f>
        <v>0.0</v>
      </c>
      <c r="I820" s="6">
        <f>ROUND((E820*G820-H820)/(1+'Settings'!$B$6/100),2)</f>
        <v>57.77</v>
      </c>
      <c r="J820" s="8">
        <v>0.0</v>
      </c>
      <c r="K820" s="3" t="inlineStr">
        <is>
          <t xml:space="preserve">TRUE</t>
        </is>
      </c>
      <c r="L820" s="3"/>
    </row>
    <row r="821">
      <c r="A821" s="3" t="inlineStr">
        <is>
          <t xml:space="preserve">#1606</t>
        </is>
      </c>
      <c r="B821" s="3" t="inlineStr">
        <is>
          <t xml:space="preserve">2026-07-04</t>
        </is>
      </c>
      <c r="C821" s="3" t="inlineStr">
        <is>
          <t xml:space="preserve">SKU-A</t>
        </is>
      </c>
      <c r="D821" s="3" t="inlineStr">
        <is>
          <t xml:space="preserve">Renewal Serum</t>
        </is>
      </c>
      <c r="E821" s="6">
        <f>IF('Settings'!$B$11="Scenario",IFERROR(INDEX('Catalogue'!$E$3:$E$100,MATCH(C821,'Catalogue'!$B$3:$B$100,0)),F821),F821)</f>
        <v>69.9</v>
      </c>
      <c r="F821" s="8">
        <v>69.9</v>
      </c>
      <c r="G821" s="3">
        <v>1</v>
      </c>
      <c r="H821" s="6">
        <f>IF('Settings'!$B$11="Scenario",ROUND(E821*G821*IFERROR(SUMIF('Pricing &amp; promotions'!$A$6:$A$8,L821,'Pricing &amp; promotions'!$B$6:$B$8)/100,0),2),J821)</f>
        <v>6.99</v>
      </c>
      <c r="I821" s="6">
        <f>ROUND((E821*G821-H821)/(1+'Settings'!$B$6/100),2)</f>
        <v>51.99</v>
      </c>
      <c r="J821" s="8">
        <v>6.99</v>
      </c>
      <c r="K821" s="3" t="inlineStr">
        <is>
          <t xml:space="preserve">TRUE</t>
        </is>
      </c>
      <c r="L821" s="3" t="inlineStr">
        <is>
          <t xml:space="preserve">WELCOME10</t>
        </is>
      </c>
    </row>
    <row r="822">
      <c r="A822" s="3" t="inlineStr">
        <is>
          <t xml:space="preserve">#1606</t>
        </is>
      </c>
      <c r="B822" s="3" t="inlineStr">
        <is>
          <t xml:space="preserve">2026-07-04</t>
        </is>
      </c>
      <c r="C822" s="3" t="inlineStr">
        <is>
          <t xml:space="preserve">SKU-E</t>
        </is>
      </c>
      <c r="D822" s="3" t="inlineStr">
        <is>
          <t xml:space="preserve">Complete Ritual</t>
        </is>
      </c>
      <c r="E822" s="6">
        <f>IF('Settings'!$B$11="Scenario",IFERROR(INDEX('Catalogue'!$E$3:$E$100,MATCH(C822,'Catalogue'!$B$3:$B$100,0)),F822),F822)</f>
        <v>89</v>
      </c>
      <c r="F822" s="8">
        <v>89</v>
      </c>
      <c r="G822" s="3">
        <v>1</v>
      </c>
      <c r="H822" s="6">
        <f>IF('Settings'!$B$11="Scenario",ROUND(E822*G822*IFERROR(SUMIF('Pricing &amp; promotions'!$A$6:$A$8,L822,'Pricing &amp; promotions'!$B$6:$B$8)/100,0),2),J822)</f>
        <v>8.9</v>
      </c>
      <c r="I822" s="6">
        <f>ROUND((E822*G822-H822)/(1+'Settings'!$B$6/100),2)</f>
        <v>66.2</v>
      </c>
      <c r="J822" s="8">
        <v>8.9</v>
      </c>
      <c r="K822" s="3" t="inlineStr">
        <is>
          <t xml:space="preserve">TRUE</t>
        </is>
      </c>
      <c r="L822" s="3" t="inlineStr">
        <is>
          <t xml:space="preserve">WELCOME10</t>
        </is>
      </c>
    </row>
    <row r="823">
      <c r="A823" s="3" t="inlineStr">
        <is>
          <t xml:space="preserve">#1607</t>
        </is>
      </c>
      <c r="B823" s="3" t="inlineStr">
        <is>
          <t xml:space="preserve">2026-07-05</t>
        </is>
      </c>
      <c r="C823" s="3" t="inlineStr">
        <is>
          <t xml:space="preserve">SKU-B</t>
        </is>
      </c>
      <c r="D823" s="3" t="inlineStr">
        <is>
          <t xml:space="preserve">Barrier Balm</t>
        </is>
      </c>
      <c r="E823" s="6">
        <f>IF('Settings'!$B$11="Scenario",IFERROR(INDEX('Catalogue'!$E$3:$E$100,MATCH(C823,'Catalogue'!$B$3:$B$100,0)),F823),F823)</f>
        <v>19</v>
      </c>
      <c r="F823" s="8">
        <v>19</v>
      </c>
      <c r="G823" s="3">
        <v>1</v>
      </c>
      <c r="H823" s="6">
        <f>IF('Settings'!$B$11="Scenario",ROUND(E823*G823*IFERROR(SUMIF('Pricing &amp; promotions'!$A$6:$A$8,L823,'Pricing &amp; promotions'!$B$6:$B$8)/100,0),2),J823)</f>
        <v>0.0</v>
      </c>
      <c r="I823" s="6">
        <f>ROUND((E823*G823-H823)/(1+'Settings'!$B$6/100),2)</f>
        <v>15.7</v>
      </c>
      <c r="J823" s="8">
        <v>0.0</v>
      </c>
      <c r="K823" s="3" t="inlineStr">
        <is>
          <t xml:space="preserve">TRUE</t>
        </is>
      </c>
      <c r="L823" s="3"/>
    </row>
    <row r="824">
      <c r="A824" s="3" t="inlineStr">
        <is>
          <t xml:space="preserve">#1607</t>
        </is>
      </c>
      <c r="B824" s="3" t="inlineStr">
        <is>
          <t xml:space="preserve">2026-07-05</t>
        </is>
      </c>
      <c r="C824" s="3" t="inlineStr">
        <is>
          <t xml:space="preserve">SKU-C</t>
        </is>
      </c>
      <c r="D824" s="3" t="inlineStr">
        <is>
          <t xml:space="preserve">Contour Stone</t>
        </is>
      </c>
      <c r="E824" s="6">
        <f>IF('Settings'!$B$11="Scenario",IFERROR(INDEX('Catalogue'!$E$3:$E$100,MATCH(C824,'Catalogue'!$B$3:$B$100,0)),F824),F824)</f>
        <v>29</v>
      </c>
      <c r="F824" s="8">
        <v>29</v>
      </c>
      <c r="G824" s="3">
        <v>1</v>
      </c>
      <c r="H824" s="6">
        <f>IF('Settings'!$B$11="Scenario",ROUND(E824*G824*IFERROR(SUMIF('Pricing &amp; promotions'!$A$6:$A$8,L824,'Pricing &amp; promotions'!$B$6:$B$8)/100,0),2),J824)</f>
        <v>0.0</v>
      </c>
      <c r="I824" s="6">
        <f>ROUND((E824*G824-H824)/(1+'Settings'!$B$6/100),2)</f>
        <v>23.97</v>
      </c>
      <c r="J824" s="8">
        <v>0.0</v>
      </c>
      <c r="K824" s="3" t="inlineStr">
        <is>
          <t xml:space="preserve">TRUE</t>
        </is>
      </c>
      <c r="L824" s="3"/>
    </row>
    <row r="825">
      <c r="A825" s="3" t="inlineStr">
        <is>
          <t xml:space="preserve">#1607</t>
        </is>
      </c>
      <c r="B825" s="3" t="inlineStr">
        <is>
          <t xml:space="preserve">2026-07-05</t>
        </is>
      </c>
      <c r="C825" s="3" t="inlineStr">
        <is>
          <t xml:space="preserve">SKU-A</t>
        </is>
      </c>
      <c r="D825" s="3" t="inlineStr">
        <is>
          <t xml:space="preserve">Renewal Serum</t>
        </is>
      </c>
      <c r="E825" s="6">
        <f>IF('Settings'!$B$11="Scenario",IFERROR(INDEX('Catalogue'!$E$3:$E$100,MATCH(C825,'Catalogue'!$B$3:$B$100,0)),F825),F825)</f>
        <v>69.9</v>
      </c>
      <c r="F825" s="8">
        <v>69.9</v>
      </c>
      <c r="G825" s="3">
        <v>1</v>
      </c>
      <c r="H825" s="6">
        <f>IF('Settings'!$B$11="Scenario",ROUND(E825*G825*IFERROR(SUMIF('Pricing &amp; promotions'!$A$6:$A$8,L825,'Pricing &amp; promotions'!$B$6:$B$8)/100,0),2),J825)</f>
        <v>0.0</v>
      </c>
      <c r="I825" s="6">
        <f>ROUND((E825*G825-H825)/(1+'Settings'!$B$6/100),2)</f>
        <v>57.77</v>
      </c>
      <c r="J825" s="8">
        <v>0.0</v>
      </c>
      <c r="K825" s="3" t="inlineStr">
        <is>
          <t xml:space="preserve">TRUE</t>
        </is>
      </c>
      <c r="L825" s="3"/>
    </row>
    <row r="826">
      <c r="A826" s="3" t="inlineStr">
        <is>
          <t xml:space="preserve">#1608</t>
        </is>
      </c>
      <c r="B826" s="3" t="inlineStr">
        <is>
          <t xml:space="preserve">2026-07-06</t>
        </is>
      </c>
      <c r="C826" s="3" t="inlineStr">
        <is>
          <t xml:space="preserve">SKU-C</t>
        </is>
      </c>
      <c r="D826" s="3" t="inlineStr">
        <is>
          <t xml:space="preserve">Contour Stone</t>
        </is>
      </c>
      <c r="E826" s="6">
        <f>IF('Settings'!$B$11="Scenario",IFERROR(INDEX('Catalogue'!$E$3:$E$100,MATCH(C826,'Catalogue'!$B$3:$B$100,0)),F826),F826)</f>
        <v>29</v>
      </c>
      <c r="F826" s="8">
        <v>29</v>
      </c>
      <c r="G826" s="3">
        <v>1</v>
      </c>
      <c r="H826" s="6">
        <f>IF('Settings'!$B$11="Scenario",ROUND(E826*G826*IFERROR(SUMIF('Pricing &amp; promotions'!$A$6:$A$8,L826,'Pricing &amp; promotions'!$B$6:$B$8)/100,0),2),J826)</f>
        <v>4.35</v>
      </c>
      <c r="I826" s="6">
        <f>ROUND((E826*G826-H826)/(1+'Settings'!$B$6/100),2)</f>
        <v>20.37</v>
      </c>
      <c r="J826" s="8">
        <v>4.35</v>
      </c>
      <c r="K826" s="3" t="inlineStr">
        <is>
          <t xml:space="preserve">TRUE</t>
        </is>
      </c>
      <c r="L826" s="3" t="inlineStr">
        <is>
          <t xml:space="preserve">SUMMER15</t>
        </is>
      </c>
    </row>
    <row r="827">
      <c r="A827" s="3" t="inlineStr">
        <is>
          <t xml:space="preserve">#1609</t>
        </is>
      </c>
      <c r="B827" s="3" t="inlineStr">
        <is>
          <t xml:space="preserve">2026-07-06</t>
        </is>
      </c>
      <c r="C827" s="3" t="inlineStr">
        <is>
          <t xml:space="preserve">SKU-G</t>
        </is>
      </c>
      <c r="D827" s="3" t="inlineStr">
        <is>
          <t xml:space="preserve">Daily Reset Set</t>
        </is>
      </c>
      <c r="E827" s="6">
        <f>IF('Settings'!$B$11="Scenario",IFERROR(INDEX('Catalogue'!$E$3:$E$100,MATCH(C827,'Catalogue'!$B$3:$B$100,0)),F827),F827)</f>
        <v>69</v>
      </c>
      <c r="F827" s="8">
        <v>69</v>
      </c>
      <c r="G827" s="3">
        <v>1</v>
      </c>
      <c r="H827" s="6">
        <f>IF('Settings'!$B$11="Scenario",ROUND(E827*G827*IFERROR(SUMIF('Pricing &amp; promotions'!$A$6:$A$8,L827,'Pricing &amp; promotions'!$B$6:$B$8)/100,0),2),J827)</f>
        <v>13.8</v>
      </c>
      <c r="I827" s="6">
        <f>ROUND((E827*G827-H827)/(1+'Settings'!$B$6/100),2)</f>
        <v>45.62</v>
      </c>
      <c r="J827" s="8">
        <v>13.8</v>
      </c>
      <c r="K827" s="3" t="inlineStr">
        <is>
          <t xml:space="preserve">TRUE</t>
        </is>
      </c>
      <c r="L827" s="3" t="inlineStr">
        <is>
          <t xml:space="preserve">VIP20</t>
        </is>
      </c>
    </row>
    <row r="828">
      <c r="A828" s="3" t="inlineStr">
        <is>
          <t xml:space="preserve">#1610</t>
        </is>
      </c>
      <c r="B828" s="3" t="inlineStr">
        <is>
          <t xml:space="preserve">2026-07-06</t>
        </is>
      </c>
      <c r="C828" s="3" t="inlineStr">
        <is>
          <t xml:space="preserve">SKU-D</t>
        </is>
      </c>
      <c r="D828" s="3" t="inlineStr">
        <is>
          <t xml:space="preserve">Daily Duo</t>
        </is>
      </c>
      <c r="E828" s="6">
        <f>IF('Settings'!$B$11="Scenario",IFERROR(INDEX('Catalogue'!$E$3:$E$100,MATCH(C828,'Catalogue'!$B$3:$B$100,0)),F828),F828)</f>
        <v>79</v>
      </c>
      <c r="F828" s="8">
        <v>79</v>
      </c>
      <c r="G828" s="3">
        <v>1</v>
      </c>
      <c r="H828" s="6">
        <f>IF('Settings'!$B$11="Scenario",ROUND(E828*G828*IFERROR(SUMIF('Pricing &amp; promotions'!$A$6:$A$8,L828,'Pricing &amp; promotions'!$B$6:$B$8)/100,0),2),J828)</f>
        <v>11.85</v>
      </c>
      <c r="I828" s="6">
        <f>ROUND((E828*G828-H828)/(1+'Settings'!$B$6/100),2)</f>
        <v>55.5</v>
      </c>
      <c r="J828" s="8">
        <v>11.85</v>
      </c>
      <c r="K828" s="3" t="inlineStr">
        <is>
          <t xml:space="preserve">TRUE</t>
        </is>
      </c>
      <c r="L828" s="3" t="inlineStr">
        <is>
          <t xml:space="preserve">SUMMER15</t>
        </is>
      </c>
    </row>
    <row r="829">
      <c r="A829" s="3" t="inlineStr">
        <is>
          <t xml:space="preserve">#1611</t>
        </is>
      </c>
      <c r="B829" s="3" t="inlineStr">
        <is>
          <t xml:space="preserve">2026-07-08</t>
        </is>
      </c>
      <c r="C829" s="3" t="inlineStr">
        <is>
          <t xml:space="preserve">SKU-A</t>
        </is>
      </c>
      <c r="D829" s="3" t="inlineStr">
        <is>
          <t xml:space="preserve">Renewal Serum</t>
        </is>
      </c>
      <c r="E829" s="6">
        <f>IF('Settings'!$B$11="Scenario",IFERROR(INDEX('Catalogue'!$E$3:$E$100,MATCH(C829,'Catalogue'!$B$3:$B$100,0)),F829),F829)</f>
        <v>69.9</v>
      </c>
      <c r="F829" s="8">
        <v>69.9</v>
      </c>
      <c r="G829" s="3">
        <v>1</v>
      </c>
      <c r="H829" s="6">
        <f>IF('Settings'!$B$11="Scenario",ROUND(E829*G829*IFERROR(SUMIF('Pricing &amp; promotions'!$A$6:$A$8,L829,'Pricing &amp; promotions'!$B$6:$B$8)/100,0),2),J829)</f>
        <v>0.0</v>
      </c>
      <c r="I829" s="6">
        <f>ROUND((E829*G829-H829)/(1+'Settings'!$B$6/100),2)</f>
        <v>57.77</v>
      </c>
      <c r="J829" s="8">
        <v>0.0</v>
      </c>
      <c r="K829" s="3" t="inlineStr">
        <is>
          <t xml:space="preserve">TRUE</t>
        </is>
      </c>
      <c r="L829" s="3"/>
    </row>
    <row r="830">
      <c r="A830" s="3" t="inlineStr">
        <is>
          <t xml:space="preserve">#1612</t>
        </is>
      </c>
      <c r="B830" s="3" t="inlineStr">
        <is>
          <t xml:space="preserve">2026-07-08</t>
        </is>
      </c>
      <c r="C830" s="3" t="inlineStr">
        <is>
          <t xml:space="preserve">SKU-G</t>
        </is>
      </c>
      <c r="D830" s="3" t="inlineStr">
        <is>
          <t xml:space="preserve">Daily Reset Set</t>
        </is>
      </c>
      <c r="E830" s="6">
        <f>IF('Settings'!$B$11="Scenario",IFERROR(INDEX('Catalogue'!$E$3:$E$100,MATCH(C830,'Catalogue'!$B$3:$B$100,0)),F830),F830)</f>
        <v>69</v>
      </c>
      <c r="F830" s="8">
        <v>69</v>
      </c>
      <c r="G830" s="3">
        <v>1</v>
      </c>
      <c r="H830" s="6">
        <f>IF('Settings'!$B$11="Scenario",ROUND(E830*G830*IFERROR(SUMIF('Pricing &amp; promotions'!$A$6:$A$8,L830,'Pricing &amp; promotions'!$B$6:$B$8)/100,0),2),J830)</f>
        <v>0.0</v>
      </c>
      <c r="I830" s="6">
        <f>ROUND((E830*G830-H830)/(1+'Settings'!$B$6/100),2)</f>
        <v>57.02</v>
      </c>
      <c r="J830" s="8">
        <v>0.0</v>
      </c>
      <c r="K830" s="3" t="inlineStr">
        <is>
          <t xml:space="preserve">TRUE</t>
        </is>
      </c>
      <c r="L830" s="3"/>
    </row>
    <row r="831">
      <c r="A831" s="3" t="inlineStr">
        <is>
          <t xml:space="preserve">#1613</t>
        </is>
      </c>
      <c r="B831" s="3" t="inlineStr">
        <is>
          <t xml:space="preserve">2026-07-09</t>
        </is>
      </c>
      <c r="C831" s="3" t="inlineStr">
        <is>
          <t xml:space="preserve">SKU-B</t>
        </is>
      </c>
      <c r="D831" s="3" t="inlineStr">
        <is>
          <t xml:space="preserve">Barrier Balm</t>
        </is>
      </c>
      <c r="E831" s="6">
        <f>IF('Settings'!$B$11="Scenario",IFERROR(INDEX('Catalogue'!$E$3:$E$100,MATCH(C831,'Catalogue'!$B$3:$B$100,0)),F831),F831)</f>
        <v>19</v>
      </c>
      <c r="F831" s="8">
        <v>19</v>
      </c>
      <c r="G831" s="3">
        <v>1</v>
      </c>
      <c r="H831" s="6">
        <f>IF('Settings'!$B$11="Scenario",ROUND(E831*G831*IFERROR(SUMIF('Pricing &amp; promotions'!$A$6:$A$8,L831,'Pricing &amp; promotions'!$B$6:$B$8)/100,0),2),J831)</f>
        <v>2.85</v>
      </c>
      <c r="I831" s="6">
        <f>ROUND((E831*G831-H831)/(1+'Settings'!$B$6/100),2)</f>
        <v>13.35</v>
      </c>
      <c r="J831" s="8">
        <v>2.85</v>
      </c>
      <c r="K831" s="3" t="inlineStr">
        <is>
          <t xml:space="preserve">TRUE</t>
        </is>
      </c>
      <c r="L831" s="3" t="inlineStr">
        <is>
          <t xml:space="preserve">SUMMER15</t>
        </is>
      </c>
    </row>
    <row r="832">
      <c r="A832" s="3" t="inlineStr">
        <is>
          <t xml:space="preserve">#1614</t>
        </is>
      </c>
      <c r="B832" s="3" t="inlineStr">
        <is>
          <t xml:space="preserve">2026-07-10</t>
        </is>
      </c>
      <c r="C832" s="3" t="inlineStr">
        <is>
          <t xml:space="preserve">SKU-A</t>
        </is>
      </c>
      <c r="D832" s="3" t="inlineStr">
        <is>
          <t xml:space="preserve">Renewal Serum</t>
        </is>
      </c>
      <c r="E832" s="6">
        <f>IF('Settings'!$B$11="Scenario",IFERROR(INDEX('Catalogue'!$E$3:$E$100,MATCH(C832,'Catalogue'!$B$3:$B$100,0)),F832),F832)</f>
        <v>69.9</v>
      </c>
      <c r="F832" s="8">
        <v>69.9</v>
      </c>
      <c r="G832" s="3">
        <v>1</v>
      </c>
      <c r="H832" s="6">
        <f>IF('Settings'!$B$11="Scenario",ROUND(E832*G832*IFERROR(SUMIF('Pricing &amp; promotions'!$A$6:$A$8,L832,'Pricing &amp; promotions'!$B$6:$B$8)/100,0),2),J832)</f>
        <v>0.0</v>
      </c>
      <c r="I832" s="6">
        <f>ROUND((E832*G832-H832)/(1+'Settings'!$B$6/100),2)</f>
        <v>57.77</v>
      </c>
      <c r="J832" s="8">
        <v>0.0</v>
      </c>
      <c r="K832" s="3" t="inlineStr">
        <is>
          <t xml:space="preserve">TRUE</t>
        </is>
      </c>
      <c r="L832" s="3"/>
    </row>
    <row r="833">
      <c r="A833" s="3" t="inlineStr">
        <is>
          <t xml:space="preserve">#1615</t>
        </is>
      </c>
      <c r="B833" s="3" t="inlineStr">
        <is>
          <t xml:space="preserve">2026-07-10</t>
        </is>
      </c>
      <c r="C833" s="3" t="inlineStr">
        <is>
          <t xml:space="preserve">SKU-A</t>
        </is>
      </c>
      <c r="D833" s="3" t="inlineStr">
        <is>
          <t xml:space="preserve">Renewal Serum</t>
        </is>
      </c>
      <c r="E833" s="6">
        <f>IF('Settings'!$B$11="Scenario",IFERROR(INDEX('Catalogue'!$E$3:$E$100,MATCH(C833,'Catalogue'!$B$3:$B$100,0)),F833),F833)</f>
        <v>69.9</v>
      </c>
      <c r="F833" s="8">
        <v>69.9</v>
      </c>
      <c r="G833" s="3">
        <v>2</v>
      </c>
      <c r="H833" s="6">
        <f>IF('Settings'!$B$11="Scenario",ROUND(E833*G833*IFERROR(SUMIF('Pricing &amp; promotions'!$A$6:$A$8,L833,'Pricing &amp; promotions'!$B$6:$B$8)/100,0),2),J833)</f>
        <v>0.0</v>
      </c>
      <c r="I833" s="6">
        <f>ROUND((E833*G833-H833)/(1+'Settings'!$B$6/100),2)</f>
        <v>115.54</v>
      </c>
      <c r="J833" s="8">
        <v>0.0</v>
      </c>
      <c r="K833" s="3" t="inlineStr">
        <is>
          <t xml:space="preserve">TRUE</t>
        </is>
      </c>
      <c r="L833" s="3"/>
    </row>
    <row r="834">
      <c r="A834" s="3" t="inlineStr">
        <is>
          <t xml:space="preserve">#1615</t>
        </is>
      </c>
      <c r="B834" s="3" t="inlineStr">
        <is>
          <t xml:space="preserve">2026-07-10</t>
        </is>
      </c>
      <c r="C834" s="3" t="inlineStr">
        <is>
          <t xml:space="preserve">SKU-E</t>
        </is>
      </c>
      <c r="D834" s="3" t="inlineStr">
        <is>
          <t xml:space="preserve">Complete Ritual</t>
        </is>
      </c>
      <c r="E834" s="6">
        <f>IF('Settings'!$B$11="Scenario",IFERROR(INDEX('Catalogue'!$E$3:$E$100,MATCH(C834,'Catalogue'!$B$3:$B$100,0)),F834),F834)</f>
        <v>89</v>
      </c>
      <c r="F834" s="8">
        <v>89</v>
      </c>
      <c r="G834" s="3">
        <v>1</v>
      </c>
      <c r="H834" s="6">
        <f>IF('Settings'!$B$11="Scenario",ROUND(E834*G834*IFERROR(SUMIF('Pricing &amp; promotions'!$A$6:$A$8,L834,'Pricing &amp; promotions'!$B$6:$B$8)/100,0),2),J834)</f>
        <v>0.0</v>
      </c>
      <c r="I834" s="6">
        <f>ROUND((E834*G834-H834)/(1+'Settings'!$B$6/100),2)</f>
        <v>73.55</v>
      </c>
      <c r="J834" s="8">
        <v>0.0</v>
      </c>
      <c r="K834" s="3" t="inlineStr">
        <is>
          <t xml:space="preserve">TRUE</t>
        </is>
      </c>
      <c r="L834" s="3"/>
    </row>
    <row r="835">
      <c r="A835" s="3" t="inlineStr">
        <is>
          <t xml:space="preserve">#1616</t>
        </is>
      </c>
      <c r="B835" s="3" t="inlineStr">
        <is>
          <t xml:space="preserve">2026-07-11</t>
        </is>
      </c>
      <c r="C835" s="3" t="inlineStr">
        <is>
          <t xml:space="preserve">SKU-A</t>
        </is>
      </c>
      <c r="D835" s="3" t="inlineStr">
        <is>
          <t xml:space="preserve">Renewal Serum</t>
        </is>
      </c>
      <c r="E835" s="6">
        <f>IF('Settings'!$B$11="Scenario",IFERROR(INDEX('Catalogue'!$E$3:$E$100,MATCH(C835,'Catalogue'!$B$3:$B$100,0)),F835),F835)</f>
        <v>69.9</v>
      </c>
      <c r="F835" s="8">
        <v>69.9</v>
      </c>
      <c r="G835" s="3">
        <v>1</v>
      </c>
      <c r="H835" s="6">
        <f>IF('Settings'!$B$11="Scenario",ROUND(E835*G835*IFERROR(SUMIF('Pricing &amp; promotions'!$A$6:$A$8,L835,'Pricing &amp; promotions'!$B$6:$B$8)/100,0),2),J835)</f>
        <v>0.0</v>
      </c>
      <c r="I835" s="6">
        <f>ROUND((E835*G835-H835)/(1+'Settings'!$B$6/100),2)</f>
        <v>57.77</v>
      </c>
      <c r="J835" s="8">
        <v>0.0</v>
      </c>
      <c r="K835" s="3" t="inlineStr">
        <is>
          <t xml:space="preserve">TRUE</t>
        </is>
      </c>
      <c r="L835" s="3"/>
    </row>
    <row r="836">
      <c r="A836" s="3" t="inlineStr">
        <is>
          <t xml:space="preserve">#1617</t>
        </is>
      </c>
      <c r="B836" s="3" t="inlineStr">
        <is>
          <t xml:space="preserve">2026-07-11</t>
        </is>
      </c>
      <c r="C836" s="3" t="inlineStr">
        <is>
          <t xml:space="preserve">SKU-F</t>
        </is>
      </c>
      <c r="D836" s="3" t="inlineStr">
        <is>
          <t xml:space="preserve">Cloud Cleanser</t>
        </is>
      </c>
      <c r="E836" s="6">
        <f>IF('Settings'!$B$11="Scenario",IFERROR(INDEX('Catalogue'!$E$3:$E$100,MATCH(C836,'Catalogue'!$B$3:$B$100,0)),F836),F836)</f>
        <v>34</v>
      </c>
      <c r="F836" s="8">
        <v>34</v>
      </c>
      <c r="G836" s="3">
        <v>1</v>
      </c>
      <c r="H836" s="6">
        <f>IF('Settings'!$B$11="Scenario",ROUND(E836*G836*IFERROR(SUMIF('Pricing &amp; promotions'!$A$6:$A$8,L836,'Pricing &amp; promotions'!$B$6:$B$8)/100,0),2),J836)</f>
        <v>5.1</v>
      </c>
      <c r="I836" s="6">
        <f>ROUND((E836*G836-H836)/(1+'Settings'!$B$6/100),2)</f>
        <v>23.88</v>
      </c>
      <c r="J836" s="8">
        <v>5.1</v>
      </c>
      <c r="K836" s="3" t="inlineStr">
        <is>
          <t xml:space="preserve">TRUE</t>
        </is>
      </c>
      <c r="L836" s="3" t="inlineStr">
        <is>
          <t xml:space="preserve">SUMMER15</t>
        </is>
      </c>
    </row>
    <row r="837">
      <c r="A837" s="3" t="inlineStr">
        <is>
          <t xml:space="preserve">#1618</t>
        </is>
      </c>
      <c r="B837" s="3" t="inlineStr">
        <is>
          <t xml:space="preserve">2026-07-12</t>
        </is>
      </c>
      <c r="C837" s="3" t="inlineStr">
        <is>
          <t xml:space="preserve">SKU-A</t>
        </is>
      </c>
      <c r="D837" s="3" t="inlineStr">
        <is>
          <t xml:space="preserve">Renewal Serum</t>
        </is>
      </c>
      <c r="E837" s="6">
        <f>IF('Settings'!$B$11="Scenario",IFERROR(INDEX('Catalogue'!$E$3:$E$100,MATCH(C837,'Catalogue'!$B$3:$B$100,0)),F837),F837)</f>
        <v>69.9</v>
      </c>
      <c r="F837" s="8">
        <v>69.9</v>
      </c>
      <c r="G837" s="3">
        <v>2</v>
      </c>
      <c r="H837" s="6">
        <f>IF('Settings'!$B$11="Scenario",ROUND(E837*G837*IFERROR(SUMIF('Pricing &amp; promotions'!$A$6:$A$8,L837,'Pricing &amp; promotions'!$B$6:$B$8)/100,0),2),J837)</f>
        <v>0.0</v>
      </c>
      <c r="I837" s="6">
        <f>ROUND((E837*G837-H837)/(1+'Settings'!$B$6/100),2)</f>
        <v>115.54</v>
      </c>
      <c r="J837" s="8">
        <v>0.0</v>
      </c>
      <c r="K837" s="3" t="inlineStr">
        <is>
          <t xml:space="preserve">TRUE</t>
        </is>
      </c>
      <c r="L837" s="3"/>
    </row>
    <row r="838">
      <c r="A838" s="3" t="inlineStr">
        <is>
          <t xml:space="preserve">#1619</t>
        </is>
      </c>
      <c r="B838" s="3" t="inlineStr">
        <is>
          <t xml:space="preserve">2026-07-12</t>
        </is>
      </c>
      <c r="C838" s="3" t="inlineStr">
        <is>
          <t xml:space="preserve">SKU-G</t>
        </is>
      </c>
      <c r="D838" s="3" t="inlineStr">
        <is>
          <t xml:space="preserve">Daily Reset Set</t>
        </is>
      </c>
      <c r="E838" s="6">
        <f>IF('Settings'!$B$11="Scenario",IFERROR(INDEX('Catalogue'!$E$3:$E$100,MATCH(C838,'Catalogue'!$B$3:$B$100,0)),F838),F838)</f>
        <v>69</v>
      </c>
      <c r="F838" s="8">
        <v>69</v>
      </c>
      <c r="G838" s="3">
        <v>1</v>
      </c>
      <c r="H838" s="6">
        <f>IF('Settings'!$B$11="Scenario",ROUND(E838*G838*IFERROR(SUMIF('Pricing &amp; promotions'!$A$6:$A$8,L838,'Pricing &amp; promotions'!$B$6:$B$8)/100,0),2),J838)</f>
        <v>10.35</v>
      </c>
      <c r="I838" s="6">
        <f>ROUND((E838*G838-H838)/(1+'Settings'!$B$6/100),2)</f>
        <v>48.47</v>
      </c>
      <c r="J838" s="8">
        <v>10.35</v>
      </c>
      <c r="K838" s="3" t="inlineStr">
        <is>
          <t xml:space="preserve">TRUE</t>
        </is>
      </c>
      <c r="L838" s="3" t="inlineStr">
        <is>
          <t xml:space="preserve">SUMMER15</t>
        </is>
      </c>
    </row>
    <row r="839">
      <c r="A839" s="3" t="inlineStr">
        <is>
          <t xml:space="preserve">#1620</t>
        </is>
      </c>
      <c r="B839" s="3" t="inlineStr">
        <is>
          <t xml:space="preserve">2026-07-12</t>
        </is>
      </c>
      <c r="C839" s="3" t="inlineStr">
        <is>
          <t xml:space="preserve">SKU-A</t>
        </is>
      </c>
      <c r="D839" s="3" t="inlineStr">
        <is>
          <t xml:space="preserve">Renewal Serum</t>
        </is>
      </c>
      <c r="E839" s="6">
        <f>IF('Settings'!$B$11="Scenario",IFERROR(INDEX('Catalogue'!$E$3:$E$100,MATCH(C839,'Catalogue'!$B$3:$B$100,0)),F839),F839)</f>
        <v>69.9</v>
      </c>
      <c r="F839" s="8">
        <v>69.9</v>
      </c>
      <c r="G839" s="3">
        <v>2</v>
      </c>
      <c r="H839" s="6">
        <f>IF('Settings'!$B$11="Scenario",ROUND(E839*G839*IFERROR(SUMIF('Pricing &amp; promotions'!$A$6:$A$8,L839,'Pricing &amp; promotions'!$B$6:$B$8)/100,0),2),J839)</f>
        <v>0.0</v>
      </c>
      <c r="I839" s="6">
        <f>ROUND((E839*G839-H839)/(1+'Settings'!$B$6/100),2)</f>
        <v>115.54</v>
      </c>
      <c r="J839" s="8">
        <v>0.0</v>
      </c>
      <c r="K839" s="3" t="inlineStr">
        <is>
          <t xml:space="preserve">TRUE</t>
        </is>
      </c>
      <c r="L839" s="3"/>
    </row>
    <row r="840">
      <c r="A840" s="3" t="inlineStr">
        <is>
          <t xml:space="preserve">#1620</t>
        </is>
      </c>
      <c r="B840" s="3" t="inlineStr">
        <is>
          <t xml:space="preserve">2026-07-12</t>
        </is>
      </c>
      <c r="C840" s="3" t="inlineStr">
        <is>
          <t xml:space="preserve">SKU-F</t>
        </is>
      </c>
      <c r="D840" s="3" t="inlineStr">
        <is>
          <t xml:space="preserve">Cloud Cleanser</t>
        </is>
      </c>
      <c r="E840" s="6">
        <f>IF('Settings'!$B$11="Scenario",IFERROR(INDEX('Catalogue'!$E$3:$E$100,MATCH(C840,'Catalogue'!$B$3:$B$100,0)),F840),F840)</f>
        <v>34</v>
      </c>
      <c r="F840" s="8">
        <v>34</v>
      </c>
      <c r="G840" s="3">
        <v>1</v>
      </c>
      <c r="H840" s="6">
        <f>IF('Settings'!$B$11="Scenario",ROUND(E840*G840*IFERROR(SUMIF('Pricing &amp; promotions'!$A$6:$A$8,L840,'Pricing &amp; promotions'!$B$6:$B$8)/100,0),2),J840)</f>
        <v>0.0</v>
      </c>
      <c r="I840" s="6">
        <f>ROUND((E840*G840-H840)/(1+'Settings'!$B$6/100),2)</f>
        <v>28.1</v>
      </c>
      <c r="J840" s="8">
        <v>0.0</v>
      </c>
      <c r="K840" s="3" t="inlineStr">
        <is>
          <t xml:space="preserve">TRUE</t>
        </is>
      </c>
      <c r="L840" s="3"/>
    </row>
    <row r="841">
      <c r="A841" s="3" t="inlineStr">
        <is>
          <t xml:space="preserve">#1621</t>
        </is>
      </c>
      <c r="B841" s="3" t="inlineStr">
        <is>
          <t xml:space="preserve">2026-07-13</t>
        </is>
      </c>
      <c r="C841" s="3" t="inlineStr">
        <is>
          <t xml:space="preserve">SKU-A</t>
        </is>
      </c>
      <c r="D841" s="3" t="inlineStr">
        <is>
          <t xml:space="preserve">Renewal Serum</t>
        </is>
      </c>
      <c r="E841" s="6">
        <f>IF('Settings'!$B$11="Scenario",IFERROR(INDEX('Catalogue'!$E$3:$E$100,MATCH(C841,'Catalogue'!$B$3:$B$100,0)),F841),F841)</f>
        <v>69.9</v>
      </c>
      <c r="F841" s="8">
        <v>69.9</v>
      </c>
      <c r="G841" s="3">
        <v>1</v>
      </c>
      <c r="H841" s="6">
        <f>IF('Settings'!$B$11="Scenario",ROUND(E841*G841*IFERROR(SUMIF('Pricing &amp; promotions'!$A$6:$A$8,L841,'Pricing &amp; promotions'!$B$6:$B$8)/100,0),2),J841)</f>
        <v>6.99</v>
      </c>
      <c r="I841" s="6">
        <f>ROUND((E841*G841-H841)/(1+'Settings'!$B$6/100),2)</f>
        <v>51.99</v>
      </c>
      <c r="J841" s="8">
        <v>6.99</v>
      </c>
      <c r="K841" s="3" t="inlineStr">
        <is>
          <t xml:space="preserve">TRUE</t>
        </is>
      </c>
      <c r="L841" s="3" t="inlineStr">
        <is>
          <t xml:space="preserve">WELCOME10</t>
        </is>
      </c>
    </row>
    <row r="842">
      <c r="A842" s="3" t="inlineStr">
        <is>
          <t xml:space="preserve">#1621</t>
        </is>
      </c>
      <c r="B842" s="3" t="inlineStr">
        <is>
          <t xml:space="preserve">2026-07-13</t>
        </is>
      </c>
      <c r="C842" s="3" t="inlineStr">
        <is>
          <t xml:space="preserve">SKU-B</t>
        </is>
      </c>
      <c r="D842" s="3" t="inlineStr">
        <is>
          <t xml:space="preserve">Barrier Balm</t>
        </is>
      </c>
      <c r="E842" s="6">
        <f>IF('Settings'!$B$11="Scenario",IFERROR(INDEX('Catalogue'!$E$3:$E$100,MATCH(C842,'Catalogue'!$B$3:$B$100,0)),F842),F842)</f>
        <v>19</v>
      </c>
      <c r="F842" s="8">
        <v>19</v>
      </c>
      <c r="G842" s="3">
        <v>1</v>
      </c>
      <c r="H842" s="6">
        <f>IF('Settings'!$B$11="Scenario",ROUND(E842*G842*IFERROR(SUMIF('Pricing &amp; promotions'!$A$6:$A$8,L842,'Pricing &amp; promotions'!$B$6:$B$8)/100,0),2),J842)</f>
        <v>1.9</v>
      </c>
      <c r="I842" s="6">
        <f>ROUND((E842*G842-H842)/(1+'Settings'!$B$6/100),2)</f>
        <v>14.13</v>
      </c>
      <c r="J842" s="8">
        <v>1.9</v>
      </c>
      <c r="K842" s="3" t="inlineStr">
        <is>
          <t xml:space="preserve">TRUE</t>
        </is>
      </c>
      <c r="L842" s="3" t="inlineStr">
        <is>
          <t xml:space="preserve">WELCOME10</t>
        </is>
      </c>
    </row>
    <row r="843">
      <c r="A843" s="3" t="inlineStr">
        <is>
          <t xml:space="preserve">#1622</t>
        </is>
      </c>
      <c r="B843" s="3" t="inlineStr">
        <is>
          <t xml:space="preserve">2026-07-13</t>
        </is>
      </c>
      <c r="C843" s="3" t="inlineStr">
        <is>
          <t xml:space="preserve">SKU-E</t>
        </is>
      </c>
      <c r="D843" s="3" t="inlineStr">
        <is>
          <t xml:space="preserve">Complete Ritual</t>
        </is>
      </c>
      <c r="E843" s="6">
        <f>IF('Settings'!$B$11="Scenario",IFERROR(INDEX('Catalogue'!$E$3:$E$100,MATCH(C843,'Catalogue'!$B$3:$B$100,0)),F843),F843)</f>
        <v>89</v>
      </c>
      <c r="F843" s="8">
        <v>89</v>
      </c>
      <c r="G843" s="3">
        <v>1</v>
      </c>
      <c r="H843" s="6">
        <f>IF('Settings'!$B$11="Scenario",ROUND(E843*G843*IFERROR(SUMIF('Pricing &amp; promotions'!$A$6:$A$8,L843,'Pricing &amp; promotions'!$B$6:$B$8)/100,0),2),J843)</f>
        <v>0.0</v>
      </c>
      <c r="I843" s="6">
        <f>ROUND((E843*G843-H843)/(1+'Settings'!$B$6/100),2)</f>
        <v>73.55</v>
      </c>
      <c r="J843" s="8">
        <v>0.0</v>
      </c>
      <c r="K843" s="3" t="inlineStr">
        <is>
          <t xml:space="preserve">TRUE</t>
        </is>
      </c>
      <c r="L843" s="3"/>
    </row>
    <row r="844">
      <c r="A844" s="3" t="inlineStr">
        <is>
          <t xml:space="preserve">#1623</t>
        </is>
      </c>
      <c r="B844" s="3" t="inlineStr">
        <is>
          <t xml:space="preserve">2026-07-13</t>
        </is>
      </c>
      <c r="C844" s="3" t="inlineStr">
        <is>
          <t xml:space="preserve">SKU-A</t>
        </is>
      </c>
      <c r="D844" s="3" t="inlineStr">
        <is>
          <t xml:space="preserve">Renewal Serum</t>
        </is>
      </c>
      <c r="E844" s="6">
        <f>IF('Settings'!$B$11="Scenario",IFERROR(INDEX('Catalogue'!$E$3:$E$100,MATCH(C844,'Catalogue'!$B$3:$B$100,0)),F844),F844)</f>
        <v>69.9</v>
      </c>
      <c r="F844" s="8">
        <v>69.9</v>
      </c>
      <c r="G844" s="3">
        <v>1</v>
      </c>
      <c r="H844" s="6">
        <f>IF('Settings'!$B$11="Scenario",ROUND(E844*G844*IFERROR(SUMIF('Pricing &amp; promotions'!$A$6:$A$8,L844,'Pricing &amp; promotions'!$B$6:$B$8)/100,0),2),J844)</f>
        <v>0.0</v>
      </c>
      <c r="I844" s="6">
        <f>ROUND((E844*G844-H844)/(1+'Settings'!$B$6/100),2)</f>
        <v>57.77</v>
      </c>
      <c r="J844" s="8">
        <v>0.0</v>
      </c>
      <c r="K844" s="3" t="inlineStr">
        <is>
          <t xml:space="preserve">TRUE</t>
        </is>
      </c>
      <c r="L844" s="3"/>
    </row>
    <row r="845">
      <c r="A845" s="3" t="inlineStr">
        <is>
          <t xml:space="preserve">#1624</t>
        </is>
      </c>
      <c r="B845" s="3" t="inlineStr">
        <is>
          <t xml:space="preserve">2026-07-14</t>
        </is>
      </c>
      <c r="C845" s="3" t="inlineStr">
        <is>
          <t xml:space="preserve">SKU-B</t>
        </is>
      </c>
      <c r="D845" s="3" t="inlineStr">
        <is>
          <t xml:space="preserve">Barrier Balm</t>
        </is>
      </c>
      <c r="E845" s="6">
        <f>IF('Settings'!$B$11="Scenario",IFERROR(INDEX('Catalogue'!$E$3:$E$100,MATCH(C845,'Catalogue'!$B$3:$B$100,0)),F845),F845)</f>
        <v>19</v>
      </c>
      <c r="F845" s="8">
        <v>19</v>
      </c>
      <c r="G845" s="3">
        <v>1</v>
      </c>
      <c r="H845" s="6">
        <f>IF('Settings'!$B$11="Scenario",ROUND(E845*G845*IFERROR(SUMIF('Pricing &amp; promotions'!$A$6:$A$8,L845,'Pricing &amp; promotions'!$B$6:$B$8)/100,0),2),J845)</f>
        <v>1.9</v>
      </c>
      <c r="I845" s="6">
        <f>ROUND((E845*G845-H845)/(1+'Settings'!$B$6/100),2)</f>
        <v>14.13</v>
      </c>
      <c r="J845" s="8">
        <v>1.9</v>
      </c>
      <c r="K845" s="3" t="inlineStr">
        <is>
          <t xml:space="preserve">TRUE</t>
        </is>
      </c>
      <c r="L845" s="3" t="inlineStr">
        <is>
          <t xml:space="preserve">WELCOME10</t>
        </is>
      </c>
    </row>
    <row r="846">
      <c r="A846" s="3" t="inlineStr">
        <is>
          <t xml:space="preserve">#1625</t>
        </is>
      </c>
      <c r="B846" s="3" t="inlineStr">
        <is>
          <t xml:space="preserve">2026-07-14</t>
        </is>
      </c>
      <c r="C846" s="3" t="inlineStr">
        <is>
          <t xml:space="preserve">SKU-E</t>
        </is>
      </c>
      <c r="D846" s="3" t="inlineStr">
        <is>
          <t xml:space="preserve">Complete Ritual</t>
        </is>
      </c>
      <c r="E846" s="6">
        <f>IF('Settings'!$B$11="Scenario",IFERROR(INDEX('Catalogue'!$E$3:$E$100,MATCH(C846,'Catalogue'!$B$3:$B$100,0)),F846),F846)</f>
        <v>89</v>
      </c>
      <c r="F846" s="8">
        <v>89</v>
      </c>
      <c r="G846" s="3">
        <v>1</v>
      </c>
      <c r="H846" s="6">
        <f>IF('Settings'!$B$11="Scenario",ROUND(E846*G846*IFERROR(SUMIF('Pricing &amp; promotions'!$A$6:$A$8,L846,'Pricing &amp; promotions'!$B$6:$B$8)/100,0),2),J846)</f>
        <v>0.0</v>
      </c>
      <c r="I846" s="6">
        <f>ROUND((E846*G846-H846)/(1+'Settings'!$B$6/100),2)</f>
        <v>73.55</v>
      </c>
      <c r="J846" s="8">
        <v>0.0</v>
      </c>
      <c r="K846" s="3" t="inlineStr">
        <is>
          <t xml:space="preserve">TRUE</t>
        </is>
      </c>
      <c r="L846" s="3"/>
    </row>
    <row r="847">
      <c r="A847" s="3" t="inlineStr">
        <is>
          <t xml:space="preserve">#1626</t>
        </is>
      </c>
      <c r="B847" s="3" t="inlineStr">
        <is>
          <t xml:space="preserve">2026-07-14</t>
        </is>
      </c>
      <c r="C847" s="3" t="inlineStr">
        <is>
          <t xml:space="preserve">SKU-A</t>
        </is>
      </c>
      <c r="D847" s="3" t="inlineStr">
        <is>
          <t xml:space="preserve">Renewal Serum</t>
        </is>
      </c>
      <c r="E847" s="6">
        <f>IF('Settings'!$B$11="Scenario",IFERROR(INDEX('Catalogue'!$E$3:$E$100,MATCH(C847,'Catalogue'!$B$3:$B$100,0)),F847),F847)</f>
        <v>69.9</v>
      </c>
      <c r="F847" s="8">
        <v>69.9</v>
      </c>
      <c r="G847" s="3">
        <v>1</v>
      </c>
      <c r="H847" s="6">
        <f>IF('Settings'!$B$11="Scenario",ROUND(E847*G847*IFERROR(SUMIF('Pricing &amp; promotions'!$A$6:$A$8,L847,'Pricing &amp; promotions'!$B$6:$B$8)/100,0),2),J847)</f>
        <v>10.49</v>
      </c>
      <c r="I847" s="6">
        <f>ROUND((E847*G847-H847)/(1+'Settings'!$B$6/100),2)</f>
        <v>49.1</v>
      </c>
      <c r="J847" s="8">
        <v>10.49</v>
      </c>
      <c r="K847" s="3" t="inlineStr">
        <is>
          <t xml:space="preserve">TRUE</t>
        </is>
      </c>
      <c r="L847" s="3" t="inlineStr">
        <is>
          <t xml:space="preserve">SUMMER15</t>
        </is>
      </c>
    </row>
    <row r="848">
      <c r="A848" s="3" t="inlineStr">
        <is>
          <t xml:space="preserve">#1626</t>
        </is>
      </c>
      <c r="B848" s="3" t="inlineStr">
        <is>
          <t xml:space="preserve">2026-07-14</t>
        </is>
      </c>
      <c r="C848" s="3" t="inlineStr">
        <is>
          <t xml:space="preserve">SKU-D</t>
        </is>
      </c>
      <c r="D848" s="3" t="inlineStr">
        <is>
          <t xml:space="preserve">Daily Duo</t>
        </is>
      </c>
      <c r="E848" s="6">
        <f>IF('Settings'!$B$11="Scenario",IFERROR(INDEX('Catalogue'!$E$3:$E$100,MATCH(C848,'Catalogue'!$B$3:$B$100,0)),F848),F848)</f>
        <v>79</v>
      </c>
      <c r="F848" s="8">
        <v>79</v>
      </c>
      <c r="G848" s="3">
        <v>1</v>
      </c>
      <c r="H848" s="6">
        <f>IF('Settings'!$B$11="Scenario",ROUND(E848*G848*IFERROR(SUMIF('Pricing &amp; promotions'!$A$6:$A$8,L848,'Pricing &amp; promotions'!$B$6:$B$8)/100,0),2),J848)</f>
        <v>11.85</v>
      </c>
      <c r="I848" s="6">
        <f>ROUND((E848*G848-H848)/(1+'Settings'!$B$6/100),2)</f>
        <v>55.5</v>
      </c>
      <c r="J848" s="8">
        <v>11.85</v>
      </c>
      <c r="K848" s="3" t="inlineStr">
        <is>
          <t xml:space="preserve">TRUE</t>
        </is>
      </c>
      <c r="L848" s="3" t="inlineStr">
        <is>
          <t xml:space="preserve">SUMMER15</t>
        </is>
      </c>
    </row>
    <row r="849">
      <c r="A849" s="3" t="inlineStr">
        <is>
          <t xml:space="preserve">#1627</t>
        </is>
      </c>
      <c r="B849" s="3" t="inlineStr">
        <is>
          <t xml:space="preserve">2026-07-15</t>
        </is>
      </c>
      <c r="C849" s="3" t="inlineStr">
        <is>
          <t xml:space="preserve">SKU-C</t>
        </is>
      </c>
      <c r="D849" s="3" t="inlineStr">
        <is>
          <t xml:space="preserve">Contour Stone</t>
        </is>
      </c>
      <c r="E849" s="6">
        <f>IF('Settings'!$B$11="Scenario",IFERROR(INDEX('Catalogue'!$E$3:$E$100,MATCH(C849,'Catalogue'!$B$3:$B$100,0)),F849),F849)</f>
        <v>29</v>
      </c>
      <c r="F849" s="8">
        <v>29</v>
      </c>
      <c r="G849" s="3">
        <v>2</v>
      </c>
      <c r="H849" s="6">
        <f>IF('Settings'!$B$11="Scenario",ROUND(E849*G849*IFERROR(SUMIF('Pricing &amp; promotions'!$A$6:$A$8,L849,'Pricing &amp; promotions'!$B$6:$B$8)/100,0),2),J849)</f>
        <v>0.0</v>
      </c>
      <c r="I849" s="6">
        <f>ROUND((E849*G849-H849)/(1+'Settings'!$B$6/100),2)</f>
        <v>47.93</v>
      </c>
      <c r="J849" s="8">
        <v>0.0</v>
      </c>
      <c r="K849" s="3" t="inlineStr">
        <is>
          <t xml:space="preserve">TRUE</t>
        </is>
      </c>
      <c r="L849" s="3"/>
    </row>
    <row r="850">
      <c r="A850" s="3" t="inlineStr">
        <is>
          <t xml:space="preserve">#1628</t>
        </is>
      </c>
      <c r="B850" s="3" t="inlineStr">
        <is>
          <t xml:space="preserve">2026-07-15</t>
        </is>
      </c>
      <c r="C850" s="3" t="inlineStr">
        <is>
          <t xml:space="preserve">SKU-F</t>
        </is>
      </c>
      <c r="D850" s="3" t="inlineStr">
        <is>
          <t xml:space="preserve">Cloud Cleanser</t>
        </is>
      </c>
      <c r="E850" s="6">
        <f>IF('Settings'!$B$11="Scenario",IFERROR(INDEX('Catalogue'!$E$3:$E$100,MATCH(C850,'Catalogue'!$B$3:$B$100,0)),F850),F850)</f>
        <v>34</v>
      </c>
      <c r="F850" s="8">
        <v>34</v>
      </c>
      <c r="G850" s="3">
        <v>2</v>
      </c>
      <c r="H850" s="6">
        <f>IF('Settings'!$B$11="Scenario",ROUND(E850*G850*IFERROR(SUMIF('Pricing &amp; promotions'!$A$6:$A$8,L850,'Pricing &amp; promotions'!$B$6:$B$8)/100,0),2),J850)</f>
        <v>10.2</v>
      </c>
      <c r="I850" s="6">
        <f>ROUND((E850*G850-H850)/(1+'Settings'!$B$6/100),2)</f>
        <v>47.77</v>
      </c>
      <c r="J850" s="8">
        <v>10.2</v>
      </c>
      <c r="K850" s="3" t="inlineStr">
        <is>
          <t xml:space="preserve">TRUE</t>
        </is>
      </c>
      <c r="L850" s="3" t="inlineStr">
        <is>
          <t xml:space="preserve">SUMMER15</t>
        </is>
      </c>
    </row>
    <row r="851">
      <c r="A851" s="3" t="inlineStr">
        <is>
          <t xml:space="preserve">#1629</t>
        </is>
      </c>
      <c r="B851" s="3" t="inlineStr">
        <is>
          <t xml:space="preserve">2026-07-16</t>
        </is>
      </c>
      <c r="C851" s="3" t="inlineStr">
        <is>
          <t xml:space="preserve">SKU-A</t>
        </is>
      </c>
      <c r="D851" s="3" t="inlineStr">
        <is>
          <t xml:space="preserve">Renewal Serum</t>
        </is>
      </c>
      <c r="E851" s="6">
        <f>IF('Settings'!$B$11="Scenario",IFERROR(INDEX('Catalogue'!$E$3:$E$100,MATCH(C851,'Catalogue'!$B$3:$B$100,0)),F851),F851)</f>
        <v>69.9</v>
      </c>
      <c r="F851" s="8">
        <v>69.9</v>
      </c>
      <c r="G851" s="3">
        <v>1</v>
      </c>
      <c r="H851" s="6">
        <f>IF('Settings'!$B$11="Scenario",ROUND(E851*G851*IFERROR(SUMIF('Pricing &amp; promotions'!$A$6:$A$8,L851,'Pricing &amp; promotions'!$B$6:$B$8)/100,0),2),J851)</f>
        <v>6.99</v>
      </c>
      <c r="I851" s="6">
        <f>ROUND((E851*G851-H851)/(1+'Settings'!$B$6/100),2)</f>
        <v>51.99</v>
      </c>
      <c r="J851" s="8">
        <v>6.99</v>
      </c>
      <c r="K851" s="3" t="inlineStr">
        <is>
          <t xml:space="preserve">TRUE</t>
        </is>
      </c>
      <c r="L851" s="3" t="inlineStr">
        <is>
          <t xml:space="preserve">WELCOME10</t>
        </is>
      </c>
    </row>
    <row r="852">
      <c r="A852" s="3" t="inlineStr">
        <is>
          <t xml:space="preserve">#1630</t>
        </is>
      </c>
      <c r="B852" s="3" t="inlineStr">
        <is>
          <t xml:space="preserve">2026-07-16</t>
        </is>
      </c>
      <c r="C852" s="3" t="inlineStr">
        <is>
          <t xml:space="preserve">SKU-D</t>
        </is>
      </c>
      <c r="D852" s="3" t="inlineStr">
        <is>
          <t xml:space="preserve">Daily Duo</t>
        </is>
      </c>
      <c r="E852" s="6">
        <f>IF('Settings'!$B$11="Scenario",IFERROR(INDEX('Catalogue'!$E$3:$E$100,MATCH(C852,'Catalogue'!$B$3:$B$100,0)),F852),F852)</f>
        <v>79</v>
      </c>
      <c r="F852" s="8">
        <v>79</v>
      </c>
      <c r="G852" s="3">
        <v>1</v>
      </c>
      <c r="H852" s="6">
        <f>IF('Settings'!$B$11="Scenario",ROUND(E852*G852*IFERROR(SUMIF('Pricing &amp; promotions'!$A$6:$A$8,L852,'Pricing &amp; promotions'!$B$6:$B$8)/100,0),2),J852)</f>
        <v>11.85</v>
      </c>
      <c r="I852" s="6">
        <f>ROUND((E852*G852-H852)/(1+'Settings'!$B$6/100),2)</f>
        <v>55.5</v>
      </c>
      <c r="J852" s="8">
        <v>11.85</v>
      </c>
      <c r="K852" s="3" t="inlineStr">
        <is>
          <t xml:space="preserve">TRUE</t>
        </is>
      </c>
      <c r="L852" s="3" t="inlineStr">
        <is>
          <t xml:space="preserve">SUMMER15</t>
        </is>
      </c>
    </row>
    <row r="853">
      <c r="A853" s="3" t="inlineStr">
        <is>
          <t xml:space="preserve">#1631</t>
        </is>
      </c>
      <c r="B853" s="3" t="inlineStr">
        <is>
          <t xml:space="preserve">2026-07-17</t>
        </is>
      </c>
      <c r="C853" s="3" t="inlineStr">
        <is>
          <t xml:space="preserve">SKU-B</t>
        </is>
      </c>
      <c r="D853" s="3" t="inlineStr">
        <is>
          <t xml:space="preserve">Barrier Balm</t>
        </is>
      </c>
      <c r="E853" s="6">
        <f>IF('Settings'!$B$11="Scenario",IFERROR(INDEX('Catalogue'!$E$3:$E$100,MATCH(C853,'Catalogue'!$B$3:$B$100,0)),F853),F853)</f>
        <v>19</v>
      </c>
      <c r="F853" s="8">
        <v>19</v>
      </c>
      <c r="G853" s="3">
        <v>1</v>
      </c>
      <c r="H853" s="6">
        <f>IF('Settings'!$B$11="Scenario",ROUND(E853*G853*IFERROR(SUMIF('Pricing &amp; promotions'!$A$6:$A$8,L853,'Pricing &amp; promotions'!$B$6:$B$8)/100,0),2),J853)</f>
        <v>0.0</v>
      </c>
      <c r="I853" s="6">
        <f>ROUND((E853*G853-H853)/(1+'Settings'!$B$6/100),2)</f>
        <v>15.7</v>
      </c>
      <c r="J853" s="8">
        <v>0.0</v>
      </c>
      <c r="K853" s="3" t="inlineStr">
        <is>
          <t xml:space="preserve">TRUE</t>
        </is>
      </c>
      <c r="L853" s="3"/>
    </row>
    <row r="854">
      <c r="A854" s="3" t="inlineStr">
        <is>
          <t xml:space="preserve">#1632</t>
        </is>
      </c>
      <c r="B854" s="3" t="inlineStr">
        <is>
          <t xml:space="preserve">2026-07-17</t>
        </is>
      </c>
      <c r="C854" s="3" t="inlineStr">
        <is>
          <t xml:space="preserve">SKU-A</t>
        </is>
      </c>
      <c r="D854" s="3" t="inlineStr">
        <is>
          <t xml:space="preserve">Renewal Serum</t>
        </is>
      </c>
      <c r="E854" s="6">
        <f>IF('Settings'!$B$11="Scenario",IFERROR(INDEX('Catalogue'!$E$3:$E$100,MATCH(C854,'Catalogue'!$B$3:$B$100,0)),F854),F854)</f>
        <v>69.9</v>
      </c>
      <c r="F854" s="8">
        <v>69.9</v>
      </c>
      <c r="G854" s="3">
        <v>1</v>
      </c>
      <c r="H854" s="6">
        <f>IF('Settings'!$B$11="Scenario",ROUND(E854*G854*IFERROR(SUMIF('Pricing &amp; promotions'!$A$6:$A$8,L854,'Pricing &amp; promotions'!$B$6:$B$8)/100,0),2),J854)</f>
        <v>0.0</v>
      </c>
      <c r="I854" s="6">
        <f>ROUND((E854*G854-H854)/(1+'Settings'!$B$6/100),2)</f>
        <v>57.77</v>
      </c>
      <c r="J854" s="8">
        <v>0.0</v>
      </c>
      <c r="K854" s="3" t="inlineStr">
        <is>
          <t xml:space="preserve">TRUE</t>
        </is>
      </c>
      <c r="L854" s="3"/>
    </row>
    <row r="855">
      <c r="A855" s="3" t="inlineStr">
        <is>
          <t xml:space="preserve">#1633</t>
        </is>
      </c>
      <c r="B855" s="3" t="inlineStr">
        <is>
          <t xml:space="preserve">2026-07-17</t>
        </is>
      </c>
      <c r="C855" s="3" t="inlineStr">
        <is>
          <t xml:space="preserve">SKU-B</t>
        </is>
      </c>
      <c r="D855" s="3" t="inlineStr">
        <is>
          <t xml:space="preserve">Barrier Balm</t>
        </is>
      </c>
      <c r="E855" s="6">
        <f>IF('Settings'!$B$11="Scenario",IFERROR(INDEX('Catalogue'!$E$3:$E$100,MATCH(C855,'Catalogue'!$B$3:$B$100,0)),F855),F855)</f>
        <v>19</v>
      </c>
      <c r="F855" s="8">
        <v>19</v>
      </c>
      <c r="G855" s="3">
        <v>1</v>
      </c>
      <c r="H855" s="6">
        <f>IF('Settings'!$B$11="Scenario",ROUND(E855*G855*IFERROR(SUMIF('Pricing &amp; promotions'!$A$6:$A$8,L855,'Pricing &amp; promotions'!$B$6:$B$8)/100,0),2),J855)</f>
        <v>0.0</v>
      </c>
      <c r="I855" s="6">
        <f>ROUND((E855*G855-H855)/(1+'Settings'!$B$6/100),2)</f>
        <v>15.7</v>
      </c>
      <c r="J855" s="8">
        <v>0.0</v>
      </c>
      <c r="K855" s="3" t="inlineStr">
        <is>
          <t xml:space="preserve">TRUE</t>
        </is>
      </c>
      <c r="L855" s="3"/>
    </row>
    <row r="856">
      <c r="A856" s="3" t="inlineStr">
        <is>
          <t xml:space="preserve">#1633</t>
        </is>
      </c>
      <c r="B856" s="3" t="inlineStr">
        <is>
          <t xml:space="preserve">2026-07-17</t>
        </is>
      </c>
      <c r="C856" s="3" t="inlineStr">
        <is>
          <t xml:space="preserve">SKU-D</t>
        </is>
      </c>
      <c r="D856" s="3" t="inlineStr">
        <is>
          <t xml:space="preserve">Daily Duo</t>
        </is>
      </c>
      <c r="E856" s="6">
        <f>IF('Settings'!$B$11="Scenario",IFERROR(INDEX('Catalogue'!$E$3:$E$100,MATCH(C856,'Catalogue'!$B$3:$B$100,0)),F856),F856)</f>
        <v>79</v>
      </c>
      <c r="F856" s="8">
        <v>79</v>
      </c>
      <c r="G856" s="3">
        <v>1</v>
      </c>
      <c r="H856" s="6">
        <f>IF('Settings'!$B$11="Scenario",ROUND(E856*G856*IFERROR(SUMIF('Pricing &amp; promotions'!$A$6:$A$8,L856,'Pricing &amp; promotions'!$B$6:$B$8)/100,0),2),J856)</f>
        <v>0.0</v>
      </c>
      <c r="I856" s="6">
        <f>ROUND((E856*G856-H856)/(1+'Settings'!$B$6/100),2)</f>
        <v>65.29</v>
      </c>
      <c r="J856" s="8">
        <v>0.0</v>
      </c>
      <c r="K856" s="3" t="inlineStr">
        <is>
          <t xml:space="preserve">TRUE</t>
        </is>
      </c>
      <c r="L856" s="3"/>
    </row>
    <row r="857">
      <c r="A857" s="3" t="inlineStr">
        <is>
          <t xml:space="preserve">#1634</t>
        </is>
      </c>
      <c r="B857" s="3" t="inlineStr">
        <is>
          <t xml:space="preserve">2026-07-18</t>
        </is>
      </c>
      <c r="C857" s="3" t="inlineStr">
        <is>
          <t xml:space="preserve">SKU-D</t>
        </is>
      </c>
      <c r="D857" s="3" t="inlineStr">
        <is>
          <t xml:space="preserve">Daily Duo</t>
        </is>
      </c>
      <c r="E857" s="6">
        <f>IF('Settings'!$B$11="Scenario",IFERROR(INDEX('Catalogue'!$E$3:$E$100,MATCH(C857,'Catalogue'!$B$3:$B$100,0)),F857),F857)</f>
        <v>79</v>
      </c>
      <c r="F857" s="8">
        <v>79</v>
      </c>
      <c r="G857" s="3">
        <v>1</v>
      </c>
      <c r="H857" s="6">
        <f>IF('Settings'!$B$11="Scenario",ROUND(E857*G857*IFERROR(SUMIF('Pricing &amp; promotions'!$A$6:$A$8,L857,'Pricing &amp; promotions'!$B$6:$B$8)/100,0),2),J857)</f>
        <v>0.0</v>
      </c>
      <c r="I857" s="6">
        <f>ROUND((E857*G857-H857)/(1+'Settings'!$B$6/100),2)</f>
        <v>65.29</v>
      </c>
      <c r="J857" s="8">
        <v>0.0</v>
      </c>
      <c r="K857" s="3" t="inlineStr">
        <is>
          <t xml:space="preserve">TRUE</t>
        </is>
      </c>
      <c r="L857" s="3"/>
    </row>
    <row r="858">
      <c r="A858" s="3" t="inlineStr">
        <is>
          <t xml:space="preserve">#1634</t>
        </is>
      </c>
      <c r="B858" s="3" t="inlineStr">
        <is>
          <t xml:space="preserve">2026-07-18</t>
        </is>
      </c>
      <c r="C858" s="3" t="inlineStr">
        <is>
          <t xml:space="preserve">SKU-A</t>
        </is>
      </c>
      <c r="D858" s="3" t="inlineStr">
        <is>
          <t xml:space="preserve">Renewal Serum</t>
        </is>
      </c>
      <c r="E858" s="6">
        <f>IF('Settings'!$B$11="Scenario",IFERROR(INDEX('Catalogue'!$E$3:$E$100,MATCH(C858,'Catalogue'!$B$3:$B$100,0)),F858),F858)</f>
        <v>69.9</v>
      </c>
      <c r="F858" s="8">
        <v>69.9</v>
      </c>
      <c r="G858" s="3">
        <v>2</v>
      </c>
      <c r="H858" s="6">
        <f>IF('Settings'!$B$11="Scenario",ROUND(E858*G858*IFERROR(SUMIF('Pricing &amp; promotions'!$A$6:$A$8,L858,'Pricing &amp; promotions'!$B$6:$B$8)/100,0),2),J858)</f>
        <v>0.0</v>
      </c>
      <c r="I858" s="6">
        <f>ROUND((E858*G858-H858)/(1+'Settings'!$B$6/100),2)</f>
        <v>115.54</v>
      </c>
      <c r="J858" s="8">
        <v>0.0</v>
      </c>
      <c r="K858" s="3" t="inlineStr">
        <is>
          <t xml:space="preserve">TRUE</t>
        </is>
      </c>
      <c r="L858" s="3"/>
    </row>
    <row r="859">
      <c r="A859" s="3" t="inlineStr">
        <is>
          <t xml:space="preserve">#1635</t>
        </is>
      </c>
      <c r="B859" s="3" t="inlineStr">
        <is>
          <t xml:space="preserve">2026-07-18</t>
        </is>
      </c>
      <c r="C859" s="3" t="inlineStr">
        <is>
          <t xml:space="preserve">SKU-D</t>
        </is>
      </c>
      <c r="D859" s="3" t="inlineStr">
        <is>
          <t xml:space="preserve">Daily Duo</t>
        </is>
      </c>
      <c r="E859" s="6">
        <f>IF('Settings'!$B$11="Scenario",IFERROR(INDEX('Catalogue'!$E$3:$E$100,MATCH(C859,'Catalogue'!$B$3:$B$100,0)),F859),F859)</f>
        <v>79</v>
      </c>
      <c r="F859" s="8">
        <v>79</v>
      </c>
      <c r="G859" s="3">
        <v>2</v>
      </c>
      <c r="H859" s="6">
        <f>IF('Settings'!$B$11="Scenario",ROUND(E859*G859*IFERROR(SUMIF('Pricing &amp; promotions'!$A$6:$A$8,L859,'Pricing &amp; promotions'!$B$6:$B$8)/100,0),2),J859)</f>
        <v>0.0</v>
      </c>
      <c r="I859" s="6">
        <f>ROUND((E859*G859-H859)/(1+'Settings'!$B$6/100),2)</f>
        <v>130.58</v>
      </c>
      <c r="J859" s="8">
        <v>0.0</v>
      </c>
      <c r="K859" s="3" t="inlineStr">
        <is>
          <t xml:space="preserve">TRUE</t>
        </is>
      </c>
      <c r="L859" s="3"/>
    </row>
    <row r="860">
      <c r="A860" s="3" t="inlineStr">
        <is>
          <t xml:space="preserve">#1636</t>
        </is>
      </c>
      <c r="B860" s="3" t="inlineStr">
        <is>
          <t xml:space="preserve">2026-07-18</t>
        </is>
      </c>
      <c r="C860" s="3" t="inlineStr">
        <is>
          <t xml:space="preserve">SKU-C</t>
        </is>
      </c>
      <c r="D860" s="3" t="inlineStr">
        <is>
          <t xml:space="preserve">Contour Stone</t>
        </is>
      </c>
      <c r="E860" s="6">
        <f>IF('Settings'!$B$11="Scenario",IFERROR(INDEX('Catalogue'!$E$3:$E$100,MATCH(C860,'Catalogue'!$B$3:$B$100,0)),F860),F860)</f>
        <v>29</v>
      </c>
      <c r="F860" s="8">
        <v>29</v>
      </c>
      <c r="G860" s="3">
        <v>2</v>
      </c>
      <c r="H860" s="6">
        <f>IF('Settings'!$B$11="Scenario",ROUND(E860*G860*IFERROR(SUMIF('Pricing &amp; promotions'!$A$6:$A$8,L860,'Pricing &amp; promotions'!$B$6:$B$8)/100,0),2),J860)</f>
        <v>8.7</v>
      </c>
      <c r="I860" s="6">
        <f>ROUND((E860*G860-H860)/(1+'Settings'!$B$6/100),2)</f>
        <v>40.74</v>
      </c>
      <c r="J860" s="8">
        <v>8.7</v>
      </c>
      <c r="K860" s="3" t="inlineStr">
        <is>
          <t xml:space="preserve">TRUE</t>
        </is>
      </c>
      <c r="L860" s="3" t="inlineStr">
        <is>
          <t xml:space="preserve">SUMMER15</t>
        </is>
      </c>
    </row>
    <row r="861">
      <c r="A861" s="3" t="inlineStr">
        <is>
          <t xml:space="preserve">#1636</t>
        </is>
      </c>
      <c r="B861" s="3" t="inlineStr">
        <is>
          <t xml:space="preserve">2026-07-18</t>
        </is>
      </c>
      <c r="C861" s="3" t="inlineStr">
        <is>
          <t xml:space="preserve">SKU-A</t>
        </is>
      </c>
      <c r="D861" s="3" t="inlineStr">
        <is>
          <t xml:space="preserve">Renewal Serum</t>
        </is>
      </c>
      <c r="E861" s="6">
        <f>IF('Settings'!$B$11="Scenario",IFERROR(INDEX('Catalogue'!$E$3:$E$100,MATCH(C861,'Catalogue'!$B$3:$B$100,0)),F861),F861)</f>
        <v>69.9</v>
      </c>
      <c r="F861" s="8">
        <v>69.9</v>
      </c>
      <c r="G861" s="3">
        <v>1</v>
      </c>
      <c r="H861" s="6">
        <f>IF('Settings'!$B$11="Scenario",ROUND(E861*G861*IFERROR(SUMIF('Pricing &amp; promotions'!$A$6:$A$8,L861,'Pricing &amp; promotions'!$B$6:$B$8)/100,0),2),J861)</f>
        <v>10.49</v>
      </c>
      <c r="I861" s="6">
        <f>ROUND((E861*G861-H861)/(1+'Settings'!$B$6/100),2)</f>
        <v>49.1</v>
      </c>
      <c r="J861" s="8">
        <v>10.49</v>
      </c>
      <c r="K861" s="3" t="inlineStr">
        <is>
          <t xml:space="preserve">TRUE</t>
        </is>
      </c>
      <c r="L861" s="3" t="inlineStr">
        <is>
          <t xml:space="preserve">SUMMER15</t>
        </is>
      </c>
    </row>
    <row r="862">
      <c r="A862" s="3" t="inlineStr">
        <is>
          <t xml:space="preserve">#1636</t>
        </is>
      </c>
      <c r="B862" s="3" t="inlineStr">
        <is>
          <t xml:space="preserve">2026-07-18</t>
        </is>
      </c>
      <c r="C862" s="3" t="inlineStr">
        <is>
          <t xml:space="preserve">SKU-E</t>
        </is>
      </c>
      <c r="D862" s="3" t="inlineStr">
        <is>
          <t xml:space="preserve">Complete Ritual</t>
        </is>
      </c>
      <c r="E862" s="6">
        <f>IF('Settings'!$B$11="Scenario",IFERROR(INDEX('Catalogue'!$E$3:$E$100,MATCH(C862,'Catalogue'!$B$3:$B$100,0)),F862),F862)</f>
        <v>89</v>
      </c>
      <c r="F862" s="8">
        <v>89</v>
      </c>
      <c r="G862" s="3">
        <v>1</v>
      </c>
      <c r="H862" s="6">
        <f>IF('Settings'!$B$11="Scenario",ROUND(E862*G862*IFERROR(SUMIF('Pricing &amp; promotions'!$A$6:$A$8,L862,'Pricing &amp; promotions'!$B$6:$B$8)/100,0),2),J862)</f>
        <v>13.35</v>
      </c>
      <c r="I862" s="6">
        <f>ROUND((E862*G862-H862)/(1+'Settings'!$B$6/100),2)</f>
        <v>62.52</v>
      </c>
      <c r="J862" s="8">
        <v>13.35</v>
      </c>
      <c r="K862" s="3" t="inlineStr">
        <is>
          <t xml:space="preserve">TRUE</t>
        </is>
      </c>
      <c r="L862" s="3" t="inlineStr">
        <is>
          <t xml:space="preserve">SUMMER15</t>
        </is>
      </c>
    </row>
    <row r="863">
      <c r="A863" s="3" t="inlineStr">
        <is>
          <t xml:space="preserve">#1637</t>
        </is>
      </c>
      <c r="B863" s="3" t="inlineStr">
        <is>
          <t xml:space="preserve">2026-07-19</t>
        </is>
      </c>
      <c r="C863" s="3" t="inlineStr">
        <is>
          <t xml:space="preserve">SKU-A</t>
        </is>
      </c>
      <c r="D863" s="3" t="inlineStr">
        <is>
          <t xml:space="preserve">Renewal Serum</t>
        </is>
      </c>
      <c r="E863" s="6">
        <f>IF('Settings'!$B$11="Scenario",IFERROR(INDEX('Catalogue'!$E$3:$E$100,MATCH(C863,'Catalogue'!$B$3:$B$100,0)),F863),F863)</f>
        <v>69.9</v>
      </c>
      <c r="F863" s="8">
        <v>69.9</v>
      </c>
      <c r="G863" s="3">
        <v>1</v>
      </c>
      <c r="H863" s="6">
        <f>IF('Settings'!$B$11="Scenario",ROUND(E863*G863*IFERROR(SUMIF('Pricing &amp; promotions'!$A$6:$A$8,L863,'Pricing &amp; promotions'!$B$6:$B$8)/100,0),2),J863)</f>
        <v>10.49</v>
      </c>
      <c r="I863" s="6">
        <f>ROUND((E863*G863-H863)/(1+'Settings'!$B$6/100),2)</f>
        <v>49.1</v>
      </c>
      <c r="J863" s="8">
        <v>10.49</v>
      </c>
      <c r="K863" s="3" t="inlineStr">
        <is>
          <t xml:space="preserve">TRUE</t>
        </is>
      </c>
      <c r="L863" s="3" t="inlineStr">
        <is>
          <t xml:space="preserve">SUMMER15</t>
        </is>
      </c>
    </row>
    <row r="864">
      <c r="A864" s="3" t="inlineStr">
        <is>
          <t xml:space="preserve">#1638</t>
        </is>
      </c>
      <c r="B864" s="3" t="inlineStr">
        <is>
          <t xml:space="preserve">2026-07-19</t>
        </is>
      </c>
      <c r="C864" s="3" t="inlineStr">
        <is>
          <t xml:space="preserve">SKU-D</t>
        </is>
      </c>
      <c r="D864" s="3" t="inlineStr">
        <is>
          <t xml:space="preserve">Daily Duo</t>
        </is>
      </c>
      <c r="E864" s="6">
        <f>IF('Settings'!$B$11="Scenario",IFERROR(INDEX('Catalogue'!$E$3:$E$100,MATCH(C864,'Catalogue'!$B$3:$B$100,0)),F864),F864)</f>
        <v>79</v>
      </c>
      <c r="F864" s="8">
        <v>79</v>
      </c>
      <c r="G864" s="3">
        <v>1</v>
      </c>
      <c r="H864" s="6">
        <f>IF('Settings'!$B$11="Scenario",ROUND(E864*G864*IFERROR(SUMIF('Pricing &amp; promotions'!$A$6:$A$8,L864,'Pricing &amp; promotions'!$B$6:$B$8)/100,0),2),J864)</f>
        <v>0.0</v>
      </c>
      <c r="I864" s="6">
        <f>ROUND((E864*G864-H864)/(1+'Settings'!$B$6/100),2)</f>
        <v>65.29</v>
      </c>
      <c r="J864" s="8">
        <v>0.0</v>
      </c>
      <c r="K864" s="3" t="inlineStr">
        <is>
          <t xml:space="preserve">TRUE</t>
        </is>
      </c>
      <c r="L864" s="3"/>
    </row>
    <row r="865">
      <c r="A865" s="3" t="inlineStr">
        <is>
          <t xml:space="preserve">#1638</t>
        </is>
      </c>
      <c r="B865" s="3" t="inlineStr">
        <is>
          <t xml:space="preserve">2026-07-19</t>
        </is>
      </c>
      <c r="C865" s="3" t="inlineStr">
        <is>
          <t xml:space="preserve">SKU-A</t>
        </is>
      </c>
      <c r="D865" s="3" t="inlineStr">
        <is>
          <t xml:space="preserve">Renewal Serum</t>
        </is>
      </c>
      <c r="E865" s="6">
        <f>IF('Settings'!$B$11="Scenario",IFERROR(INDEX('Catalogue'!$E$3:$E$100,MATCH(C865,'Catalogue'!$B$3:$B$100,0)),F865),F865)</f>
        <v>69.9</v>
      </c>
      <c r="F865" s="8">
        <v>69.9</v>
      </c>
      <c r="G865" s="3">
        <v>1</v>
      </c>
      <c r="H865" s="6">
        <f>IF('Settings'!$B$11="Scenario",ROUND(E865*G865*IFERROR(SUMIF('Pricing &amp; promotions'!$A$6:$A$8,L865,'Pricing &amp; promotions'!$B$6:$B$8)/100,0),2),J865)</f>
        <v>0.0</v>
      </c>
      <c r="I865" s="6">
        <f>ROUND((E865*G865-H865)/(1+'Settings'!$B$6/100),2)</f>
        <v>57.77</v>
      </c>
      <c r="J865" s="8">
        <v>0.0</v>
      </c>
      <c r="K865" s="3" t="inlineStr">
        <is>
          <t xml:space="preserve">TRUE</t>
        </is>
      </c>
      <c r="L865" s="3"/>
    </row>
    <row r="866">
      <c r="A866" s="3" t="inlineStr">
        <is>
          <t xml:space="preserve">#1639</t>
        </is>
      </c>
      <c r="B866" s="3" t="inlineStr">
        <is>
          <t xml:space="preserve">2026-07-20</t>
        </is>
      </c>
      <c r="C866" s="3" t="inlineStr">
        <is>
          <t xml:space="preserve">SKU-D</t>
        </is>
      </c>
      <c r="D866" s="3" t="inlineStr">
        <is>
          <t xml:space="preserve">Daily Duo</t>
        </is>
      </c>
      <c r="E866" s="6">
        <f>IF('Settings'!$B$11="Scenario",IFERROR(INDEX('Catalogue'!$E$3:$E$100,MATCH(C866,'Catalogue'!$B$3:$B$100,0)),F866),F866)</f>
        <v>79</v>
      </c>
      <c r="F866" s="8">
        <v>79</v>
      </c>
      <c r="G866" s="3">
        <v>1</v>
      </c>
      <c r="H866" s="6">
        <f>IF('Settings'!$B$11="Scenario",ROUND(E866*G866*IFERROR(SUMIF('Pricing &amp; promotions'!$A$6:$A$8,L866,'Pricing &amp; promotions'!$B$6:$B$8)/100,0),2),J866)</f>
        <v>7.9</v>
      </c>
      <c r="I866" s="6">
        <f>ROUND((E866*G866-H866)/(1+'Settings'!$B$6/100),2)</f>
        <v>58.76</v>
      </c>
      <c r="J866" s="8">
        <v>7.9</v>
      </c>
      <c r="K866" s="3" t="inlineStr">
        <is>
          <t xml:space="preserve">TRUE</t>
        </is>
      </c>
      <c r="L866" s="3" t="inlineStr">
        <is>
          <t xml:space="preserve">WELCOME10</t>
        </is>
      </c>
    </row>
    <row r="867">
      <c r="A867" s="3" t="inlineStr">
        <is>
          <t xml:space="preserve">#1640</t>
        </is>
      </c>
      <c r="B867" s="3" t="inlineStr">
        <is>
          <t xml:space="preserve">2026-07-20</t>
        </is>
      </c>
      <c r="C867" s="3" t="inlineStr">
        <is>
          <t xml:space="preserve">SKU-A</t>
        </is>
      </c>
      <c r="D867" s="3" t="inlineStr">
        <is>
          <t xml:space="preserve">Renewal Serum</t>
        </is>
      </c>
      <c r="E867" s="6">
        <f>IF('Settings'!$B$11="Scenario",IFERROR(INDEX('Catalogue'!$E$3:$E$100,MATCH(C867,'Catalogue'!$B$3:$B$100,0)),F867),F867)</f>
        <v>69.9</v>
      </c>
      <c r="F867" s="8">
        <v>69.9</v>
      </c>
      <c r="G867" s="3">
        <v>1</v>
      </c>
      <c r="H867" s="6">
        <f>IF('Settings'!$B$11="Scenario",ROUND(E867*G867*IFERROR(SUMIF('Pricing &amp; promotions'!$A$6:$A$8,L867,'Pricing &amp; promotions'!$B$6:$B$8)/100,0),2),J867)</f>
        <v>0.0</v>
      </c>
      <c r="I867" s="6">
        <f>ROUND((E867*G867-H867)/(1+'Settings'!$B$6/100),2)</f>
        <v>57.77</v>
      </c>
      <c r="J867" s="8">
        <v>0.0</v>
      </c>
      <c r="K867" s="3" t="inlineStr">
        <is>
          <t xml:space="preserve">TRUE</t>
        </is>
      </c>
      <c r="L867" s="3"/>
    </row>
    <row r="868">
      <c r="A868" s="3" t="inlineStr">
        <is>
          <t xml:space="preserve">#1641</t>
        </is>
      </c>
      <c r="B868" s="3" t="inlineStr">
        <is>
          <t xml:space="preserve">2026-07-21</t>
        </is>
      </c>
      <c r="C868" s="3" t="inlineStr">
        <is>
          <t xml:space="preserve">SKU-A</t>
        </is>
      </c>
      <c r="D868" s="3" t="inlineStr">
        <is>
          <t xml:space="preserve">Renewal Serum</t>
        </is>
      </c>
      <c r="E868" s="6">
        <f>IF('Settings'!$B$11="Scenario",IFERROR(INDEX('Catalogue'!$E$3:$E$100,MATCH(C868,'Catalogue'!$B$3:$B$100,0)),F868),F868)</f>
        <v>69.9</v>
      </c>
      <c r="F868" s="8">
        <v>69.9</v>
      </c>
      <c r="G868" s="3">
        <v>1</v>
      </c>
      <c r="H868" s="6">
        <f>IF('Settings'!$B$11="Scenario",ROUND(E868*G868*IFERROR(SUMIF('Pricing &amp; promotions'!$A$6:$A$8,L868,'Pricing &amp; promotions'!$B$6:$B$8)/100,0),2),J868)</f>
        <v>0.0</v>
      </c>
      <c r="I868" s="6">
        <f>ROUND((E868*G868-H868)/(1+'Settings'!$B$6/100),2)</f>
        <v>57.77</v>
      </c>
      <c r="J868" s="8">
        <v>0.0</v>
      </c>
      <c r="K868" s="3" t="inlineStr">
        <is>
          <t xml:space="preserve">TRUE</t>
        </is>
      </c>
      <c r="L868" s="3"/>
    </row>
    <row r="869">
      <c r="A869" s="3" t="inlineStr">
        <is>
          <t xml:space="preserve">#1642</t>
        </is>
      </c>
      <c r="B869" s="3" t="inlineStr">
        <is>
          <t xml:space="preserve">2026-07-21</t>
        </is>
      </c>
      <c r="C869" s="3" t="inlineStr">
        <is>
          <t xml:space="preserve">SKU-E</t>
        </is>
      </c>
      <c r="D869" s="3" t="inlineStr">
        <is>
          <t xml:space="preserve">Complete Ritual</t>
        </is>
      </c>
      <c r="E869" s="6">
        <f>IF('Settings'!$B$11="Scenario",IFERROR(INDEX('Catalogue'!$E$3:$E$100,MATCH(C869,'Catalogue'!$B$3:$B$100,0)),F869),F869)</f>
        <v>89</v>
      </c>
      <c r="F869" s="8">
        <v>89</v>
      </c>
      <c r="G869" s="3">
        <v>1</v>
      </c>
      <c r="H869" s="6">
        <f>IF('Settings'!$B$11="Scenario",ROUND(E869*G869*IFERROR(SUMIF('Pricing &amp; promotions'!$A$6:$A$8,L869,'Pricing &amp; promotions'!$B$6:$B$8)/100,0),2),J869)</f>
        <v>8.9</v>
      </c>
      <c r="I869" s="6">
        <f>ROUND((E869*G869-H869)/(1+'Settings'!$B$6/100),2)</f>
        <v>66.2</v>
      </c>
      <c r="J869" s="8">
        <v>8.9</v>
      </c>
      <c r="K869" s="3" t="inlineStr">
        <is>
          <t xml:space="preserve">TRUE</t>
        </is>
      </c>
      <c r="L869" s="3" t="inlineStr">
        <is>
          <t xml:space="preserve">WELCOME10</t>
        </is>
      </c>
    </row>
    <row r="870">
      <c r="A870" s="3" t="inlineStr">
        <is>
          <t xml:space="preserve">#1643</t>
        </is>
      </c>
      <c r="B870" s="3" t="inlineStr">
        <is>
          <t xml:space="preserve">2026-07-21</t>
        </is>
      </c>
      <c r="C870" s="3" t="inlineStr">
        <is>
          <t xml:space="preserve">SKU-E</t>
        </is>
      </c>
      <c r="D870" s="3" t="inlineStr">
        <is>
          <t xml:space="preserve">Complete Ritual</t>
        </is>
      </c>
      <c r="E870" s="6">
        <f>IF('Settings'!$B$11="Scenario",IFERROR(INDEX('Catalogue'!$E$3:$E$100,MATCH(C870,'Catalogue'!$B$3:$B$100,0)),F870),F870)</f>
        <v>89</v>
      </c>
      <c r="F870" s="8">
        <v>89</v>
      </c>
      <c r="G870" s="3">
        <v>1</v>
      </c>
      <c r="H870" s="6">
        <f>IF('Settings'!$B$11="Scenario",ROUND(E870*G870*IFERROR(SUMIF('Pricing &amp; promotions'!$A$6:$A$8,L870,'Pricing &amp; promotions'!$B$6:$B$8)/100,0),2),J870)</f>
        <v>0.0</v>
      </c>
      <c r="I870" s="6">
        <f>ROUND((E870*G870-H870)/(1+'Settings'!$B$6/100),2)</f>
        <v>73.55</v>
      </c>
      <c r="J870" s="8">
        <v>0.0</v>
      </c>
      <c r="K870" s="3" t="inlineStr">
        <is>
          <t xml:space="preserve">TRUE</t>
        </is>
      </c>
      <c r="L870" s="3"/>
    </row>
    <row r="871">
      <c r="A871" s="3" t="inlineStr">
        <is>
          <t xml:space="preserve">#1643</t>
        </is>
      </c>
      <c r="B871" s="3" t="inlineStr">
        <is>
          <t xml:space="preserve">2026-07-21</t>
        </is>
      </c>
      <c r="C871" s="3" t="inlineStr">
        <is>
          <t xml:space="preserve">SKU-A</t>
        </is>
      </c>
      <c r="D871" s="3" t="inlineStr">
        <is>
          <t xml:space="preserve">Renewal Serum</t>
        </is>
      </c>
      <c r="E871" s="6">
        <f>IF('Settings'!$B$11="Scenario",IFERROR(INDEX('Catalogue'!$E$3:$E$100,MATCH(C871,'Catalogue'!$B$3:$B$100,0)),F871),F871)</f>
        <v>69.9</v>
      </c>
      <c r="F871" s="8">
        <v>69.9</v>
      </c>
      <c r="G871" s="3">
        <v>1</v>
      </c>
      <c r="H871" s="6">
        <f>IF('Settings'!$B$11="Scenario",ROUND(E871*G871*IFERROR(SUMIF('Pricing &amp; promotions'!$A$6:$A$8,L871,'Pricing &amp; promotions'!$B$6:$B$8)/100,0),2),J871)</f>
        <v>0.0</v>
      </c>
      <c r="I871" s="6">
        <f>ROUND((E871*G871-H871)/(1+'Settings'!$B$6/100),2)</f>
        <v>57.77</v>
      </c>
      <c r="J871" s="8">
        <v>0.0</v>
      </c>
      <c r="K871" s="3" t="inlineStr">
        <is>
          <t xml:space="preserve">TRUE</t>
        </is>
      </c>
      <c r="L871" s="3"/>
    </row>
    <row r="872">
      <c r="A872" s="3" t="inlineStr">
        <is>
          <t xml:space="preserve">#1643</t>
        </is>
      </c>
      <c r="B872" s="3" t="inlineStr">
        <is>
          <t xml:space="preserve">2026-07-21</t>
        </is>
      </c>
      <c r="C872" s="3" t="inlineStr">
        <is>
          <t xml:space="preserve">SKU-D</t>
        </is>
      </c>
      <c r="D872" s="3" t="inlineStr">
        <is>
          <t xml:space="preserve">Daily Duo</t>
        </is>
      </c>
      <c r="E872" s="6">
        <f>IF('Settings'!$B$11="Scenario",IFERROR(INDEX('Catalogue'!$E$3:$E$100,MATCH(C872,'Catalogue'!$B$3:$B$100,0)),F872),F872)</f>
        <v>79</v>
      </c>
      <c r="F872" s="8">
        <v>79</v>
      </c>
      <c r="G872" s="3">
        <v>1</v>
      </c>
      <c r="H872" s="6">
        <f>IF('Settings'!$B$11="Scenario",ROUND(E872*G872*IFERROR(SUMIF('Pricing &amp; promotions'!$A$6:$A$8,L872,'Pricing &amp; promotions'!$B$6:$B$8)/100,0),2),J872)</f>
        <v>0.0</v>
      </c>
      <c r="I872" s="6">
        <f>ROUND((E872*G872-H872)/(1+'Settings'!$B$6/100),2)</f>
        <v>65.29</v>
      </c>
      <c r="J872" s="8">
        <v>0.0</v>
      </c>
      <c r="K872" s="3" t="inlineStr">
        <is>
          <t xml:space="preserve">TRUE</t>
        </is>
      </c>
      <c r="L872" s="3"/>
    </row>
    <row r="873">
      <c r="A873" s="3" t="inlineStr">
        <is>
          <t xml:space="preserve">#1644</t>
        </is>
      </c>
      <c r="B873" s="3" t="inlineStr">
        <is>
          <t xml:space="preserve">2026-07-21</t>
        </is>
      </c>
      <c r="C873" s="3" t="inlineStr">
        <is>
          <t xml:space="preserve">SKU-B</t>
        </is>
      </c>
      <c r="D873" s="3" t="inlineStr">
        <is>
          <t xml:space="preserve">Barrier Balm</t>
        </is>
      </c>
      <c r="E873" s="6">
        <f>IF('Settings'!$B$11="Scenario",IFERROR(INDEX('Catalogue'!$E$3:$E$100,MATCH(C873,'Catalogue'!$B$3:$B$100,0)),F873),F873)</f>
        <v>19</v>
      </c>
      <c r="F873" s="8">
        <v>19</v>
      </c>
      <c r="G873" s="3">
        <v>1</v>
      </c>
      <c r="H873" s="6">
        <f>IF('Settings'!$B$11="Scenario",ROUND(E873*G873*IFERROR(SUMIF('Pricing &amp; promotions'!$A$6:$A$8,L873,'Pricing &amp; promotions'!$B$6:$B$8)/100,0),2),J873)</f>
        <v>0.0</v>
      </c>
      <c r="I873" s="6">
        <f>ROUND((E873*G873-H873)/(1+'Settings'!$B$6/100),2)</f>
        <v>15.7</v>
      </c>
      <c r="J873" s="8">
        <v>0.0</v>
      </c>
      <c r="K873" s="3" t="inlineStr">
        <is>
          <t xml:space="preserve">TRUE</t>
        </is>
      </c>
      <c r="L873" s="3"/>
    </row>
    <row r="874">
      <c r="A874" s="3" t="inlineStr">
        <is>
          <t xml:space="preserve">#1645</t>
        </is>
      </c>
      <c r="B874" s="3" t="inlineStr">
        <is>
          <t xml:space="preserve">2026-07-22</t>
        </is>
      </c>
      <c r="C874" s="3" t="inlineStr">
        <is>
          <t xml:space="preserve">SKU-E</t>
        </is>
      </c>
      <c r="D874" s="3" t="inlineStr">
        <is>
          <t xml:space="preserve">Complete Ritual</t>
        </is>
      </c>
      <c r="E874" s="6">
        <f>IF('Settings'!$B$11="Scenario",IFERROR(INDEX('Catalogue'!$E$3:$E$100,MATCH(C874,'Catalogue'!$B$3:$B$100,0)),F874),F874)</f>
        <v>89</v>
      </c>
      <c r="F874" s="8">
        <v>89</v>
      </c>
      <c r="G874" s="3">
        <v>2</v>
      </c>
      <c r="H874" s="6">
        <f>IF('Settings'!$B$11="Scenario",ROUND(E874*G874*IFERROR(SUMIF('Pricing &amp; promotions'!$A$6:$A$8,L874,'Pricing &amp; promotions'!$B$6:$B$8)/100,0),2),J874)</f>
        <v>26.7</v>
      </c>
      <c r="I874" s="6">
        <f>ROUND((E874*G874-H874)/(1+'Settings'!$B$6/100),2)</f>
        <v>125.04</v>
      </c>
      <c r="J874" s="8">
        <v>26.7</v>
      </c>
      <c r="K874" s="3" t="inlineStr">
        <is>
          <t xml:space="preserve">TRUE</t>
        </is>
      </c>
      <c r="L874" s="3" t="inlineStr">
        <is>
          <t xml:space="preserve">SUMMER15</t>
        </is>
      </c>
    </row>
    <row r="875">
      <c r="A875" s="3" t="inlineStr">
        <is>
          <t xml:space="preserve">#1646</t>
        </is>
      </c>
      <c r="B875" s="3" t="inlineStr">
        <is>
          <t xml:space="preserve">2026-07-23</t>
        </is>
      </c>
      <c r="C875" s="3" t="inlineStr">
        <is>
          <t xml:space="preserve">SKU-A</t>
        </is>
      </c>
      <c r="D875" s="3" t="inlineStr">
        <is>
          <t xml:space="preserve">Renewal Serum</t>
        </is>
      </c>
      <c r="E875" s="6">
        <f>IF('Settings'!$B$11="Scenario",IFERROR(INDEX('Catalogue'!$E$3:$E$100,MATCH(C875,'Catalogue'!$B$3:$B$100,0)),F875),F875)</f>
        <v>69.9</v>
      </c>
      <c r="F875" s="8">
        <v>69.9</v>
      </c>
      <c r="G875" s="3">
        <v>1</v>
      </c>
      <c r="H875" s="6">
        <f>IF('Settings'!$B$11="Scenario",ROUND(E875*G875*IFERROR(SUMIF('Pricing &amp; promotions'!$A$6:$A$8,L875,'Pricing &amp; promotions'!$B$6:$B$8)/100,0),2),J875)</f>
        <v>0.0</v>
      </c>
      <c r="I875" s="6">
        <f>ROUND((E875*G875-H875)/(1+'Settings'!$B$6/100),2)</f>
        <v>57.77</v>
      </c>
      <c r="J875" s="8">
        <v>0.0</v>
      </c>
      <c r="K875" s="3" t="inlineStr">
        <is>
          <t xml:space="preserve">TRUE</t>
        </is>
      </c>
      <c r="L875" s="3"/>
    </row>
    <row r="876">
      <c r="A876" s="3" t="inlineStr">
        <is>
          <t xml:space="preserve">#1647</t>
        </is>
      </c>
      <c r="B876" s="3" t="inlineStr">
        <is>
          <t xml:space="preserve">2026-07-23</t>
        </is>
      </c>
      <c r="C876" s="3" t="inlineStr">
        <is>
          <t xml:space="preserve">SKU-B</t>
        </is>
      </c>
      <c r="D876" s="3" t="inlineStr">
        <is>
          <t xml:space="preserve">Barrier Balm</t>
        </is>
      </c>
      <c r="E876" s="6">
        <f>IF('Settings'!$B$11="Scenario",IFERROR(INDEX('Catalogue'!$E$3:$E$100,MATCH(C876,'Catalogue'!$B$3:$B$100,0)),F876),F876)</f>
        <v>19</v>
      </c>
      <c r="F876" s="8">
        <v>19</v>
      </c>
      <c r="G876" s="3">
        <v>1</v>
      </c>
      <c r="H876" s="6">
        <f>IF('Settings'!$B$11="Scenario",ROUND(E876*G876*IFERROR(SUMIF('Pricing &amp; promotions'!$A$6:$A$8,L876,'Pricing &amp; promotions'!$B$6:$B$8)/100,0),2),J876)</f>
        <v>0.0</v>
      </c>
      <c r="I876" s="6">
        <f>ROUND((E876*G876-H876)/(1+'Settings'!$B$6/100),2)</f>
        <v>15.7</v>
      </c>
      <c r="J876" s="8">
        <v>0.0</v>
      </c>
      <c r="K876" s="3" t="inlineStr">
        <is>
          <t xml:space="preserve">TRUE</t>
        </is>
      </c>
      <c r="L876" s="3"/>
    </row>
    <row r="877">
      <c r="A877" s="3" t="inlineStr">
        <is>
          <t xml:space="preserve">#1647</t>
        </is>
      </c>
      <c r="B877" s="3" t="inlineStr">
        <is>
          <t xml:space="preserve">2026-07-23</t>
        </is>
      </c>
      <c r="C877" s="3" t="inlineStr">
        <is>
          <t xml:space="preserve">SKU-D</t>
        </is>
      </c>
      <c r="D877" s="3" t="inlineStr">
        <is>
          <t xml:space="preserve">Daily Duo</t>
        </is>
      </c>
      <c r="E877" s="6">
        <f>IF('Settings'!$B$11="Scenario",IFERROR(INDEX('Catalogue'!$E$3:$E$100,MATCH(C877,'Catalogue'!$B$3:$B$100,0)),F877),F877)</f>
        <v>79</v>
      </c>
      <c r="F877" s="8">
        <v>79</v>
      </c>
      <c r="G877" s="3">
        <v>1</v>
      </c>
      <c r="H877" s="6">
        <f>IF('Settings'!$B$11="Scenario",ROUND(E877*G877*IFERROR(SUMIF('Pricing &amp; promotions'!$A$6:$A$8,L877,'Pricing &amp; promotions'!$B$6:$B$8)/100,0),2),J877)</f>
        <v>0.0</v>
      </c>
      <c r="I877" s="6">
        <f>ROUND((E877*G877-H877)/(1+'Settings'!$B$6/100),2)</f>
        <v>65.29</v>
      </c>
      <c r="J877" s="8">
        <v>0.0</v>
      </c>
      <c r="K877" s="3" t="inlineStr">
        <is>
          <t xml:space="preserve">TRUE</t>
        </is>
      </c>
      <c r="L877" s="3"/>
    </row>
    <row r="878">
      <c r="A878" s="3" t="inlineStr">
        <is>
          <t xml:space="preserve">#1648</t>
        </is>
      </c>
      <c r="B878" s="3" t="inlineStr">
        <is>
          <t xml:space="preserve">2026-07-24</t>
        </is>
      </c>
      <c r="C878" s="3" t="inlineStr">
        <is>
          <t xml:space="preserve">SKU-D</t>
        </is>
      </c>
      <c r="D878" s="3" t="inlineStr">
        <is>
          <t xml:space="preserve">Daily Duo</t>
        </is>
      </c>
      <c r="E878" s="6">
        <f>IF('Settings'!$B$11="Scenario",IFERROR(INDEX('Catalogue'!$E$3:$E$100,MATCH(C878,'Catalogue'!$B$3:$B$100,0)),F878),F878)</f>
        <v>79</v>
      </c>
      <c r="F878" s="8">
        <v>79</v>
      </c>
      <c r="G878" s="3">
        <v>1</v>
      </c>
      <c r="H878" s="6">
        <f>IF('Settings'!$B$11="Scenario",ROUND(E878*G878*IFERROR(SUMIF('Pricing &amp; promotions'!$A$6:$A$8,L878,'Pricing &amp; promotions'!$B$6:$B$8)/100,0),2),J878)</f>
        <v>7.9</v>
      </c>
      <c r="I878" s="6">
        <f>ROUND((E878*G878-H878)/(1+'Settings'!$B$6/100),2)</f>
        <v>58.76</v>
      </c>
      <c r="J878" s="8">
        <v>7.9</v>
      </c>
      <c r="K878" s="3" t="inlineStr">
        <is>
          <t xml:space="preserve">TRUE</t>
        </is>
      </c>
      <c r="L878" s="3" t="inlineStr">
        <is>
          <t xml:space="preserve">WELCOME10</t>
        </is>
      </c>
    </row>
    <row r="879">
      <c r="A879" s="3" t="inlineStr">
        <is>
          <t xml:space="preserve">#1649</t>
        </is>
      </c>
      <c r="B879" s="3" t="inlineStr">
        <is>
          <t xml:space="preserve">2026-07-25</t>
        </is>
      </c>
      <c r="C879" s="3" t="inlineStr">
        <is>
          <t xml:space="preserve">SKU-G</t>
        </is>
      </c>
      <c r="D879" s="3" t="inlineStr">
        <is>
          <t xml:space="preserve">Daily Reset Set</t>
        </is>
      </c>
      <c r="E879" s="6">
        <f>IF('Settings'!$B$11="Scenario",IFERROR(INDEX('Catalogue'!$E$3:$E$100,MATCH(C879,'Catalogue'!$B$3:$B$100,0)),F879),F879)</f>
        <v>69</v>
      </c>
      <c r="F879" s="8">
        <v>69</v>
      </c>
      <c r="G879" s="3">
        <v>1</v>
      </c>
      <c r="H879" s="6">
        <f>IF('Settings'!$B$11="Scenario",ROUND(E879*G879*IFERROR(SUMIF('Pricing &amp; promotions'!$A$6:$A$8,L879,'Pricing &amp; promotions'!$B$6:$B$8)/100,0),2),J879)</f>
        <v>13.8</v>
      </c>
      <c r="I879" s="6">
        <f>ROUND((E879*G879-H879)/(1+'Settings'!$B$6/100),2)</f>
        <v>45.62</v>
      </c>
      <c r="J879" s="8">
        <v>13.8</v>
      </c>
      <c r="K879" s="3" t="inlineStr">
        <is>
          <t xml:space="preserve">TRUE</t>
        </is>
      </c>
      <c r="L879" s="3" t="inlineStr">
        <is>
          <t xml:space="preserve">VIP20</t>
        </is>
      </c>
    </row>
    <row r="880">
      <c r="A880" s="3" t="inlineStr">
        <is>
          <t xml:space="preserve">#1649</t>
        </is>
      </c>
      <c r="B880" s="3" t="inlineStr">
        <is>
          <t xml:space="preserve">2026-07-25</t>
        </is>
      </c>
      <c r="C880" s="3" t="inlineStr">
        <is>
          <t xml:space="preserve">SKU-A</t>
        </is>
      </c>
      <c r="D880" s="3" t="inlineStr">
        <is>
          <t xml:space="preserve">Renewal Serum</t>
        </is>
      </c>
      <c r="E880" s="6">
        <f>IF('Settings'!$B$11="Scenario",IFERROR(INDEX('Catalogue'!$E$3:$E$100,MATCH(C880,'Catalogue'!$B$3:$B$100,0)),F880),F880)</f>
        <v>69.9</v>
      </c>
      <c r="F880" s="8">
        <v>69.9</v>
      </c>
      <c r="G880" s="3">
        <v>1</v>
      </c>
      <c r="H880" s="6">
        <f>IF('Settings'!$B$11="Scenario",ROUND(E880*G880*IFERROR(SUMIF('Pricing &amp; promotions'!$A$6:$A$8,L880,'Pricing &amp; promotions'!$B$6:$B$8)/100,0),2),J880)</f>
        <v>13.98</v>
      </c>
      <c r="I880" s="6">
        <f>ROUND((E880*G880-H880)/(1+'Settings'!$B$6/100),2)</f>
        <v>46.21</v>
      </c>
      <c r="J880" s="8">
        <v>13.98</v>
      </c>
      <c r="K880" s="3" t="inlineStr">
        <is>
          <t xml:space="preserve">TRUE</t>
        </is>
      </c>
      <c r="L880" s="3" t="inlineStr">
        <is>
          <t xml:space="preserve">VIP20</t>
        </is>
      </c>
    </row>
    <row r="881">
      <c r="A881" s="3" t="inlineStr">
        <is>
          <t xml:space="preserve">#1650</t>
        </is>
      </c>
      <c r="B881" s="3" t="inlineStr">
        <is>
          <t xml:space="preserve">2026-07-25</t>
        </is>
      </c>
      <c r="C881" s="3" t="inlineStr">
        <is>
          <t xml:space="preserve">SKU-C</t>
        </is>
      </c>
      <c r="D881" s="3" t="inlineStr">
        <is>
          <t xml:space="preserve">Contour Stone</t>
        </is>
      </c>
      <c r="E881" s="6">
        <f>IF('Settings'!$B$11="Scenario",IFERROR(INDEX('Catalogue'!$E$3:$E$100,MATCH(C881,'Catalogue'!$B$3:$B$100,0)),F881),F881)</f>
        <v>29</v>
      </c>
      <c r="F881" s="8">
        <v>29</v>
      </c>
      <c r="G881" s="3">
        <v>1</v>
      </c>
      <c r="H881" s="6">
        <f>IF('Settings'!$B$11="Scenario",ROUND(E881*G881*IFERROR(SUMIF('Pricing &amp; promotions'!$A$6:$A$8,L881,'Pricing &amp; promotions'!$B$6:$B$8)/100,0),2),J881)</f>
        <v>0.0</v>
      </c>
      <c r="I881" s="6">
        <f>ROUND((E881*G881-H881)/(1+'Settings'!$B$6/100),2)</f>
        <v>23.97</v>
      </c>
      <c r="J881" s="8">
        <v>0.0</v>
      </c>
      <c r="K881" s="3" t="inlineStr">
        <is>
          <t xml:space="preserve">TRUE</t>
        </is>
      </c>
      <c r="L881" s="3"/>
    </row>
    <row r="882">
      <c r="A882" s="3" t="inlineStr">
        <is>
          <t xml:space="preserve">#1650</t>
        </is>
      </c>
      <c r="B882" s="3" t="inlineStr">
        <is>
          <t xml:space="preserve">2026-07-25</t>
        </is>
      </c>
      <c r="C882" s="3" t="inlineStr">
        <is>
          <t xml:space="preserve">SKU-E</t>
        </is>
      </c>
      <c r="D882" s="3" t="inlineStr">
        <is>
          <t xml:space="preserve">Complete Ritual</t>
        </is>
      </c>
      <c r="E882" s="6">
        <f>IF('Settings'!$B$11="Scenario",IFERROR(INDEX('Catalogue'!$E$3:$E$100,MATCH(C882,'Catalogue'!$B$3:$B$100,0)),F882),F882)</f>
        <v>89</v>
      </c>
      <c r="F882" s="8">
        <v>89</v>
      </c>
      <c r="G882" s="3">
        <v>1</v>
      </c>
      <c r="H882" s="6">
        <f>IF('Settings'!$B$11="Scenario",ROUND(E882*G882*IFERROR(SUMIF('Pricing &amp; promotions'!$A$6:$A$8,L882,'Pricing &amp; promotions'!$B$6:$B$8)/100,0),2),J882)</f>
        <v>0.0</v>
      </c>
      <c r="I882" s="6">
        <f>ROUND((E882*G882-H882)/(1+'Settings'!$B$6/100),2)</f>
        <v>73.55</v>
      </c>
      <c r="J882" s="8">
        <v>0.0</v>
      </c>
      <c r="K882" s="3" t="inlineStr">
        <is>
          <t xml:space="preserve">TRUE</t>
        </is>
      </c>
      <c r="L882" s="3"/>
    </row>
    <row r="883">
      <c r="A883" s="3" t="inlineStr">
        <is>
          <t xml:space="preserve">#1651</t>
        </is>
      </c>
      <c r="B883" s="3" t="inlineStr">
        <is>
          <t xml:space="preserve">2026-07-26</t>
        </is>
      </c>
      <c r="C883" s="3" t="inlineStr">
        <is>
          <t xml:space="preserve">SKU-A</t>
        </is>
      </c>
      <c r="D883" s="3" t="inlineStr">
        <is>
          <t xml:space="preserve">Renewal Serum</t>
        </is>
      </c>
      <c r="E883" s="6">
        <f>IF('Settings'!$B$11="Scenario",IFERROR(INDEX('Catalogue'!$E$3:$E$100,MATCH(C883,'Catalogue'!$B$3:$B$100,0)),F883),F883)</f>
        <v>69.9</v>
      </c>
      <c r="F883" s="8">
        <v>69.9</v>
      </c>
      <c r="G883" s="3">
        <v>2</v>
      </c>
      <c r="H883" s="6">
        <f>IF('Settings'!$B$11="Scenario",ROUND(E883*G883*IFERROR(SUMIF('Pricing &amp; promotions'!$A$6:$A$8,L883,'Pricing &amp; promotions'!$B$6:$B$8)/100,0),2),J883)</f>
        <v>0.0</v>
      </c>
      <c r="I883" s="6">
        <f>ROUND((E883*G883-H883)/(1+'Settings'!$B$6/100),2)</f>
        <v>115.54</v>
      </c>
      <c r="J883" s="8">
        <v>0.0</v>
      </c>
      <c r="K883" s="3" t="inlineStr">
        <is>
          <t xml:space="preserve">TRUE</t>
        </is>
      </c>
      <c r="L883" s="3"/>
    </row>
    <row r="884">
      <c r="A884" s="3" t="inlineStr">
        <is>
          <t xml:space="preserve">#1652</t>
        </is>
      </c>
      <c r="B884" s="3" t="inlineStr">
        <is>
          <t xml:space="preserve">2026-07-26</t>
        </is>
      </c>
      <c r="C884" s="3" t="inlineStr">
        <is>
          <t xml:space="preserve">SKU-A</t>
        </is>
      </c>
      <c r="D884" s="3" t="inlineStr">
        <is>
          <t xml:space="preserve">Renewal Serum</t>
        </is>
      </c>
      <c r="E884" s="6">
        <f>IF('Settings'!$B$11="Scenario",IFERROR(INDEX('Catalogue'!$E$3:$E$100,MATCH(C884,'Catalogue'!$B$3:$B$100,0)),F884),F884)</f>
        <v>69.9</v>
      </c>
      <c r="F884" s="8">
        <v>69.9</v>
      </c>
      <c r="G884" s="3">
        <v>1</v>
      </c>
      <c r="H884" s="6">
        <f>IF('Settings'!$B$11="Scenario",ROUND(E884*G884*IFERROR(SUMIF('Pricing &amp; promotions'!$A$6:$A$8,L884,'Pricing &amp; promotions'!$B$6:$B$8)/100,0),2),J884)</f>
        <v>0.0</v>
      </c>
      <c r="I884" s="6">
        <f>ROUND((E884*G884-H884)/(1+'Settings'!$B$6/100),2)</f>
        <v>57.77</v>
      </c>
      <c r="J884" s="8">
        <v>0.0</v>
      </c>
      <c r="K884" s="3" t="inlineStr">
        <is>
          <t xml:space="preserve">TRUE</t>
        </is>
      </c>
      <c r="L884" s="3"/>
    </row>
    <row r="885">
      <c r="A885" s="3" t="inlineStr">
        <is>
          <t xml:space="preserve">#1652</t>
        </is>
      </c>
      <c r="B885" s="3" t="inlineStr">
        <is>
          <t xml:space="preserve">2026-07-26</t>
        </is>
      </c>
      <c r="C885" s="3" t="inlineStr">
        <is>
          <t xml:space="preserve">SKU-D</t>
        </is>
      </c>
      <c r="D885" s="3" t="inlineStr">
        <is>
          <t xml:space="preserve">Daily Duo</t>
        </is>
      </c>
      <c r="E885" s="6">
        <f>IF('Settings'!$B$11="Scenario",IFERROR(INDEX('Catalogue'!$E$3:$E$100,MATCH(C885,'Catalogue'!$B$3:$B$100,0)),F885),F885)</f>
        <v>79</v>
      </c>
      <c r="F885" s="8">
        <v>79</v>
      </c>
      <c r="G885" s="3">
        <v>1</v>
      </c>
      <c r="H885" s="6">
        <f>IF('Settings'!$B$11="Scenario",ROUND(E885*G885*IFERROR(SUMIF('Pricing &amp; promotions'!$A$6:$A$8,L885,'Pricing &amp; promotions'!$B$6:$B$8)/100,0),2),J885)</f>
        <v>0.0</v>
      </c>
      <c r="I885" s="6">
        <f>ROUND((E885*G885-H885)/(1+'Settings'!$B$6/100),2)</f>
        <v>65.29</v>
      </c>
      <c r="J885" s="8">
        <v>0.0</v>
      </c>
      <c r="K885" s="3" t="inlineStr">
        <is>
          <t xml:space="preserve">TRUE</t>
        </is>
      </c>
      <c r="L885" s="3"/>
    </row>
    <row r="886">
      <c r="A886" s="3" t="inlineStr">
        <is>
          <t xml:space="preserve">#1653</t>
        </is>
      </c>
      <c r="B886" s="3" t="inlineStr">
        <is>
          <t xml:space="preserve">2026-07-28</t>
        </is>
      </c>
      <c r="C886" s="3" t="inlineStr">
        <is>
          <t xml:space="preserve">SKU-E</t>
        </is>
      </c>
      <c r="D886" s="3" t="inlineStr">
        <is>
          <t xml:space="preserve">Complete Ritual</t>
        </is>
      </c>
      <c r="E886" s="6">
        <f>IF('Settings'!$B$11="Scenario",IFERROR(INDEX('Catalogue'!$E$3:$E$100,MATCH(C886,'Catalogue'!$B$3:$B$100,0)),F886),F886)</f>
        <v>89</v>
      </c>
      <c r="F886" s="8">
        <v>89</v>
      </c>
      <c r="G886" s="3">
        <v>1</v>
      </c>
      <c r="H886" s="6">
        <f>IF('Settings'!$B$11="Scenario",ROUND(E886*G886*IFERROR(SUMIF('Pricing &amp; promotions'!$A$6:$A$8,L886,'Pricing &amp; promotions'!$B$6:$B$8)/100,0),2),J886)</f>
        <v>0.0</v>
      </c>
      <c r="I886" s="6">
        <f>ROUND((E886*G886-H886)/(1+'Settings'!$B$6/100),2)</f>
        <v>73.55</v>
      </c>
      <c r="J886" s="8">
        <v>0.0</v>
      </c>
      <c r="K886" s="3" t="inlineStr">
        <is>
          <t xml:space="preserve">TRUE</t>
        </is>
      </c>
      <c r="L886" s="3"/>
    </row>
    <row r="887">
      <c r="A887" s="3" t="inlineStr">
        <is>
          <t xml:space="preserve">#1654</t>
        </is>
      </c>
      <c r="B887" s="3" t="inlineStr">
        <is>
          <t xml:space="preserve">2026-07-28</t>
        </is>
      </c>
      <c r="C887" s="3" t="inlineStr">
        <is>
          <t xml:space="preserve">SKU-A</t>
        </is>
      </c>
      <c r="D887" s="3" t="inlineStr">
        <is>
          <t xml:space="preserve">Renewal Serum</t>
        </is>
      </c>
      <c r="E887" s="6">
        <f>IF('Settings'!$B$11="Scenario",IFERROR(INDEX('Catalogue'!$E$3:$E$100,MATCH(C887,'Catalogue'!$B$3:$B$100,0)),F887),F887)</f>
        <v>69.9</v>
      </c>
      <c r="F887" s="8">
        <v>69.9</v>
      </c>
      <c r="G887" s="3">
        <v>2</v>
      </c>
      <c r="H887" s="6">
        <f>IF('Settings'!$B$11="Scenario",ROUND(E887*G887*IFERROR(SUMIF('Pricing &amp; promotions'!$A$6:$A$8,L887,'Pricing &amp; promotions'!$B$6:$B$8)/100,0),2),J887)</f>
        <v>0.0</v>
      </c>
      <c r="I887" s="6">
        <f>ROUND((E887*G887-H887)/(1+'Settings'!$B$6/100),2)</f>
        <v>115.54</v>
      </c>
      <c r="J887" s="8">
        <v>0.0</v>
      </c>
      <c r="K887" s="3" t="inlineStr">
        <is>
          <t xml:space="preserve">TRUE</t>
        </is>
      </c>
      <c r="L887" s="3"/>
    </row>
    <row r="888">
      <c r="A888" s="3" t="inlineStr">
        <is>
          <t xml:space="preserve">#1655</t>
        </is>
      </c>
      <c r="B888" s="3" t="inlineStr">
        <is>
          <t xml:space="preserve">2026-07-29</t>
        </is>
      </c>
      <c r="C888" s="3" t="inlineStr">
        <is>
          <t xml:space="preserve">SKU-D</t>
        </is>
      </c>
      <c r="D888" s="3" t="inlineStr">
        <is>
          <t xml:space="preserve">Daily Duo</t>
        </is>
      </c>
      <c r="E888" s="6">
        <f>IF('Settings'!$B$11="Scenario",IFERROR(INDEX('Catalogue'!$E$3:$E$100,MATCH(C888,'Catalogue'!$B$3:$B$100,0)),F888),F888)</f>
        <v>79</v>
      </c>
      <c r="F888" s="8">
        <v>79</v>
      </c>
      <c r="G888" s="3">
        <v>1</v>
      </c>
      <c r="H888" s="6">
        <f>IF('Settings'!$B$11="Scenario",ROUND(E888*G888*IFERROR(SUMIF('Pricing &amp; promotions'!$A$6:$A$8,L888,'Pricing &amp; promotions'!$B$6:$B$8)/100,0),2),J888)</f>
        <v>0.0</v>
      </c>
      <c r="I888" s="6">
        <f>ROUND((E888*G888-H888)/(1+'Settings'!$B$6/100),2)</f>
        <v>65.29</v>
      </c>
      <c r="J888" s="8">
        <v>0.0</v>
      </c>
      <c r="K888" s="3" t="inlineStr">
        <is>
          <t xml:space="preserve">TRUE</t>
        </is>
      </c>
      <c r="L888" s="3"/>
    </row>
    <row r="889">
      <c r="A889" s="3" t="inlineStr">
        <is>
          <t xml:space="preserve">#1656</t>
        </is>
      </c>
      <c r="B889" s="3" t="inlineStr">
        <is>
          <t xml:space="preserve">2026-07-29</t>
        </is>
      </c>
      <c r="C889" s="3" t="inlineStr">
        <is>
          <t xml:space="preserve">SKU-A</t>
        </is>
      </c>
      <c r="D889" s="3" t="inlineStr">
        <is>
          <t xml:space="preserve">Renewal Serum</t>
        </is>
      </c>
      <c r="E889" s="6">
        <f>IF('Settings'!$B$11="Scenario",IFERROR(INDEX('Catalogue'!$E$3:$E$100,MATCH(C889,'Catalogue'!$B$3:$B$100,0)),F889),F889)</f>
        <v>69.9</v>
      </c>
      <c r="F889" s="8">
        <v>69.9</v>
      </c>
      <c r="G889" s="3">
        <v>1</v>
      </c>
      <c r="H889" s="6">
        <f>IF('Settings'!$B$11="Scenario",ROUND(E889*G889*IFERROR(SUMIF('Pricing &amp; promotions'!$A$6:$A$8,L889,'Pricing &amp; promotions'!$B$6:$B$8)/100,0),2),J889)</f>
        <v>10.49</v>
      </c>
      <c r="I889" s="6">
        <f>ROUND((E889*G889-H889)/(1+'Settings'!$B$6/100),2)</f>
        <v>49.1</v>
      </c>
      <c r="J889" s="8">
        <v>10.49</v>
      </c>
      <c r="K889" s="3" t="inlineStr">
        <is>
          <t xml:space="preserve">TRUE</t>
        </is>
      </c>
      <c r="L889" s="3" t="inlineStr">
        <is>
          <t xml:space="preserve">SUMMER15</t>
        </is>
      </c>
    </row>
    <row r="890">
      <c r="A890" s="3" t="inlineStr">
        <is>
          <t xml:space="preserve">#1656</t>
        </is>
      </c>
      <c r="B890" s="3" t="inlineStr">
        <is>
          <t xml:space="preserve">2026-07-29</t>
        </is>
      </c>
      <c r="C890" s="3" t="inlineStr">
        <is>
          <t xml:space="preserve">SKU-E</t>
        </is>
      </c>
      <c r="D890" s="3" t="inlineStr">
        <is>
          <t xml:space="preserve">Complete Ritual</t>
        </is>
      </c>
      <c r="E890" s="6">
        <f>IF('Settings'!$B$11="Scenario",IFERROR(INDEX('Catalogue'!$E$3:$E$100,MATCH(C890,'Catalogue'!$B$3:$B$100,0)),F890),F890)</f>
        <v>89</v>
      </c>
      <c r="F890" s="8">
        <v>89</v>
      </c>
      <c r="G890" s="3">
        <v>1</v>
      </c>
      <c r="H890" s="6">
        <f>IF('Settings'!$B$11="Scenario",ROUND(E890*G890*IFERROR(SUMIF('Pricing &amp; promotions'!$A$6:$A$8,L890,'Pricing &amp; promotions'!$B$6:$B$8)/100,0),2),J890)</f>
        <v>13.35</v>
      </c>
      <c r="I890" s="6">
        <f>ROUND((E890*G890-H890)/(1+'Settings'!$B$6/100),2)</f>
        <v>62.52</v>
      </c>
      <c r="J890" s="8">
        <v>13.35</v>
      </c>
      <c r="K890" s="3" t="inlineStr">
        <is>
          <t xml:space="preserve">TRUE</t>
        </is>
      </c>
      <c r="L890" s="3" t="inlineStr">
        <is>
          <t xml:space="preserve">SUMMER15</t>
        </is>
      </c>
    </row>
    <row r="891">
      <c r="A891" s="3" t="inlineStr">
        <is>
          <t xml:space="preserve">#1657</t>
        </is>
      </c>
      <c r="B891" s="3" t="inlineStr">
        <is>
          <t xml:space="preserve">2026-07-29</t>
        </is>
      </c>
      <c r="C891" s="3" t="inlineStr">
        <is>
          <t xml:space="preserve">SKU-E</t>
        </is>
      </c>
      <c r="D891" s="3" t="inlineStr">
        <is>
          <t xml:space="preserve">Complete Ritual</t>
        </is>
      </c>
      <c r="E891" s="6">
        <f>IF('Settings'!$B$11="Scenario",IFERROR(INDEX('Catalogue'!$E$3:$E$100,MATCH(C891,'Catalogue'!$B$3:$B$100,0)),F891),F891)</f>
        <v>89</v>
      </c>
      <c r="F891" s="8">
        <v>89</v>
      </c>
      <c r="G891" s="3">
        <v>1</v>
      </c>
      <c r="H891" s="6">
        <f>IF('Settings'!$B$11="Scenario",ROUND(E891*G891*IFERROR(SUMIF('Pricing &amp; promotions'!$A$6:$A$8,L891,'Pricing &amp; promotions'!$B$6:$B$8)/100,0),2),J891)</f>
        <v>8.9</v>
      </c>
      <c r="I891" s="6">
        <f>ROUND((E891*G891-H891)/(1+'Settings'!$B$6/100),2)</f>
        <v>66.2</v>
      </c>
      <c r="J891" s="8">
        <v>8.9</v>
      </c>
      <c r="K891" s="3" t="inlineStr">
        <is>
          <t xml:space="preserve">TRUE</t>
        </is>
      </c>
      <c r="L891" s="3" t="inlineStr">
        <is>
          <t xml:space="preserve">WELCOME10</t>
        </is>
      </c>
    </row>
    <row r="892">
      <c r="A892" s="3" t="inlineStr">
        <is>
          <t xml:space="preserve">#1658</t>
        </is>
      </c>
      <c r="B892" s="3" t="inlineStr">
        <is>
          <t xml:space="preserve">2026-07-30</t>
        </is>
      </c>
      <c r="C892" s="3" t="inlineStr">
        <is>
          <t xml:space="preserve">SKU-G</t>
        </is>
      </c>
      <c r="D892" s="3" t="inlineStr">
        <is>
          <t xml:space="preserve">Daily Reset Set</t>
        </is>
      </c>
      <c r="E892" s="6">
        <f>IF('Settings'!$B$11="Scenario",IFERROR(INDEX('Catalogue'!$E$3:$E$100,MATCH(C892,'Catalogue'!$B$3:$B$100,0)),F892),F892)</f>
        <v>69</v>
      </c>
      <c r="F892" s="8">
        <v>69</v>
      </c>
      <c r="G892" s="3">
        <v>2</v>
      </c>
      <c r="H892" s="6">
        <f>IF('Settings'!$B$11="Scenario",ROUND(E892*G892*IFERROR(SUMIF('Pricing &amp; promotions'!$A$6:$A$8,L892,'Pricing &amp; promotions'!$B$6:$B$8)/100,0),2),J892)</f>
        <v>0.0</v>
      </c>
      <c r="I892" s="6">
        <f>ROUND((E892*G892-H892)/(1+'Settings'!$B$6/100),2)</f>
        <v>114.05</v>
      </c>
      <c r="J892" s="8">
        <v>0.0</v>
      </c>
      <c r="K892" s="3" t="inlineStr">
        <is>
          <t xml:space="preserve">TRUE</t>
        </is>
      </c>
      <c r="L892" s="3"/>
    </row>
    <row r="893">
      <c r="A893" s="3" t="inlineStr">
        <is>
          <t xml:space="preserve">#1659</t>
        </is>
      </c>
      <c r="B893" s="3" t="inlineStr">
        <is>
          <t xml:space="preserve">2026-07-30</t>
        </is>
      </c>
      <c r="C893" s="3" t="inlineStr">
        <is>
          <t xml:space="preserve">SKU-E</t>
        </is>
      </c>
      <c r="D893" s="3" t="inlineStr">
        <is>
          <t xml:space="preserve">Complete Ritual</t>
        </is>
      </c>
      <c r="E893" s="6">
        <f>IF('Settings'!$B$11="Scenario",IFERROR(INDEX('Catalogue'!$E$3:$E$100,MATCH(C893,'Catalogue'!$B$3:$B$100,0)),F893),F893)</f>
        <v>89</v>
      </c>
      <c r="F893" s="8">
        <v>89</v>
      </c>
      <c r="G893" s="3">
        <v>1</v>
      </c>
      <c r="H893" s="6">
        <f>IF('Settings'!$B$11="Scenario",ROUND(E893*G893*IFERROR(SUMIF('Pricing &amp; promotions'!$A$6:$A$8,L893,'Pricing &amp; promotions'!$B$6:$B$8)/100,0),2),J893)</f>
        <v>0.0</v>
      </c>
      <c r="I893" s="6">
        <f>ROUND((E893*G893-H893)/(1+'Settings'!$B$6/100),2)</f>
        <v>73.55</v>
      </c>
      <c r="J893" s="8">
        <v>0.0</v>
      </c>
      <c r="K893" s="3" t="inlineStr">
        <is>
          <t xml:space="preserve">TRUE</t>
        </is>
      </c>
      <c r="L893" s="3"/>
    </row>
    <row r="894">
      <c r="A894" s="3" t="inlineStr">
        <is>
          <t xml:space="preserve">#1660</t>
        </is>
      </c>
      <c r="B894" s="3" t="inlineStr">
        <is>
          <t xml:space="preserve">2026-07-31</t>
        </is>
      </c>
      <c r="C894" s="3" t="inlineStr">
        <is>
          <t xml:space="preserve">SKU-A</t>
        </is>
      </c>
      <c r="D894" s="3" t="inlineStr">
        <is>
          <t xml:space="preserve">Renewal Serum</t>
        </is>
      </c>
      <c r="E894" s="6">
        <f>IF('Settings'!$B$11="Scenario",IFERROR(INDEX('Catalogue'!$E$3:$E$100,MATCH(C894,'Catalogue'!$B$3:$B$100,0)),F894),F894)</f>
        <v>69.9</v>
      </c>
      <c r="F894" s="8">
        <v>69.9</v>
      </c>
      <c r="G894" s="3">
        <v>1</v>
      </c>
      <c r="H894" s="6">
        <f>IF('Settings'!$B$11="Scenario",ROUND(E894*G894*IFERROR(SUMIF('Pricing &amp; promotions'!$A$6:$A$8,L894,'Pricing &amp; promotions'!$B$6:$B$8)/100,0),2),J894)</f>
        <v>0.0</v>
      </c>
      <c r="I894" s="6">
        <f>ROUND((E894*G894-H894)/(1+'Settings'!$B$6/100),2)</f>
        <v>57.77</v>
      </c>
      <c r="J894" s="8">
        <v>0.0</v>
      </c>
      <c r="K894" s="3" t="inlineStr">
        <is>
          <t xml:space="preserve">TRUE</t>
        </is>
      </c>
      <c r="L894" s="3"/>
    </row>
    <row r="895">
      <c r="A895" s="3" t="inlineStr">
        <is>
          <t xml:space="preserve">#1660</t>
        </is>
      </c>
      <c r="B895" s="3" t="inlineStr">
        <is>
          <t xml:space="preserve">2026-07-31</t>
        </is>
      </c>
      <c r="C895" s="3" t="inlineStr">
        <is>
          <t xml:space="preserve">SKU-F</t>
        </is>
      </c>
      <c r="D895" s="3" t="inlineStr">
        <is>
          <t xml:space="preserve">Cloud Cleanser</t>
        </is>
      </c>
      <c r="E895" s="6">
        <f>IF('Settings'!$B$11="Scenario",IFERROR(INDEX('Catalogue'!$E$3:$E$100,MATCH(C895,'Catalogue'!$B$3:$B$100,0)),F895),F895)</f>
        <v>34</v>
      </c>
      <c r="F895" s="8">
        <v>34</v>
      </c>
      <c r="G895" s="3">
        <v>2</v>
      </c>
      <c r="H895" s="6">
        <f>IF('Settings'!$B$11="Scenario",ROUND(E895*G895*IFERROR(SUMIF('Pricing &amp; promotions'!$A$6:$A$8,L895,'Pricing &amp; promotions'!$B$6:$B$8)/100,0),2),J895)</f>
        <v>0.0</v>
      </c>
      <c r="I895" s="6">
        <f>ROUND((E895*G895-H895)/(1+'Settings'!$B$6/100),2)</f>
        <v>56.2</v>
      </c>
      <c r="J895" s="8">
        <v>0.0</v>
      </c>
      <c r="K895" s="3" t="inlineStr">
        <is>
          <t xml:space="preserve">TRUE</t>
        </is>
      </c>
      <c r="L895" s="3"/>
    </row>
    <row r="896">
      <c r="A896" s="3" t="inlineStr">
        <is>
          <t xml:space="preserve">#1661</t>
        </is>
      </c>
      <c r="B896" s="3" t="inlineStr">
        <is>
          <t xml:space="preserve">2026-08-01</t>
        </is>
      </c>
      <c r="C896" s="3" t="inlineStr">
        <is>
          <t xml:space="preserve">SKU-D</t>
        </is>
      </c>
      <c r="D896" s="3" t="inlineStr">
        <is>
          <t xml:space="preserve">Daily Duo</t>
        </is>
      </c>
      <c r="E896" s="6">
        <f>IF('Settings'!$B$11="Scenario",IFERROR(INDEX('Catalogue'!$E$3:$E$100,MATCH(C896,'Catalogue'!$B$3:$B$100,0)),F896),F896)</f>
        <v>79</v>
      </c>
      <c r="F896" s="8">
        <v>79</v>
      </c>
      <c r="G896" s="3">
        <v>1</v>
      </c>
      <c r="H896" s="6">
        <f>IF('Settings'!$B$11="Scenario",ROUND(E896*G896*IFERROR(SUMIF('Pricing &amp; promotions'!$A$6:$A$8,L896,'Pricing &amp; promotions'!$B$6:$B$8)/100,0),2),J896)</f>
        <v>7.9</v>
      </c>
      <c r="I896" s="6">
        <f>ROUND((E896*G896-H896)/(1+'Settings'!$B$6/100),2)</f>
        <v>58.76</v>
      </c>
      <c r="J896" s="8">
        <v>7.9</v>
      </c>
      <c r="K896" s="3" t="inlineStr">
        <is>
          <t xml:space="preserve">TRUE</t>
        </is>
      </c>
      <c r="L896" s="3" t="inlineStr">
        <is>
          <t xml:space="preserve">WELCOME10</t>
        </is>
      </c>
    </row>
    <row r="897">
      <c r="A897" s="3" t="inlineStr">
        <is>
          <t xml:space="preserve">#1662</t>
        </is>
      </c>
      <c r="B897" s="3" t="inlineStr">
        <is>
          <t xml:space="preserve">2026-08-01</t>
        </is>
      </c>
      <c r="C897" s="3" t="inlineStr">
        <is>
          <t xml:space="preserve">SKU-G</t>
        </is>
      </c>
      <c r="D897" s="3" t="inlineStr">
        <is>
          <t xml:space="preserve">Daily Reset Set</t>
        </is>
      </c>
      <c r="E897" s="6">
        <f>IF('Settings'!$B$11="Scenario",IFERROR(INDEX('Catalogue'!$E$3:$E$100,MATCH(C897,'Catalogue'!$B$3:$B$100,0)),F897),F897)</f>
        <v>69</v>
      </c>
      <c r="F897" s="8">
        <v>69</v>
      </c>
      <c r="G897" s="3">
        <v>1</v>
      </c>
      <c r="H897" s="6">
        <f>IF('Settings'!$B$11="Scenario",ROUND(E897*G897*IFERROR(SUMIF('Pricing &amp; promotions'!$A$6:$A$8,L897,'Pricing &amp; promotions'!$B$6:$B$8)/100,0),2),J897)</f>
        <v>0.0</v>
      </c>
      <c r="I897" s="6">
        <f>ROUND((E897*G897-H897)/(1+'Settings'!$B$6/100),2)</f>
        <v>57.02</v>
      </c>
      <c r="J897" s="8">
        <v>0.0</v>
      </c>
      <c r="K897" s="3" t="inlineStr">
        <is>
          <t xml:space="preserve">TRUE</t>
        </is>
      </c>
      <c r="L897" s="3"/>
    </row>
    <row r="898">
      <c r="A898" s="3" t="inlineStr">
        <is>
          <t xml:space="preserve">#1662</t>
        </is>
      </c>
      <c r="B898" s="3" t="inlineStr">
        <is>
          <t xml:space="preserve">2026-08-01</t>
        </is>
      </c>
      <c r="C898" s="3" t="inlineStr">
        <is>
          <t xml:space="preserve">SKU-D</t>
        </is>
      </c>
      <c r="D898" s="3" t="inlineStr">
        <is>
          <t xml:space="preserve">Daily Duo</t>
        </is>
      </c>
      <c r="E898" s="6">
        <f>IF('Settings'!$B$11="Scenario",IFERROR(INDEX('Catalogue'!$E$3:$E$100,MATCH(C898,'Catalogue'!$B$3:$B$100,0)),F898),F898)</f>
        <v>79</v>
      </c>
      <c r="F898" s="8">
        <v>79</v>
      </c>
      <c r="G898" s="3">
        <v>1</v>
      </c>
      <c r="H898" s="6">
        <f>IF('Settings'!$B$11="Scenario",ROUND(E898*G898*IFERROR(SUMIF('Pricing &amp; promotions'!$A$6:$A$8,L898,'Pricing &amp; promotions'!$B$6:$B$8)/100,0),2),J898)</f>
        <v>0.0</v>
      </c>
      <c r="I898" s="6">
        <f>ROUND((E898*G898-H898)/(1+'Settings'!$B$6/100),2)</f>
        <v>65.29</v>
      </c>
      <c r="J898" s="8">
        <v>0.0</v>
      </c>
      <c r="K898" s="3" t="inlineStr">
        <is>
          <t xml:space="preserve">TRUE</t>
        </is>
      </c>
      <c r="L898" s="3"/>
    </row>
    <row r="899">
      <c r="A899" s="3" t="inlineStr">
        <is>
          <t xml:space="preserve">#1663</t>
        </is>
      </c>
      <c r="B899" s="3" t="inlineStr">
        <is>
          <t xml:space="preserve">2026-08-01</t>
        </is>
      </c>
      <c r="C899" s="3" t="inlineStr">
        <is>
          <t xml:space="preserve">SKU-E</t>
        </is>
      </c>
      <c r="D899" s="3" t="inlineStr">
        <is>
          <t xml:space="preserve">Complete Ritual</t>
        </is>
      </c>
      <c r="E899" s="6">
        <f>IF('Settings'!$B$11="Scenario",IFERROR(INDEX('Catalogue'!$E$3:$E$100,MATCH(C899,'Catalogue'!$B$3:$B$100,0)),F899),F899)</f>
        <v>89</v>
      </c>
      <c r="F899" s="8">
        <v>89</v>
      </c>
      <c r="G899" s="3">
        <v>1</v>
      </c>
      <c r="H899" s="6">
        <f>IF('Settings'!$B$11="Scenario",ROUND(E899*G899*IFERROR(SUMIF('Pricing &amp; promotions'!$A$6:$A$8,L899,'Pricing &amp; promotions'!$B$6:$B$8)/100,0),2),J899)</f>
        <v>0.0</v>
      </c>
      <c r="I899" s="6">
        <f>ROUND((E899*G899-H899)/(1+'Settings'!$B$6/100),2)</f>
        <v>73.55</v>
      </c>
      <c r="J899" s="8">
        <v>0.0</v>
      </c>
      <c r="K899" s="3" t="inlineStr">
        <is>
          <t xml:space="preserve">TRUE</t>
        </is>
      </c>
      <c r="L899" s="3"/>
    </row>
    <row r="900">
      <c r="A900" s="3" t="inlineStr">
        <is>
          <t xml:space="preserve">#1664</t>
        </is>
      </c>
      <c r="B900" s="3" t="inlineStr">
        <is>
          <t xml:space="preserve">2026-08-02</t>
        </is>
      </c>
      <c r="C900" s="3" t="inlineStr">
        <is>
          <t xml:space="preserve">SKU-F</t>
        </is>
      </c>
      <c r="D900" s="3" t="inlineStr">
        <is>
          <t xml:space="preserve">Cloud Cleanser</t>
        </is>
      </c>
      <c r="E900" s="6">
        <f>IF('Settings'!$B$11="Scenario",IFERROR(INDEX('Catalogue'!$E$3:$E$100,MATCH(C900,'Catalogue'!$B$3:$B$100,0)),F900),F900)</f>
        <v>34</v>
      </c>
      <c r="F900" s="8">
        <v>34</v>
      </c>
      <c r="G900" s="3">
        <v>1</v>
      </c>
      <c r="H900" s="6">
        <f>IF('Settings'!$B$11="Scenario",ROUND(E900*G900*IFERROR(SUMIF('Pricing &amp; promotions'!$A$6:$A$8,L900,'Pricing &amp; promotions'!$B$6:$B$8)/100,0),2),J900)</f>
        <v>0.0</v>
      </c>
      <c r="I900" s="6">
        <f>ROUND((E900*G900-H900)/(1+'Settings'!$B$6/100),2)</f>
        <v>28.1</v>
      </c>
      <c r="J900" s="8">
        <v>0.0</v>
      </c>
      <c r="K900" s="3" t="inlineStr">
        <is>
          <t xml:space="preserve">TRUE</t>
        </is>
      </c>
      <c r="L900" s="3"/>
    </row>
    <row r="901">
      <c r="A901" s="3" t="inlineStr">
        <is>
          <t xml:space="preserve">#1665</t>
        </is>
      </c>
      <c r="B901" s="3" t="inlineStr">
        <is>
          <t xml:space="preserve">2026-08-04</t>
        </is>
      </c>
      <c r="C901" s="3" t="inlineStr">
        <is>
          <t xml:space="preserve">SKU-B</t>
        </is>
      </c>
      <c r="D901" s="3" t="inlineStr">
        <is>
          <t xml:space="preserve">Barrier Balm</t>
        </is>
      </c>
      <c r="E901" s="6">
        <f>IF('Settings'!$B$11="Scenario",IFERROR(INDEX('Catalogue'!$E$3:$E$100,MATCH(C901,'Catalogue'!$B$3:$B$100,0)),F901),F901)</f>
        <v>19</v>
      </c>
      <c r="F901" s="8">
        <v>19</v>
      </c>
      <c r="G901" s="3">
        <v>1</v>
      </c>
      <c r="H901" s="6">
        <f>IF('Settings'!$B$11="Scenario",ROUND(E901*G901*IFERROR(SUMIF('Pricing &amp; promotions'!$A$6:$A$8,L901,'Pricing &amp; promotions'!$B$6:$B$8)/100,0),2),J901)</f>
        <v>2.85</v>
      </c>
      <c r="I901" s="6">
        <f>ROUND((E901*G901-H901)/(1+'Settings'!$B$6/100),2)</f>
        <v>13.35</v>
      </c>
      <c r="J901" s="8">
        <v>2.85</v>
      </c>
      <c r="K901" s="3" t="inlineStr">
        <is>
          <t xml:space="preserve">TRUE</t>
        </is>
      </c>
      <c r="L901" s="3" t="inlineStr">
        <is>
          <t xml:space="preserve">SUMMER15</t>
        </is>
      </c>
    </row>
    <row r="902">
      <c r="A902" s="3" t="inlineStr">
        <is>
          <t xml:space="preserve">#1666</t>
        </is>
      </c>
      <c r="B902" s="3" t="inlineStr">
        <is>
          <t xml:space="preserve">2026-08-05</t>
        </is>
      </c>
      <c r="C902" s="3" t="inlineStr">
        <is>
          <t xml:space="preserve">SKU-F</t>
        </is>
      </c>
      <c r="D902" s="3" t="inlineStr">
        <is>
          <t xml:space="preserve">Cloud Cleanser</t>
        </is>
      </c>
      <c r="E902" s="6">
        <f>IF('Settings'!$B$11="Scenario",IFERROR(INDEX('Catalogue'!$E$3:$E$100,MATCH(C902,'Catalogue'!$B$3:$B$100,0)),F902),F902)</f>
        <v>34</v>
      </c>
      <c r="F902" s="8">
        <v>34</v>
      </c>
      <c r="G902" s="3">
        <v>1</v>
      </c>
      <c r="H902" s="6">
        <f>IF('Settings'!$B$11="Scenario",ROUND(E902*G902*IFERROR(SUMIF('Pricing &amp; promotions'!$A$6:$A$8,L902,'Pricing &amp; promotions'!$B$6:$B$8)/100,0),2),J902)</f>
        <v>6.8</v>
      </c>
      <c r="I902" s="6">
        <f>ROUND((E902*G902-H902)/(1+'Settings'!$B$6/100),2)</f>
        <v>22.48</v>
      </c>
      <c r="J902" s="8">
        <v>6.8</v>
      </c>
      <c r="K902" s="3" t="inlineStr">
        <is>
          <t xml:space="preserve">TRUE</t>
        </is>
      </c>
      <c r="L902" s="3" t="inlineStr">
        <is>
          <t xml:space="preserve">VIP20</t>
        </is>
      </c>
    </row>
    <row r="903">
      <c r="A903" s="3" t="inlineStr">
        <is>
          <t xml:space="preserve">#1667</t>
        </is>
      </c>
      <c r="B903" s="3" t="inlineStr">
        <is>
          <t xml:space="preserve">2026-08-05</t>
        </is>
      </c>
      <c r="C903" s="3" t="inlineStr">
        <is>
          <t xml:space="preserve">SKU-D</t>
        </is>
      </c>
      <c r="D903" s="3" t="inlineStr">
        <is>
          <t xml:space="preserve">Daily Duo</t>
        </is>
      </c>
      <c r="E903" s="6">
        <f>IF('Settings'!$B$11="Scenario",IFERROR(INDEX('Catalogue'!$E$3:$E$100,MATCH(C903,'Catalogue'!$B$3:$B$100,0)),F903),F903)</f>
        <v>79</v>
      </c>
      <c r="F903" s="8">
        <v>79</v>
      </c>
      <c r="G903" s="3">
        <v>2</v>
      </c>
      <c r="H903" s="6">
        <f>IF('Settings'!$B$11="Scenario",ROUND(E903*G903*IFERROR(SUMIF('Pricing &amp; promotions'!$A$6:$A$8,L903,'Pricing &amp; promotions'!$B$6:$B$8)/100,0),2),J903)</f>
        <v>15.8</v>
      </c>
      <c r="I903" s="6">
        <f>ROUND((E903*G903-H903)/(1+'Settings'!$B$6/100),2)</f>
        <v>117.52</v>
      </c>
      <c r="J903" s="8">
        <v>15.8</v>
      </c>
      <c r="K903" s="3" t="inlineStr">
        <is>
          <t xml:space="preserve">TRUE</t>
        </is>
      </c>
      <c r="L903" s="3" t="inlineStr">
        <is>
          <t xml:space="preserve">WELCOME10</t>
        </is>
      </c>
    </row>
    <row r="904">
      <c r="A904" s="3" t="inlineStr">
        <is>
          <t xml:space="preserve">#1667</t>
        </is>
      </c>
      <c r="B904" s="3" t="inlineStr">
        <is>
          <t xml:space="preserve">2026-08-05</t>
        </is>
      </c>
      <c r="C904" s="3" t="inlineStr">
        <is>
          <t xml:space="preserve">SKU-E</t>
        </is>
      </c>
      <c r="D904" s="3" t="inlineStr">
        <is>
          <t xml:space="preserve">Complete Ritual</t>
        </is>
      </c>
      <c r="E904" s="6">
        <f>IF('Settings'!$B$11="Scenario",IFERROR(INDEX('Catalogue'!$E$3:$E$100,MATCH(C904,'Catalogue'!$B$3:$B$100,0)),F904),F904)</f>
        <v>89</v>
      </c>
      <c r="F904" s="8">
        <v>89</v>
      </c>
      <c r="G904" s="3">
        <v>1</v>
      </c>
      <c r="H904" s="6">
        <f>IF('Settings'!$B$11="Scenario",ROUND(E904*G904*IFERROR(SUMIF('Pricing &amp; promotions'!$A$6:$A$8,L904,'Pricing &amp; promotions'!$B$6:$B$8)/100,0),2),J904)</f>
        <v>8.9</v>
      </c>
      <c r="I904" s="6">
        <f>ROUND((E904*G904-H904)/(1+'Settings'!$B$6/100),2)</f>
        <v>66.2</v>
      </c>
      <c r="J904" s="8">
        <v>8.9</v>
      </c>
      <c r="K904" s="3" t="inlineStr">
        <is>
          <t xml:space="preserve">TRUE</t>
        </is>
      </c>
      <c r="L904" s="3" t="inlineStr">
        <is>
          <t xml:space="preserve">WELCOME10</t>
        </is>
      </c>
    </row>
    <row r="905">
      <c r="A905" s="3" t="inlineStr">
        <is>
          <t xml:space="preserve">#1667</t>
        </is>
      </c>
      <c r="B905" s="3" t="inlineStr">
        <is>
          <t xml:space="preserve">2026-08-05</t>
        </is>
      </c>
      <c r="C905" s="3" t="inlineStr">
        <is>
          <t xml:space="preserve">SKU-A</t>
        </is>
      </c>
      <c r="D905" s="3" t="inlineStr">
        <is>
          <t xml:space="preserve">Renewal Serum</t>
        </is>
      </c>
      <c r="E905" s="6">
        <f>IF('Settings'!$B$11="Scenario",IFERROR(INDEX('Catalogue'!$E$3:$E$100,MATCH(C905,'Catalogue'!$B$3:$B$100,0)),F905),F905)</f>
        <v>69.9</v>
      </c>
      <c r="F905" s="8">
        <v>69.9</v>
      </c>
      <c r="G905" s="3">
        <v>1</v>
      </c>
      <c r="H905" s="6">
        <f>IF('Settings'!$B$11="Scenario",ROUND(E905*G905*IFERROR(SUMIF('Pricing &amp; promotions'!$A$6:$A$8,L905,'Pricing &amp; promotions'!$B$6:$B$8)/100,0),2),J905)</f>
        <v>6.99</v>
      </c>
      <c r="I905" s="6">
        <f>ROUND((E905*G905-H905)/(1+'Settings'!$B$6/100),2)</f>
        <v>51.99</v>
      </c>
      <c r="J905" s="8">
        <v>6.99</v>
      </c>
      <c r="K905" s="3" t="inlineStr">
        <is>
          <t xml:space="preserve">TRUE</t>
        </is>
      </c>
      <c r="L905" s="3" t="inlineStr">
        <is>
          <t xml:space="preserve">WELCOME10</t>
        </is>
      </c>
    </row>
    <row r="906">
      <c r="A906" s="3" t="inlineStr">
        <is>
          <t xml:space="preserve">#1668</t>
        </is>
      </c>
      <c r="B906" s="3" t="inlineStr">
        <is>
          <t xml:space="preserve">2026-08-07</t>
        </is>
      </c>
      <c r="C906" s="3" t="inlineStr">
        <is>
          <t xml:space="preserve">SKU-D</t>
        </is>
      </c>
      <c r="D906" s="3" t="inlineStr">
        <is>
          <t xml:space="preserve">Daily Duo</t>
        </is>
      </c>
      <c r="E906" s="6">
        <f>IF('Settings'!$B$11="Scenario",IFERROR(INDEX('Catalogue'!$E$3:$E$100,MATCH(C906,'Catalogue'!$B$3:$B$100,0)),F906),F906)</f>
        <v>79</v>
      </c>
      <c r="F906" s="8">
        <v>79</v>
      </c>
      <c r="G906" s="3">
        <v>1</v>
      </c>
      <c r="H906" s="6">
        <f>IF('Settings'!$B$11="Scenario",ROUND(E906*G906*IFERROR(SUMIF('Pricing &amp; promotions'!$A$6:$A$8,L906,'Pricing &amp; promotions'!$B$6:$B$8)/100,0),2),J906)</f>
        <v>0.0</v>
      </c>
      <c r="I906" s="6">
        <f>ROUND((E906*G906-H906)/(1+'Settings'!$B$6/100),2)</f>
        <v>65.29</v>
      </c>
      <c r="J906" s="8">
        <v>0.0</v>
      </c>
      <c r="K906" s="3" t="inlineStr">
        <is>
          <t xml:space="preserve">TRUE</t>
        </is>
      </c>
      <c r="L906" s="3"/>
    </row>
    <row r="907">
      <c r="A907" s="3" t="inlineStr">
        <is>
          <t xml:space="preserve">#1668</t>
        </is>
      </c>
      <c r="B907" s="3" t="inlineStr">
        <is>
          <t xml:space="preserve">2026-08-07</t>
        </is>
      </c>
      <c r="C907" s="3" t="inlineStr">
        <is>
          <t xml:space="preserve">SKU-F</t>
        </is>
      </c>
      <c r="D907" s="3" t="inlineStr">
        <is>
          <t xml:space="preserve">Cloud Cleanser</t>
        </is>
      </c>
      <c r="E907" s="6">
        <f>IF('Settings'!$B$11="Scenario",IFERROR(INDEX('Catalogue'!$E$3:$E$100,MATCH(C907,'Catalogue'!$B$3:$B$100,0)),F907),F907)</f>
        <v>34</v>
      </c>
      <c r="F907" s="8">
        <v>34</v>
      </c>
      <c r="G907" s="3">
        <v>1</v>
      </c>
      <c r="H907" s="6">
        <f>IF('Settings'!$B$11="Scenario",ROUND(E907*G907*IFERROR(SUMIF('Pricing &amp; promotions'!$A$6:$A$8,L907,'Pricing &amp; promotions'!$B$6:$B$8)/100,0),2),J907)</f>
        <v>0.0</v>
      </c>
      <c r="I907" s="6">
        <f>ROUND((E907*G907-H907)/(1+'Settings'!$B$6/100),2)</f>
        <v>28.1</v>
      </c>
      <c r="J907" s="8">
        <v>0.0</v>
      </c>
      <c r="K907" s="3" t="inlineStr">
        <is>
          <t xml:space="preserve">TRUE</t>
        </is>
      </c>
      <c r="L907" s="3"/>
    </row>
    <row r="908">
      <c r="A908" s="3" t="inlineStr">
        <is>
          <t xml:space="preserve">#1669</t>
        </is>
      </c>
      <c r="B908" s="3" t="inlineStr">
        <is>
          <t xml:space="preserve">2026-08-07</t>
        </is>
      </c>
      <c r="C908" s="3" t="inlineStr">
        <is>
          <t xml:space="preserve">SKU-E</t>
        </is>
      </c>
      <c r="D908" s="3" t="inlineStr">
        <is>
          <t xml:space="preserve">Complete Ritual</t>
        </is>
      </c>
      <c r="E908" s="6">
        <f>IF('Settings'!$B$11="Scenario",IFERROR(INDEX('Catalogue'!$E$3:$E$100,MATCH(C908,'Catalogue'!$B$3:$B$100,0)),F908),F908)</f>
        <v>89</v>
      </c>
      <c r="F908" s="8">
        <v>89</v>
      </c>
      <c r="G908" s="3">
        <v>1</v>
      </c>
      <c r="H908" s="6">
        <f>IF('Settings'!$B$11="Scenario",ROUND(E908*G908*IFERROR(SUMIF('Pricing &amp; promotions'!$A$6:$A$8,L908,'Pricing &amp; promotions'!$B$6:$B$8)/100,0),2),J908)</f>
        <v>8.9</v>
      </c>
      <c r="I908" s="6">
        <f>ROUND((E908*G908-H908)/(1+'Settings'!$B$6/100),2)</f>
        <v>66.2</v>
      </c>
      <c r="J908" s="8">
        <v>8.9</v>
      </c>
      <c r="K908" s="3" t="inlineStr">
        <is>
          <t xml:space="preserve">TRUE</t>
        </is>
      </c>
      <c r="L908" s="3" t="inlineStr">
        <is>
          <t xml:space="preserve">WELCOME10</t>
        </is>
      </c>
    </row>
    <row r="909">
      <c r="A909" s="3" t="inlineStr">
        <is>
          <t xml:space="preserve">#1669</t>
        </is>
      </c>
      <c r="B909" s="3" t="inlineStr">
        <is>
          <t xml:space="preserve">2026-08-07</t>
        </is>
      </c>
      <c r="C909" s="3" t="inlineStr">
        <is>
          <t xml:space="preserve">SKU-D</t>
        </is>
      </c>
      <c r="D909" s="3" t="inlineStr">
        <is>
          <t xml:space="preserve">Daily Duo</t>
        </is>
      </c>
      <c r="E909" s="6">
        <f>IF('Settings'!$B$11="Scenario",IFERROR(INDEX('Catalogue'!$E$3:$E$100,MATCH(C909,'Catalogue'!$B$3:$B$100,0)),F909),F909)</f>
        <v>79</v>
      </c>
      <c r="F909" s="8">
        <v>79</v>
      </c>
      <c r="G909" s="3">
        <v>1</v>
      </c>
      <c r="H909" s="6">
        <f>IF('Settings'!$B$11="Scenario",ROUND(E909*G909*IFERROR(SUMIF('Pricing &amp; promotions'!$A$6:$A$8,L909,'Pricing &amp; promotions'!$B$6:$B$8)/100,0),2),J909)</f>
        <v>7.9</v>
      </c>
      <c r="I909" s="6">
        <f>ROUND((E909*G909-H909)/(1+'Settings'!$B$6/100),2)</f>
        <v>58.76</v>
      </c>
      <c r="J909" s="8">
        <v>7.9</v>
      </c>
      <c r="K909" s="3" t="inlineStr">
        <is>
          <t xml:space="preserve">TRUE</t>
        </is>
      </c>
      <c r="L909" s="3" t="inlineStr">
        <is>
          <t xml:space="preserve">WELCOME10</t>
        </is>
      </c>
    </row>
    <row r="910">
      <c r="A910" s="3" t="inlineStr">
        <is>
          <t xml:space="preserve">#1670</t>
        </is>
      </c>
      <c r="B910" s="3" t="inlineStr">
        <is>
          <t xml:space="preserve">2026-08-08</t>
        </is>
      </c>
      <c r="C910" s="3" t="inlineStr">
        <is>
          <t xml:space="preserve">SKU-E</t>
        </is>
      </c>
      <c r="D910" s="3" t="inlineStr">
        <is>
          <t xml:space="preserve">Complete Ritual</t>
        </is>
      </c>
      <c r="E910" s="6">
        <f>IF('Settings'!$B$11="Scenario",IFERROR(INDEX('Catalogue'!$E$3:$E$100,MATCH(C910,'Catalogue'!$B$3:$B$100,0)),F910),F910)</f>
        <v>89</v>
      </c>
      <c r="F910" s="8">
        <v>89</v>
      </c>
      <c r="G910" s="3">
        <v>1</v>
      </c>
      <c r="H910" s="6">
        <f>IF('Settings'!$B$11="Scenario",ROUND(E910*G910*IFERROR(SUMIF('Pricing &amp; promotions'!$A$6:$A$8,L910,'Pricing &amp; promotions'!$B$6:$B$8)/100,0),2),J910)</f>
        <v>0.0</v>
      </c>
      <c r="I910" s="6">
        <f>ROUND((E910*G910-H910)/(1+'Settings'!$B$6/100),2)</f>
        <v>73.55</v>
      </c>
      <c r="J910" s="8">
        <v>0.0</v>
      </c>
      <c r="K910" s="3" t="inlineStr">
        <is>
          <t xml:space="preserve">TRUE</t>
        </is>
      </c>
      <c r="L910" s="3"/>
    </row>
    <row r="911">
      <c r="A911" s="3" t="inlineStr">
        <is>
          <t xml:space="preserve">#1671</t>
        </is>
      </c>
      <c r="B911" s="3" t="inlineStr">
        <is>
          <t xml:space="preserve">2026-08-09</t>
        </is>
      </c>
      <c r="C911" s="3" t="inlineStr">
        <is>
          <t xml:space="preserve">SKU-F</t>
        </is>
      </c>
      <c r="D911" s="3" t="inlineStr">
        <is>
          <t xml:space="preserve">Cloud Cleanser</t>
        </is>
      </c>
      <c r="E911" s="6">
        <f>IF('Settings'!$B$11="Scenario",IFERROR(INDEX('Catalogue'!$E$3:$E$100,MATCH(C911,'Catalogue'!$B$3:$B$100,0)),F911),F911)</f>
        <v>34</v>
      </c>
      <c r="F911" s="8">
        <v>34</v>
      </c>
      <c r="G911" s="3">
        <v>1</v>
      </c>
      <c r="H911" s="6">
        <f>IF('Settings'!$B$11="Scenario",ROUND(E911*G911*IFERROR(SUMIF('Pricing &amp; promotions'!$A$6:$A$8,L911,'Pricing &amp; promotions'!$B$6:$B$8)/100,0),2),J911)</f>
        <v>3.4</v>
      </c>
      <c r="I911" s="6">
        <f>ROUND((E911*G911-H911)/(1+'Settings'!$B$6/100),2)</f>
        <v>25.29</v>
      </c>
      <c r="J911" s="8">
        <v>3.4</v>
      </c>
      <c r="K911" s="3" t="inlineStr">
        <is>
          <t xml:space="preserve">TRUE</t>
        </is>
      </c>
      <c r="L911" s="3" t="inlineStr">
        <is>
          <t xml:space="preserve">WELCOME10</t>
        </is>
      </c>
    </row>
    <row r="912">
      <c r="A912" s="3" t="inlineStr">
        <is>
          <t xml:space="preserve">#1671</t>
        </is>
      </c>
      <c r="B912" s="3" t="inlineStr">
        <is>
          <t xml:space="preserve">2026-08-09</t>
        </is>
      </c>
      <c r="C912" s="3" t="inlineStr">
        <is>
          <t xml:space="preserve">SKU-E</t>
        </is>
      </c>
      <c r="D912" s="3" t="inlineStr">
        <is>
          <t xml:space="preserve">Complete Ritual</t>
        </is>
      </c>
      <c r="E912" s="6">
        <f>IF('Settings'!$B$11="Scenario",IFERROR(INDEX('Catalogue'!$E$3:$E$100,MATCH(C912,'Catalogue'!$B$3:$B$100,0)),F912),F912)</f>
        <v>89</v>
      </c>
      <c r="F912" s="8">
        <v>89</v>
      </c>
      <c r="G912" s="3">
        <v>1</v>
      </c>
      <c r="H912" s="6">
        <f>IF('Settings'!$B$11="Scenario",ROUND(E912*G912*IFERROR(SUMIF('Pricing &amp; promotions'!$A$6:$A$8,L912,'Pricing &amp; promotions'!$B$6:$B$8)/100,0),2),J912)</f>
        <v>8.9</v>
      </c>
      <c r="I912" s="6">
        <f>ROUND((E912*G912-H912)/(1+'Settings'!$B$6/100),2)</f>
        <v>66.2</v>
      </c>
      <c r="J912" s="8">
        <v>8.9</v>
      </c>
      <c r="K912" s="3" t="inlineStr">
        <is>
          <t xml:space="preserve">TRUE</t>
        </is>
      </c>
      <c r="L912" s="3" t="inlineStr">
        <is>
          <t xml:space="preserve">WELCOME10</t>
        </is>
      </c>
    </row>
    <row r="913">
      <c r="A913" s="3" t="inlineStr">
        <is>
          <t xml:space="preserve">#1672</t>
        </is>
      </c>
      <c r="B913" s="3" t="inlineStr">
        <is>
          <t xml:space="preserve">2026-08-09</t>
        </is>
      </c>
      <c r="C913" s="3" t="inlineStr">
        <is>
          <t xml:space="preserve">SKU-B</t>
        </is>
      </c>
      <c r="D913" s="3" t="inlineStr">
        <is>
          <t xml:space="preserve">Barrier Balm</t>
        </is>
      </c>
      <c r="E913" s="6">
        <f>IF('Settings'!$B$11="Scenario",IFERROR(INDEX('Catalogue'!$E$3:$E$100,MATCH(C913,'Catalogue'!$B$3:$B$100,0)),F913),F913)</f>
        <v>19</v>
      </c>
      <c r="F913" s="8">
        <v>19</v>
      </c>
      <c r="G913" s="3">
        <v>1</v>
      </c>
      <c r="H913" s="6">
        <f>IF('Settings'!$B$11="Scenario",ROUND(E913*G913*IFERROR(SUMIF('Pricing &amp; promotions'!$A$6:$A$8,L913,'Pricing &amp; promotions'!$B$6:$B$8)/100,0),2),J913)</f>
        <v>0.0</v>
      </c>
      <c r="I913" s="6">
        <f>ROUND((E913*G913-H913)/(1+'Settings'!$B$6/100),2)</f>
        <v>15.7</v>
      </c>
      <c r="J913" s="8">
        <v>0.0</v>
      </c>
      <c r="K913" s="3" t="inlineStr">
        <is>
          <t xml:space="preserve">TRUE</t>
        </is>
      </c>
      <c r="L913" s="3"/>
    </row>
    <row r="914">
      <c r="A914" s="3" t="inlineStr">
        <is>
          <t xml:space="preserve">#1672</t>
        </is>
      </c>
      <c r="B914" s="3" t="inlineStr">
        <is>
          <t xml:space="preserve">2026-08-09</t>
        </is>
      </c>
      <c r="C914" s="3" t="inlineStr">
        <is>
          <t xml:space="preserve">SKU-A</t>
        </is>
      </c>
      <c r="D914" s="3" t="inlineStr">
        <is>
          <t xml:space="preserve">Renewal Serum</t>
        </is>
      </c>
      <c r="E914" s="6">
        <f>IF('Settings'!$B$11="Scenario",IFERROR(INDEX('Catalogue'!$E$3:$E$100,MATCH(C914,'Catalogue'!$B$3:$B$100,0)),F914),F914)</f>
        <v>69.9</v>
      </c>
      <c r="F914" s="8">
        <v>69.9</v>
      </c>
      <c r="G914" s="3">
        <v>1</v>
      </c>
      <c r="H914" s="6">
        <f>IF('Settings'!$B$11="Scenario",ROUND(E914*G914*IFERROR(SUMIF('Pricing &amp; promotions'!$A$6:$A$8,L914,'Pricing &amp; promotions'!$B$6:$B$8)/100,0),2),J914)</f>
        <v>0.0</v>
      </c>
      <c r="I914" s="6">
        <f>ROUND((E914*G914-H914)/(1+'Settings'!$B$6/100),2)</f>
        <v>57.77</v>
      </c>
      <c r="J914" s="8">
        <v>0.0</v>
      </c>
      <c r="K914" s="3" t="inlineStr">
        <is>
          <t xml:space="preserve">TRUE</t>
        </is>
      </c>
      <c r="L914" s="3"/>
    </row>
    <row r="915">
      <c r="A915" s="3" t="inlineStr">
        <is>
          <t xml:space="preserve">#1673</t>
        </is>
      </c>
      <c r="B915" s="3" t="inlineStr">
        <is>
          <t xml:space="preserve">2026-08-10</t>
        </is>
      </c>
      <c r="C915" s="3" t="inlineStr">
        <is>
          <t xml:space="preserve">SKU-E</t>
        </is>
      </c>
      <c r="D915" s="3" t="inlineStr">
        <is>
          <t xml:space="preserve">Complete Ritual</t>
        </is>
      </c>
      <c r="E915" s="6">
        <f>IF('Settings'!$B$11="Scenario",IFERROR(INDEX('Catalogue'!$E$3:$E$100,MATCH(C915,'Catalogue'!$B$3:$B$100,0)),F915),F915)</f>
        <v>89</v>
      </c>
      <c r="F915" s="8">
        <v>89</v>
      </c>
      <c r="G915" s="3">
        <v>1</v>
      </c>
      <c r="H915" s="6">
        <f>IF('Settings'!$B$11="Scenario",ROUND(E915*G915*IFERROR(SUMIF('Pricing &amp; promotions'!$A$6:$A$8,L915,'Pricing &amp; promotions'!$B$6:$B$8)/100,0),2),J915)</f>
        <v>0.0</v>
      </c>
      <c r="I915" s="6">
        <f>ROUND((E915*G915-H915)/(1+'Settings'!$B$6/100),2)</f>
        <v>73.55</v>
      </c>
      <c r="J915" s="8">
        <v>0.0</v>
      </c>
      <c r="K915" s="3" t="inlineStr">
        <is>
          <t xml:space="preserve">TRUE</t>
        </is>
      </c>
      <c r="L915" s="3"/>
    </row>
    <row r="916">
      <c r="A916" s="3" t="inlineStr">
        <is>
          <t xml:space="preserve">#1674</t>
        </is>
      </c>
      <c r="B916" s="3" t="inlineStr">
        <is>
          <t xml:space="preserve">2026-08-11</t>
        </is>
      </c>
      <c r="C916" s="3" t="inlineStr">
        <is>
          <t xml:space="preserve">SKU-F</t>
        </is>
      </c>
      <c r="D916" s="3" t="inlineStr">
        <is>
          <t xml:space="preserve">Cloud Cleanser</t>
        </is>
      </c>
      <c r="E916" s="6">
        <f>IF('Settings'!$B$11="Scenario",IFERROR(INDEX('Catalogue'!$E$3:$E$100,MATCH(C916,'Catalogue'!$B$3:$B$100,0)),F916),F916)</f>
        <v>34</v>
      </c>
      <c r="F916" s="8">
        <v>34</v>
      </c>
      <c r="G916" s="3">
        <v>1</v>
      </c>
      <c r="H916" s="6">
        <f>IF('Settings'!$B$11="Scenario",ROUND(E916*G916*IFERROR(SUMIF('Pricing &amp; promotions'!$A$6:$A$8,L916,'Pricing &amp; promotions'!$B$6:$B$8)/100,0),2),J916)</f>
        <v>3.4</v>
      </c>
      <c r="I916" s="6">
        <f>ROUND((E916*G916-H916)/(1+'Settings'!$B$6/100),2)</f>
        <v>25.29</v>
      </c>
      <c r="J916" s="8">
        <v>3.4</v>
      </c>
      <c r="K916" s="3" t="inlineStr">
        <is>
          <t xml:space="preserve">TRUE</t>
        </is>
      </c>
      <c r="L916" s="3" t="inlineStr">
        <is>
          <t xml:space="preserve">WELCOME10</t>
        </is>
      </c>
    </row>
    <row r="917">
      <c r="A917" s="3" t="inlineStr">
        <is>
          <t xml:space="preserve">#1675</t>
        </is>
      </c>
      <c r="B917" s="3" t="inlineStr">
        <is>
          <t xml:space="preserve">2026-08-12</t>
        </is>
      </c>
      <c r="C917" s="3" t="inlineStr">
        <is>
          <t xml:space="preserve">SKU-D</t>
        </is>
      </c>
      <c r="D917" s="3" t="inlineStr">
        <is>
          <t xml:space="preserve">Daily Duo</t>
        </is>
      </c>
      <c r="E917" s="6">
        <f>IF('Settings'!$B$11="Scenario",IFERROR(INDEX('Catalogue'!$E$3:$E$100,MATCH(C917,'Catalogue'!$B$3:$B$100,0)),F917),F917)</f>
        <v>79</v>
      </c>
      <c r="F917" s="8">
        <v>79</v>
      </c>
      <c r="G917" s="3">
        <v>1</v>
      </c>
      <c r="H917" s="6">
        <f>IF('Settings'!$B$11="Scenario",ROUND(E917*G917*IFERROR(SUMIF('Pricing &amp; promotions'!$A$6:$A$8,L917,'Pricing &amp; promotions'!$B$6:$B$8)/100,0),2),J917)</f>
        <v>0.0</v>
      </c>
      <c r="I917" s="6">
        <f>ROUND((E917*G917-H917)/(1+'Settings'!$B$6/100),2)</f>
        <v>65.29</v>
      </c>
      <c r="J917" s="8">
        <v>0.0</v>
      </c>
      <c r="K917" s="3" t="inlineStr">
        <is>
          <t xml:space="preserve">TRUE</t>
        </is>
      </c>
      <c r="L917" s="3"/>
    </row>
    <row r="918">
      <c r="A918" s="3" t="inlineStr">
        <is>
          <t xml:space="preserve">#1676</t>
        </is>
      </c>
      <c r="B918" s="3" t="inlineStr">
        <is>
          <t xml:space="preserve">2026-08-12</t>
        </is>
      </c>
      <c r="C918" s="3" t="inlineStr">
        <is>
          <t xml:space="preserve">SKU-A</t>
        </is>
      </c>
      <c r="D918" s="3" t="inlineStr">
        <is>
          <t xml:space="preserve">Renewal Serum</t>
        </is>
      </c>
      <c r="E918" s="6">
        <f>IF('Settings'!$B$11="Scenario",IFERROR(INDEX('Catalogue'!$E$3:$E$100,MATCH(C918,'Catalogue'!$B$3:$B$100,0)),F918),F918)</f>
        <v>69.9</v>
      </c>
      <c r="F918" s="8">
        <v>69.9</v>
      </c>
      <c r="G918" s="3">
        <v>1</v>
      </c>
      <c r="H918" s="6">
        <f>IF('Settings'!$B$11="Scenario",ROUND(E918*G918*IFERROR(SUMIF('Pricing &amp; promotions'!$A$6:$A$8,L918,'Pricing &amp; promotions'!$B$6:$B$8)/100,0),2),J918)</f>
        <v>6.99</v>
      </c>
      <c r="I918" s="6">
        <f>ROUND((E918*G918-H918)/(1+'Settings'!$B$6/100),2)</f>
        <v>51.99</v>
      </c>
      <c r="J918" s="8">
        <v>6.99</v>
      </c>
      <c r="K918" s="3" t="inlineStr">
        <is>
          <t xml:space="preserve">TRUE</t>
        </is>
      </c>
      <c r="L918" s="3" t="inlineStr">
        <is>
          <t xml:space="preserve">WELCOME10</t>
        </is>
      </c>
    </row>
    <row r="919">
      <c r="A919" s="3" t="inlineStr">
        <is>
          <t xml:space="preserve">#1677</t>
        </is>
      </c>
      <c r="B919" s="3" t="inlineStr">
        <is>
          <t xml:space="preserve">2026-08-13</t>
        </is>
      </c>
      <c r="C919" s="3" t="inlineStr">
        <is>
          <t xml:space="preserve">SKU-B</t>
        </is>
      </c>
      <c r="D919" s="3" t="inlineStr">
        <is>
          <t xml:space="preserve">Barrier Balm</t>
        </is>
      </c>
      <c r="E919" s="6">
        <f>IF('Settings'!$B$11="Scenario",IFERROR(INDEX('Catalogue'!$E$3:$E$100,MATCH(C919,'Catalogue'!$B$3:$B$100,0)),F919),F919)</f>
        <v>19</v>
      </c>
      <c r="F919" s="8">
        <v>19</v>
      </c>
      <c r="G919" s="3">
        <v>1</v>
      </c>
      <c r="H919" s="6">
        <f>IF('Settings'!$B$11="Scenario",ROUND(E919*G919*IFERROR(SUMIF('Pricing &amp; promotions'!$A$6:$A$8,L919,'Pricing &amp; promotions'!$B$6:$B$8)/100,0),2),J919)</f>
        <v>0.0</v>
      </c>
      <c r="I919" s="6">
        <f>ROUND((E919*G919-H919)/(1+'Settings'!$B$6/100),2)</f>
        <v>15.7</v>
      </c>
      <c r="J919" s="8">
        <v>0.0</v>
      </c>
      <c r="K919" s="3" t="inlineStr">
        <is>
          <t xml:space="preserve">TRUE</t>
        </is>
      </c>
      <c r="L919" s="3"/>
    </row>
    <row r="920">
      <c r="A920" s="3" t="inlineStr">
        <is>
          <t xml:space="preserve">#1677</t>
        </is>
      </c>
      <c r="B920" s="3" t="inlineStr">
        <is>
          <t xml:space="preserve">2026-08-13</t>
        </is>
      </c>
      <c r="C920" s="3" t="inlineStr">
        <is>
          <t xml:space="preserve">SKU-E</t>
        </is>
      </c>
      <c r="D920" s="3" t="inlineStr">
        <is>
          <t xml:space="preserve">Complete Ritual</t>
        </is>
      </c>
      <c r="E920" s="6">
        <f>IF('Settings'!$B$11="Scenario",IFERROR(INDEX('Catalogue'!$E$3:$E$100,MATCH(C920,'Catalogue'!$B$3:$B$100,0)),F920),F920)</f>
        <v>89</v>
      </c>
      <c r="F920" s="8">
        <v>89</v>
      </c>
      <c r="G920" s="3">
        <v>1</v>
      </c>
      <c r="H920" s="6">
        <f>IF('Settings'!$B$11="Scenario",ROUND(E920*G920*IFERROR(SUMIF('Pricing &amp; promotions'!$A$6:$A$8,L920,'Pricing &amp; promotions'!$B$6:$B$8)/100,0),2),J920)</f>
        <v>0.0</v>
      </c>
      <c r="I920" s="6">
        <f>ROUND((E920*G920-H920)/(1+'Settings'!$B$6/100),2)</f>
        <v>73.55</v>
      </c>
      <c r="J920" s="8">
        <v>0.0</v>
      </c>
      <c r="K920" s="3" t="inlineStr">
        <is>
          <t xml:space="preserve">TRUE</t>
        </is>
      </c>
      <c r="L920" s="3"/>
    </row>
    <row r="921">
      <c r="A921" s="3" t="inlineStr">
        <is>
          <t xml:space="preserve">#1678</t>
        </is>
      </c>
      <c r="B921" s="3" t="inlineStr">
        <is>
          <t xml:space="preserve">2026-08-13</t>
        </is>
      </c>
      <c r="C921" s="3" t="inlineStr">
        <is>
          <t xml:space="preserve">SKU-D</t>
        </is>
      </c>
      <c r="D921" s="3" t="inlineStr">
        <is>
          <t xml:space="preserve">Daily Duo</t>
        </is>
      </c>
      <c r="E921" s="6">
        <f>IF('Settings'!$B$11="Scenario",IFERROR(INDEX('Catalogue'!$E$3:$E$100,MATCH(C921,'Catalogue'!$B$3:$B$100,0)),F921),F921)</f>
        <v>79</v>
      </c>
      <c r="F921" s="8">
        <v>79</v>
      </c>
      <c r="G921" s="3">
        <v>1</v>
      </c>
      <c r="H921" s="6">
        <f>IF('Settings'!$B$11="Scenario",ROUND(E921*G921*IFERROR(SUMIF('Pricing &amp; promotions'!$A$6:$A$8,L921,'Pricing &amp; promotions'!$B$6:$B$8)/100,0),2),J921)</f>
        <v>15.8</v>
      </c>
      <c r="I921" s="6">
        <f>ROUND((E921*G921-H921)/(1+'Settings'!$B$6/100),2)</f>
        <v>52.23</v>
      </c>
      <c r="J921" s="8">
        <v>15.8</v>
      </c>
      <c r="K921" s="3" t="inlineStr">
        <is>
          <t xml:space="preserve">TRUE</t>
        </is>
      </c>
      <c r="L921" s="3" t="inlineStr">
        <is>
          <t xml:space="preserve">VIP20</t>
        </is>
      </c>
    </row>
    <row r="922">
      <c r="A922" s="3" t="inlineStr">
        <is>
          <t xml:space="preserve">#1679</t>
        </is>
      </c>
      <c r="B922" s="3" t="inlineStr">
        <is>
          <t xml:space="preserve">2026-08-14</t>
        </is>
      </c>
      <c r="C922" s="3" t="inlineStr">
        <is>
          <t xml:space="preserve">SKU-E</t>
        </is>
      </c>
      <c r="D922" s="3" t="inlineStr">
        <is>
          <t xml:space="preserve">Complete Ritual</t>
        </is>
      </c>
      <c r="E922" s="6">
        <f>IF('Settings'!$B$11="Scenario",IFERROR(INDEX('Catalogue'!$E$3:$E$100,MATCH(C922,'Catalogue'!$B$3:$B$100,0)),F922),F922)</f>
        <v>89</v>
      </c>
      <c r="F922" s="8">
        <v>89</v>
      </c>
      <c r="G922" s="3">
        <v>1</v>
      </c>
      <c r="H922" s="6">
        <f>IF('Settings'!$B$11="Scenario",ROUND(E922*G922*IFERROR(SUMIF('Pricing &amp; promotions'!$A$6:$A$8,L922,'Pricing &amp; promotions'!$B$6:$B$8)/100,0),2),J922)</f>
        <v>8.9</v>
      </c>
      <c r="I922" s="6">
        <f>ROUND((E922*G922-H922)/(1+'Settings'!$B$6/100),2)</f>
        <v>66.2</v>
      </c>
      <c r="J922" s="8">
        <v>8.9</v>
      </c>
      <c r="K922" s="3" t="inlineStr">
        <is>
          <t xml:space="preserve">TRUE</t>
        </is>
      </c>
      <c r="L922" s="3" t="inlineStr">
        <is>
          <t xml:space="preserve">WELCOME10</t>
        </is>
      </c>
    </row>
    <row r="923">
      <c r="A923" s="3" t="inlineStr">
        <is>
          <t xml:space="preserve">#1679</t>
        </is>
      </c>
      <c r="B923" s="3" t="inlineStr">
        <is>
          <t xml:space="preserve">2026-08-14</t>
        </is>
      </c>
      <c r="C923" s="3" t="inlineStr">
        <is>
          <t xml:space="preserve">SKU-A</t>
        </is>
      </c>
      <c r="D923" s="3" t="inlineStr">
        <is>
          <t xml:space="preserve">Renewal Serum</t>
        </is>
      </c>
      <c r="E923" s="6">
        <f>IF('Settings'!$B$11="Scenario",IFERROR(INDEX('Catalogue'!$E$3:$E$100,MATCH(C923,'Catalogue'!$B$3:$B$100,0)),F923),F923)</f>
        <v>69.9</v>
      </c>
      <c r="F923" s="8">
        <v>69.9</v>
      </c>
      <c r="G923" s="3">
        <v>1</v>
      </c>
      <c r="H923" s="6">
        <f>IF('Settings'!$B$11="Scenario",ROUND(E923*G923*IFERROR(SUMIF('Pricing &amp; promotions'!$A$6:$A$8,L923,'Pricing &amp; promotions'!$B$6:$B$8)/100,0),2),J923)</f>
        <v>6.99</v>
      </c>
      <c r="I923" s="6">
        <f>ROUND((E923*G923-H923)/(1+'Settings'!$B$6/100),2)</f>
        <v>51.99</v>
      </c>
      <c r="J923" s="8">
        <v>6.99</v>
      </c>
      <c r="K923" s="3" t="inlineStr">
        <is>
          <t xml:space="preserve">TRUE</t>
        </is>
      </c>
      <c r="L923" s="3" t="inlineStr">
        <is>
          <t xml:space="preserve">WELCOME10</t>
        </is>
      </c>
    </row>
    <row r="924">
      <c r="A924" s="3" t="inlineStr">
        <is>
          <t xml:space="preserve">#1680</t>
        </is>
      </c>
      <c r="B924" s="3" t="inlineStr">
        <is>
          <t xml:space="preserve">2026-08-14</t>
        </is>
      </c>
      <c r="C924" s="3" t="inlineStr">
        <is>
          <t xml:space="preserve">SKU-G</t>
        </is>
      </c>
      <c r="D924" s="3" t="inlineStr">
        <is>
          <t xml:space="preserve">Daily Reset Set</t>
        </is>
      </c>
      <c r="E924" s="6">
        <f>IF('Settings'!$B$11="Scenario",IFERROR(INDEX('Catalogue'!$E$3:$E$100,MATCH(C924,'Catalogue'!$B$3:$B$100,0)),F924),F924)</f>
        <v>69</v>
      </c>
      <c r="F924" s="8">
        <v>69</v>
      </c>
      <c r="G924" s="3">
        <v>1</v>
      </c>
      <c r="H924" s="6">
        <f>IF('Settings'!$B$11="Scenario",ROUND(E924*G924*IFERROR(SUMIF('Pricing &amp; promotions'!$A$6:$A$8,L924,'Pricing &amp; promotions'!$B$6:$B$8)/100,0),2),J924)</f>
        <v>0.0</v>
      </c>
      <c r="I924" s="6">
        <f>ROUND((E924*G924-H924)/(1+'Settings'!$B$6/100),2)</f>
        <v>57.02</v>
      </c>
      <c r="J924" s="8">
        <v>0.0</v>
      </c>
      <c r="K924" s="3" t="inlineStr">
        <is>
          <t xml:space="preserve">TRUE</t>
        </is>
      </c>
      <c r="L924" s="3"/>
    </row>
    <row r="925">
      <c r="A925" s="3" t="inlineStr">
        <is>
          <t xml:space="preserve">#1681</t>
        </is>
      </c>
      <c r="B925" s="3" t="inlineStr">
        <is>
          <t xml:space="preserve">2026-08-15</t>
        </is>
      </c>
      <c r="C925" s="3" t="inlineStr">
        <is>
          <t xml:space="preserve">SKU-F</t>
        </is>
      </c>
      <c r="D925" s="3" t="inlineStr">
        <is>
          <t xml:space="preserve">Cloud Cleanser</t>
        </is>
      </c>
      <c r="E925" s="6">
        <f>IF('Settings'!$B$11="Scenario",IFERROR(INDEX('Catalogue'!$E$3:$E$100,MATCH(C925,'Catalogue'!$B$3:$B$100,0)),F925),F925)</f>
        <v>34</v>
      </c>
      <c r="F925" s="8">
        <v>34</v>
      </c>
      <c r="G925" s="3">
        <v>1</v>
      </c>
      <c r="H925" s="6">
        <f>IF('Settings'!$B$11="Scenario",ROUND(E925*G925*IFERROR(SUMIF('Pricing &amp; promotions'!$A$6:$A$8,L925,'Pricing &amp; promotions'!$B$6:$B$8)/100,0),2),J925)</f>
        <v>0.0</v>
      </c>
      <c r="I925" s="6">
        <f>ROUND((E925*G925-H925)/(1+'Settings'!$B$6/100),2)</f>
        <v>28.1</v>
      </c>
      <c r="J925" s="8">
        <v>0.0</v>
      </c>
      <c r="K925" s="3" t="inlineStr">
        <is>
          <t xml:space="preserve">TRUE</t>
        </is>
      </c>
      <c r="L925" s="3"/>
    </row>
    <row r="926">
      <c r="A926" s="3" t="inlineStr">
        <is>
          <t xml:space="preserve">#1681</t>
        </is>
      </c>
      <c r="B926" s="3" t="inlineStr">
        <is>
          <t xml:space="preserve">2026-08-15</t>
        </is>
      </c>
      <c r="C926" s="3" t="inlineStr">
        <is>
          <t xml:space="preserve">SKU-D</t>
        </is>
      </c>
      <c r="D926" s="3" t="inlineStr">
        <is>
          <t xml:space="preserve">Daily Duo</t>
        </is>
      </c>
      <c r="E926" s="6">
        <f>IF('Settings'!$B$11="Scenario",IFERROR(INDEX('Catalogue'!$E$3:$E$100,MATCH(C926,'Catalogue'!$B$3:$B$100,0)),F926),F926)</f>
        <v>79</v>
      </c>
      <c r="F926" s="8">
        <v>79</v>
      </c>
      <c r="G926" s="3">
        <v>1</v>
      </c>
      <c r="H926" s="6">
        <f>IF('Settings'!$B$11="Scenario",ROUND(E926*G926*IFERROR(SUMIF('Pricing &amp; promotions'!$A$6:$A$8,L926,'Pricing &amp; promotions'!$B$6:$B$8)/100,0),2),J926)</f>
        <v>0.0</v>
      </c>
      <c r="I926" s="6">
        <f>ROUND((E926*G926-H926)/(1+'Settings'!$B$6/100),2)</f>
        <v>65.29</v>
      </c>
      <c r="J926" s="8">
        <v>0.0</v>
      </c>
      <c r="K926" s="3" t="inlineStr">
        <is>
          <t xml:space="preserve">TRUE</t>
        </is>
      </c>
      <c r="L926" s="3"/>
    </row>
    <row r="927">
      <c r="A927" s="3" t="inlineStr">
        <is>
          <t xml:space="preserve">#1682</t>
        </is>
      </c>
      <c r="B927" s="3" t="inlineStr">
        <is>
          <t xml:space="preserve">2026-08-15</t>
        </is>
      </c>
      <c r="C927" s="3" t="inlineStr">
        <is>
          <t xml:space="preserve">SKU-A</t>
        </is>
      </c>
      <c r="D927" s="3" t="inlineStr">
        <is>
          <t xml:space="preserve">Renewal Serum</t>
        </is>
      </c>
      <c r="E927" s="6">
        <f>IF('Settings'!$B$11="Scenario",IFERROR(INDEX('Catalogue'!$E$3:$E$100,MATCH(C927,'Catalogue'!$B$3:$B$100,0)),F927),F927)</f>
        <v>69.9</v>
      </c>
      <c r="F927" s="8">
        <v>69.9</v>
      </c>
      <c r="G927" s="3">
        <v>1</v>
      </c>
      <c r="H927" s="6">
        <f>IF('Settings'!$B$11="Scenario",ROUND(E927*G927*IFERROR(SUMIF('Pricing &amp; promotions'!$A$6:$A$8,L927,'Pricing &amp; promotions'!$B$6:$B$8)/100,0),2),J927)</f>
        <v>6.99</v>
      </c>
      <c r="I927" s="6">
        <f>ROUND((E927*G927-H927)/(1+'Settings'!$B$6/100),2)</f>
        <v>51.99</v>
      </c>
      <c r="J927" s="8">
        <v>6.99</v>
      </c>
      <c r="K927" s="3" t="inlineStr">
        <is>
          <t xml:space="preserve">TRUE</t>
        </is>
      </c>
      <c r="L927" s="3" t="inlineStr">
        <is>
          <t xml:space="preserve">WELCOME10</t>
        </is>
      </c>
    </row>
    <row r="928">
      <c r="A928" s="3" t="inlineStr">
        <is>
          <t xml:space="preserve">#1683</t>
        </is>
      </c>
      <c r="B928" s="3" t="inlineStr">
        <is>
          <t xml:space="preserve">2026-08-15</t>
        </is>
      </c>
      <c r="C928" s="3" t="inlineStr">
        <is>
          <t xml:space="preserve">SKU-A</t>
        </is>
      </c>
      <c r="D928" s="3" t="inlineStr">
        <is>
          <t xml:space="preserve">Renewal Serum</t>
        </is>
      </c>
      <c r="E928" s="6">
        <f>IF('Settings'!$B$11="Scenario",IFERROR(INDEX('Catalogue'!$E$3:$E$100,MATCH(C928,'Catalogue'!$B$3:$B$100,0)),F928),F928)</f>
        <v>69.9</v>
      </c>
      <c r="F928" s="8">
        <v>69.9</v>
      </c>
      <c r="G928" s="3">
        <v>1</v>
      </c>
      <c r="H928" s="6">
        <f>IF('Settings'!$B$11="Scenario",ROUND(E928*G928*IFERROR(SUMIF('Pricing &amp; promotions'!$A$6:$A$8,L928,'Pricing &amp; promotions'!$B$6:$B$8)/100,0),2),J928)</f>
        <v>0.0</v>
      </c>
      <c r="I928" s="6">
        <f>ROUND((E928*G928-H928)/(1+'Settings'!$B$6/100),2)</f>
        <v>57.77</v>
      </c>
      <c r="J928" s="8">
        <v>0.0</v>
      </c>
      <c r="K928" s="3" t="inlineStr">
        <is>
          <t xml:space="preserve">TRUE</t>
        </is>
      </c>
      <c r="L928" s="3"/>
    </row>
    <row r="929">
      <c r="A929" s="3" t="inlineStr">
        <is>
          <t xml:space="preserve">#1684</t>
        </is>
      </c>
      <c r="B929" s="3" t="inlineStr">
        <is>
          <t xml:space="preserve">2026-08-16</t>
        </is>
      </c>
      <c r="C929" s="3" t="inlineStr">
        <is>
          <t xml:space="preserve">SKU-D</t>
        </is>
      </c>
      <c r="D929" s="3" t="inlineStr">
        <is>
          <t xml:space="preserve">Daily Duo</t>
        </is>
      </c>
      <c r="E929" s="6">
        <f>IF('Settings'!$B$11="Scenario",IFERROR(INDEX('Catalogue'!$E$3:$E$100,MATCH(C929,'Catalogue'!$B$3:$B$100,0)),F929),F929)</f>
        <v>79</v>
      </c>
      <c r="F929" s="8">
        <v>79</v>
      </c>
      <c r="G929" s="3">
        <v>1</v>
      </c>
      <c r="H929" s="6">
        <f>IF('Settings'!$B$11="Scenario",ROUND(E929*G929*IFERROR(SUMIF('Pricing &amp; promotions'!$A$6:$A$8,L929,'Pricing &amp; promotions'!$B$6:$B$8)/100,0),2),J929)</f>
        <v>0.0</v>
      </c>
      <c r="I929" s="6">
        <f>ROUND((E929*G929-H929)/(1+'Settings'!$B$6/100),2)</f>
        <v>65.29</v>
      </c>
      <c r="J929" s="8">
        <v>0.0</v>
      </c>
      <c r="K929" s="3" t="inlineStr">
        <is>
          <t xml:space="preserve">TRUE</t>
        </is>
      </c>
      <c r="L929" s="3"/>
    </row>
    <row r="930">
      <c r="A930" s="3" t="inlineStr">
        <is>
          <t xml:space="preserve">#1684</t>
        </is>
      </c>
      <c r="B930" s="3" t="inlineStr">
        <is>
          <t xml:space="preserve">2026-08-16</t>
        </is>
      </c>
      <c r="C930" s="3" t="inlineStr">
        <is>
          <t xml:space="preserve">SKU-E</t>
        </is>
      </c>
      <c r="D930" s="3" t="inlineStr">
        <is>
          <t xml:space="preserve">Complete Ritual</t>
        </is>
      </c>
      <c r="E930" s="6">
        <f>IF('Settings'!$B$11="Scenario",IFERROR(INDEX('Catalogue'!$E$3:$E$100,MATCH(C930,'Catalogue'!$B$3:$B$100,0)),F930),F930)</f>
        <v>89</v>
      </c>
      <c r="F930" s="8">
        <v>89</v>
      </c>
      <c r="G930" s="3">
        <v>1</v>
      </c>
      <c r="H930" s="6">
        <f>IF('Settings'!$B$11="Scenario",ROUND(E930*G930*IFERROR(SUMIF('Pricing &amp; promotions'!$A$6:$A$8,L930,'Pricing &amp; promotions'!$B$6:$B$8)/100,0),2),J930)</f>
        <v>0.0</v>
      </c>
      <c r="I930" s="6">
        <f>ROUND((E930*G930-H930)/(1+'Settings'!$B$6/100),2)</f>
        <v>73.55</v>
      </c>
      <c r="J930" s="8">
        <v>0.0</v>
      </c>
      <c r="K930" s="3" t="inlineStr">
        <is>
          <t xml:space="preserve">TRUE</t>
        </is>
      </c>
      <c r="L930" s="3"/>
    </row>
    <row r="931">
      <c r="A931" s="3" t="inlineStr">
        <is>
          <t xml:space="preserve">#1685</t>
        </is>
      </c>
      <c r="B931" s="3" t="inlineStr">
        <is>
          <t xml:space="preserve">2026-08-16</t>
        </is>
      </c>
      <c r="C931" s="3" t="inlineStr">
        <is>
          <t xml:space="preserve">SKU-G</t>
        </is>
      </c>
      <c r="D931" s="3" t="inlineStr">
        <is>
          <t xml:space="preserve">Daily Reset Set</t>
        </is>
      </c>
      <c r="E931" s="6">
        <f>IF('Settings'!$B$11="Scenario",IFERROR(INDEX('Catalogue'!$E$3:$E$100,MATCH(C931,'Catalogue'!$B$3:$B$100,0)),F931),F931)</f>
        <v>69</v>
      </c>
      <c r="F931" s="8">
        <v>69</v>
      </c>
      <c r="G931" s="3">
        <v>1</v>
      </c>
      <c r="H931" s="6">
        <f>IF('Settings'!$B$11="Scenario",ROUND(E931*G931*IFERROR(SUMIF('Pricing &amp; promotions'!$A$6:$A$8,L931,'Pricing &amp; promotions'!$B$6:$B$8)/100,0),2),J931)</f>
        <v>6.9</v>
      </c>
      <c r="I931" s="6">
        <f>ROUND((E931*G931-H931)/(1+'Settings'!$B$6/100),2)</f>
        <v>51.32</v>
      </c>
      <c r="J931" s="8">
        <v>6.9</v>
      </c>
      <c r="K931" s="3" t="inlineStr">
        <is>
          <t xml:space="preserve">TRUE</t>
        </is>
      </c>
      <c r="L931" s="3" t="inlineStr">
        <is>
          <t xml:space="preserve">WELCOME10</t>
        </is>
      </c>
    </row>
    <row r="932">
      <c r="A932" s="3" t="inlineStr">
        <is>
          <t xml:space="preserve">#1686</t>
        </is>
      </c>
      <c r="B932" s="3" t="inlineStr">
        <is>
          <t xml:space="preserve">2026-08-16</t>
        </is>
      </c>
      <c r="C932" s="3" t="inlineStr">
        <is>
          <t xml:space="preserve">SKU-E</t>
        </is>
      </c>
      <c r="D932" s="3" t="inlineStr">
        <is>
          <t xml:space="preserve">Complete Ritual</t>
        </is>
      </c>
      <c r="E932" s="6">
        <f>IF('Settings'!$B$11="Scenario",IFERROR(INDEX('Catalogue'!$E$3:$E$100,MATCH(C932,'Catalogue'!$B$3:$B$100,0)),F932),F932)</f>
        <v>89</v>
      </c>
      <c r="F932" s="8">
        <v>89</v>
      </c>
      <c r="G932" s="3">
        <v>1</v>
      </c>
      <c r="H932" s="6">
        <f>IF('Settings'!$B$11="Scenario",ROUND(E932*G932*IFERROR(SUMIF('Pricing &amp; promotions'!$A$6:$A$8,L932,'Pricing &amp; promotions'!$B$6:$B$8)/100,0),2),J932)</f>
        <v>17.8</v>
      </c>
      <c r="I932" s="6">
        <f>ROUND((E932*G932-H932)/(1+'Settings'!$B$6/100),2)</f>
        <v>58.84</v>
      </c>
      <c r="J932" s="8">
        <v>17.8</v>
      </c>
      <c r="K932" s="3" t="inlineStr">
        <is>
          <t xml:space="preserve">TRUE</t>
        </is>
      </c>
      <c r="L932" s="3" t="inlineStr">
        <is>
          <t xml:space="preserve">VIP20</t>
        </is>
      </c>
    </row>
    <row r="933">
      <c r="A933" s="3" t="inlineStr">
        <is>
          <t xml:space="preserve">#1687</t>
        </is>
      </c>
      <c r="B933" s="3" t="inlineStr">
        <is>
          <t xml:space="preserve">2026-08-17</t>
        </is>
      </c>
      <c r="C933" s="3" t="inlineStr">
        <is>
          <t xml:space="preserve">SKU-D</t>
        </is>
      </c>
      <c r="D933" s="3" t="inlineStr">
        <is>
          <t xml:space="preserve">Daily Duo</t>
        </is>
      </c>
      <c r="E933" s="6">
        <f>IF('Settings'!$B$11="Scenario",IFERROR(INDEX('Catalogue'!$E$3:$E$100,MATCH(C933,'Catalogue'!$B$3:$B$100,0)),F933),F933)</f>
        <v>79</v>
      </c>
      <c r="F933" s="8">
        <v>79</v>
      </c>
      <c r="G933" s="3">
        <v>2</v>
      </c>
      <c r="H933" s="6">
        <f>IF('Settings'!$B$11="Scenario",ROUND(E933*G933*IFERROR(SUMIF('Pricing &amp; promotions'!$A$6:$A$8,L933,'Pricing &amp; promotions'!$B$6:$B$8)/100,0),2),J933)</f>
        <v>0.0</v>
      </c>
      <c r="I933" s="6">
        <f>ROUND((E933*G933-H933)/(1+'Settings'!$B$6/100),2)</f>
        <v>130.58</v>
      </c>
      <c r="J933" s="8">
        <v>0.0</v>
      </c>
      <c r="K933" s="3" t="inlineStr">
        <is>
          <t xml:space="preserve">TRUE</t>
        </is>
      </c>
      <c r="L933" s="3"/>
    </row>
    <row r="934">
      <c r="A934" s="3" t="inlineStr">
        <is>
          <t xml:space="preserve">#1687</t>
        </is>
      </c>
      <c r="B934" s="3" t="inlineStr">
        <is>
          <t xml:space="preserve">2026-08-17</t>
        </is>
      </c>
      <c r="C934" s="3" t="inlineStr">
        <is>
          <t xml:space="preserve">SKU-G</t>
        </is>
      </c>
      <c r="D934" s="3" t="inlineStr">
        <is>
          <t xml:space="preserve">Daily Reset Set</t>
        </is>
      </c>
      <c r="E934" s="6">
        <f>IF('Settings'!$B$11="Scenario",IFERROR(INDEX('Catalogue'!$E$3:$E$100,MATCH(C934,'Catalogue'!$B$3:$B$100,0)),F934),F934)</f>
        <v>69</v>
      </c>
      <c r="F934" s="8">
        <v>69</v>
      </c>
      <c r="G934" s="3">
        <v>1</v>
      </c>
      <c r="H934" s="6">
        <f>IF('Settings'!$B$11="Scenario",ROUND(E934*G934*IFERROR(SUMIF('Pricing &amp; promotions'!$A$6:$A$8,L934,'Pricing &amp; promotions'!$B$6:$B$8)/100,0),2),J934)</f>
        <v>0.0</v>
      </c>
      <c r="I934" s="6">
        <f>ROUND((E934*G934-H934)/(1+'Settings'!$B$6/100),2)</f>
        <v>57.02</v>
      </c>
      <c r="J934" s="8">
        <v>0.0</v>
      </c>
      <c r="K934" s="3" t="inlineStr">
        <is>
          <t xml:space="preserve">TRUE</t>
        </is>
      </c>
      <c r="L934" s="3"/>
    </row>
    <row r="935">
      <c r="A935" s="3" t="inlineStr">
        <is>
          <t xml:space="preserve">#1687</t>
        </is>
      </c>
      <c r="B935" s="3" t="inlineStr">
        <is>
          <t xml:space="preserve">2026-08-17</t>
        </is>
      </c>
      <c r="C935" s="3" t="inlineStr">
        <is>
          <t xml:space="preserve">SKU-A</t>
        </is>
      </c>
      <c r="D935" s="3" t="inlineStr">
        <is>
          <t xml:space="preserve">Renewal Serum</t>
        </is>
      </c>
      <c r="E935" s="6">
        <f>IF('Settings'!$B$11="Scenario",IFERROR(INDEX('Catalogue'!$E$3:$E$100,MATCH(C935,'Catalogue'!$B$3:$B$100,0)),F935),F935)</f>
        <v>69.9</v>
      </c>
      <c r="F935" s="8">
        <v>69.9</v>
      </c>
      <c r="G935" s="3">
        <v>1</v>
      </c>
      <c r="H935" s="6">
        <f>IF('Settings'!$B$11="Scenario",ROUND(E935*G935*IFERROR(SUMIF('Pricing &amp; promotions'!$A$6:$A$8,L935,'Pricing &amp; promotions'!$B$6:$B$8)/100,0),2),J935)</f>
        <v>0.0</v>
      </c>
      <c r="I935" s="6">
        <f>ROUND((E935*G935-H935)/(1+'Settings'!$B$6/100),2)</f>
        <v>57.77</v>
      </c>
      <c r="J935" s="8">
        <v>0.0</v>
      </c>
      <c r="K935" s="3" t="inlineStr">
        <is>
          <t xml:space="preserve">TRUE</t>
        </is>
      </c>
      <c r="L935" s="3"/>
    </row>
    <row r="936">
      <c r="A936" s="3" t="inlineStr">
        <is>
          <t xml:space="preserve">#1688</t>
        </is>
      </c>
      <c r="B936" s="3" t="inlineStr">
        <is>
          <t xml:space="preserve">2026-08-17</t>
        </is>
      </c>
      <c r="C936" s="3" t="inlineStr">
        <is>
          <t xml:space="preserve">SKU-D</t>
        </is>
      </c>
      <c r="D936" s="3" t="inlineStr">
        <is>
          <t xml:space="preserve">Daily Duo</t>
        </is>
      </c>
      <c r="E936" s="6">
        <f>IF('Settings'!$B$11="Scenario",IFERROR(INDEX('Catalogue'!$E$3:$E$100,MATCH(C936,'Catalogue'!$B$3:$B$100,0)),F936),F936)</f>
        <v>79</v>
      </c>
      <c r="F936" s="8">
        <v>79</v>
      </c>
      <c r="G936" s="3">
        <v>1</v>
      </c>
      <c r="H936" s="6">
        <f>IF('Settings'!$B$11="Scenario",ROUND(E936*G936*IFERROR(SUMIF('Pricing &amp; promotions'!$A$6:$A$8,L936,'Pricing &amp; promotions'!$B$6:$B$8)/100,0),2),J936)</f>
        <v>11.85</v>
      </c>
      <c r="I936" s="6">
        <f>ROUND((E936*G936-H936)/(1+'Settings'!$B$6/100),2)</f>
        <v>55.5</v>
      </c>
      <c r="J936" s="8">
        <v>11.85</v>
      </c>
      <c r="K936" s="3" t="inlineStr">
        <is>
          <t xml:space="preserve">TRUE</t>
        </is>
      </c>
      <c r="L936" s="3" t="inlineStr">
        <is>
          <t xml:space="preserve">SUMMER15</t>
        </is>
      </c>
    </row>
    <row r="937">
      <c r="A937" s="3" t="inlineStr">
        <is>
          <t xml:space="preserve">#1689</t>
        </is>
      </c>
      <c r="B937" s="3" t="inlineStr">
        <is>
          <t xml:space="preserve">2026-08-17</t>
        </is>
      </c>
      <c r="C937" s="3" t="inlineStr">
        <is>
          <t xml:space="preserve">SKU-D</t>
        </is>
      </c>
      <c r="D937" s="3" t="inlineStr">
        <is>
          <t xml:space="preserve">Daily Duo</t>
        </is>
      </c>
      <c r="E937" s="6">
        <f>IF('Settings'!$B$11="Scenario",IFERROR(INDEX('Catalogue'!$E$3:$E$100,MATCH(C937,'Catalogue'!$B$3:$B$100,0)),F937),F937)</f>
        <v>79</v>
      </c>
      <c r="F937" s="8">
        <v>79</v>
      </c>
      <c r="G937" s="3">
        <v>1</v>
      </c>
      <c r="H937" s="6">
        <f>IF('Settings'!$B$11="Scenario",ROUND(E937*G937*IFERROR(SUMIF('Pricing &amp; promotions'!$A$6:$A$8,L937,'Pricing &amp; promotions'!$B$6:$B$8)/100,0),2),J937)</f>
        <v>11.85</v>
      </c>
      <c r="I937" s="6">
        <f>ROUND((E937*G937-H937)/(1+'Settings'!$B$6/100),2)</f>
        <v>55.5</v>
      </c>
      <c r="J937" s="8">
        <v>11.85</v>
      </c>
      <c r="K937" s="3" t="inlineStr">
        <is>
          <t xml:space="preserve">TRUE</t>
        </is>
      </c>
      <c r="L937" s="3" t="inlineStr">
        <is>
          <t xml:space="preserve">SUMMER15</t>
        </is>
      </c>
    </row>
    <row r="938">
      <c r="A938" s="3" t="inlineStr">
        <is>
          <t xml:space="preserve">#1690</t>
        </is>
      </c>
      <c r="B938" s="3" t="inlineStr">
        <is>
          <t xml:space="preserve">2026-08-18</t>
        </is>
      </c>
      <c r="C938" s="3" t="inlineStr">
        <is>
          <t xml:space="preserve">SKU-D</t>
        </is>
      </c>
      <c r="D938" s="3" t="inlineStr">
        <is>
          <t xml:space="preserve">Daily Duo</t>
        </is>
      </c>
      <c r="E938" s="6">
        <f>IF('Settings'!$B$11="Scenario",IFERROR(INDEX('Catalogue'!$E$3:$E$100,MATCH(C938,'Catalogue'!$B$3:$B$100,0)),F938),F938)</f>
        <v>79</v>
      </c>
      <c r="F938" s="8">
        <v>79</v>
      </c>
      <c r="G938" s="3">
        <v>1</v>
      </c>
      <c r="H938" s="6">
        <f>IF('Settings'!$B$11="Scenario",ROUND(E938*G938*IFERROR(SUMIF('Pricing &amp; promotions'!$A$6:$A$8,L938,'Pricing &amp; promotions'!$B$6:$B$8)/100,0),2),J938)</f>
        <v>0.0</v>
      </c>
      <c r="I938" s="6">
        <f>ROUND((E938*G938-H938)/(1+'Settings'!$B$6/100),2)</f>
        <v>65.29</v>
      </c>
      <c r="J938" s="8">
        <v>0.0</v>
      </c>
      <c r="K938" s="3" t="inlineStr">
        <is>
          <t xml:space="preserve">TRUE</t>
        </is>
      </c>
      <c r="L938" s="3"/>
    </row>
    <row r="939">
      <c r="A939" s="3" t="inlineStr">
        <is>
          <t xml:space="preserve">#1691</t>
        </is>
      </c>
      <c r="B939" s="3" t="inlineStr">
        <is>
          <t xml:space="preserve">2026-08-19</t>
        </is>
      </c>
      <c r="C939" s="3" t="inlineStr">
        <is>
          <t xml:space="preserve">SKU-A</t>
        </is>
      </c>
      <c r="D939" s="3" t="inlineStr">
        <is>
          <t xml:space="preserve">Renewal Serum</t>
        </is>
      </c>
      <c r="E939" s="6">
        <f>IF('Settings'!$B$11="Scenario",IFERROR(INDEX('Catalogue'!$E$3:$E$100,MATCH(C939,'Catalogue'!$B$3:$B$100,0)),F939),F939)</f>
        <v>69.9</v>
      </c>
      <c r="F939" s="8">
        <v>69.9</v>
      </c>
      <c r="G939" s="3">
        <v>2</v>
      </c>
      <c r="H939" s="6">
        <f>IF('Settings'!$B$11="Scenario",ROUND(E939*G939*IFERROR(SUMIF('Pricing &amp; promotions'!$A$6:$A$8,L939,'Pricing &amp; promotions'!$B$6:$B$8)/100,0),2),J939)</f>
        <v>13.98</v>
      </c>
      <c r="I939" s="6">
        <f>ROUND((E939*G939-H939)/(1+'Settings'!$B$6/100),2)</f>
        <v>103.98</v>
      </c>
      <c r="J939" s="8">
        <v>13.98</v>
      </c>
      <c r="K939" s="3" t="inlineStr">
        <is>
          <t xml:space="preserve">TRUE</t>
        </is>
      </c>
      <c r="L939" s="3" t="inlineStr">
        <is>
          <t xml:space="preserve">WELCOME10</t>
        </is>
      </c>
    </row>
    <row r="940">
      <c r="A940" s="3" t="inlineStr">
        <is>
          <t xml:space="preserve">#1691</t>
        </is>
      </c>
      <c r="B940" s="3" t="inlineStr">
        <is>
          <t xml:space="preserve">2026-08-19</t>
        </is>
      </c>
      <c r="C940" s="3" t="inlineStr">
        <is>
          <t xml:space="preserve">SKU-D</t>
        </is>
      </c>
      <c r="D940" s="3" t="inlineStr">
        <is>
          <t xml:space="preserve">Daily Duo</t>
        </is>
      </c>
      <c r="E940" s="6">
        <f>IF('Settings'!$B$11="Scenario",IFERROR(INDEX('Catalogue'!$E$3:$E$100,MATCH(C940,'Catalogue'!$B$3:$B$100,0)),F940),F940)</f>
        <v>79</v>
      </c>
      <c r="F940" s="8">
        <v>79</v>
      </c>
      <c r="G940" s="3">
        <v>1</v>
      </c>
      <c r="H940" s="6">
        <f>IF('Settings'!$B$11="Scenario",ROUND(E940*G940*IFERROR(SUMIF('Pricing &amp; promotions'!$A$6:$A$8,L940,'Pricing &amp; promotions'!$B$6:$B$8)/100,0),2),J940)</f>
        <v>7.9</v>
      </c>
      <c r="I940" s="6">
        <f>ROUND((E940*G940-H940)/(1+'Settings'!$B$6/100),2)</f>
        <v>58.76</v>
      </c>
      <c r="J940" s="8">
        <v>7.9</v>
      </c>
      <c r="K940" s="3" t="inlineStr">
        <is>
          <t xml:space="preserve">TRUE</t>
        </is>
      </c>
      <c r="L940" s="3" t="inlineStr">
        <is>
          <t xml:space="preserve">WELCOME10</t>
        </is>
      </c>
    </row>
    <row r="941">
      <c r="A941" s="3" t="inlineStr">
        <is>
          <t xml:space="preserve">#1692</t>
        </is>
      </c>
      <c r="B941" s="3" t="inlineStr">
        <is>
          <t xml:space="preserve">2026-08-19</t>
        </is>
      </c>
      <c r="C941" s="3" t="inlineStr">
        <is>
          <t xml:space="preserve">SKU-E</t>
        </is>
      </c>
      <c r="D941" s="3" t="inlineStr">
        <is>
          <t xml:space="preserve">Complete Ritual</t>
        </is>
      </c>
      <c r="E941" s="6">
        <f>IF('Settings'!$B$11="Scenario",IFERROR(INDEX('Catalogue'!$E$3:$E$100,MATCH(C941,'Catalogue'!$B$3:$B$100,0)),F941),F941)</f>
        <v>89</v>
      </c>
      <c r="F941" s="8">
        <v>89</v>
      </c>
      <c r="G941" s="3">
        <v>1</v>
      </c>
      <c r="H941" s="6">
        <f>IF('Settings'!$B$11="Scenario",ROUND(E941*G941*IFERROR(SUMIF('Pricing &amp; promotions'!$A$6:$A$8,L941,'Pricing &amp; promotions'!$B$6:$B$8)/100,0),2),J941)</f>
        <v>8.9</v>
      </c>
      <c r="I941" s="6">
        <f>ROUND((E941*G941-H941)/(1+'Settings'!$B$6/100),2)</f>
        <v>66.2</v>
      </c>
      <c r="J941" s="8">
        <v>8.9</v>
      </c>
      <c r="K941" s="3" t="inlineStr">
        <is>
          <t xml:space="preserve">TRUE</t>
        </is>
      </c>
      <c r="L941" s="3" t="inlineStr">
        <is>
          <t xml:space="preserve">WELCOME10</t>
        </is>
      </c>
    </row>
    <row r="942">
      <c r="A942" s="3" t="inlineStr">
        <is>
          <t xml:space="preserve">#1692</t>
        </is>
      </c>
      <c r="B942" s="3" t="inlineStr">
        <is>
          <t xml:space="preserve">2026-08-19</t>
        </is>
      </c>
      <c r="C942" s="3" t="inlineStr">
        <is>
          <t xml:space="preserve">SKU-A</t>
        </is>
      </c>
      <c r="D942" s="3" t="inlineStr">
        <is>
          <t xml:space="preserve">Renewal Serum</t>
        </is>
      </c>
      <c r="E942" s="6">
        <f>IF('Settings'!$B$11="Scenario",IFERROR(INDEX('Catalogue'!$E$3:$E$100,MATCH(C942,'Catalogue'!$B$3:$B$100,0)),F942),F942)</f>
        <v>69.9</v>
      </c>
      <c r="F942" s="8">
        <v>69.9</v>
      </c>
      <c r="G942" s="3">
        <v>2</v>
      </c>
      <c r="H942" s="6">
        <f>IF('Settings'!$B$11="Scenario",ROUND(E942*G942*IFERROR(SUMIF('Pricing &amp; promotions'!$A$6:$A$8,L942,'Pricing &amp; promotions'!$B$6:$B$8)/100,0),2),J942)</f>
        <v>13.98</v>
      </c>
      <c r="I942" s="6">
        <f>ROUND((E942*G942-H942)/(1+'Settings'!$B$6/100),2)</f>
        <v>103.98</v>
      </c>
      <c r="J942" s="8">
        <v>13.98</v>
      </c>
      <c r="K942" s="3" t="inlineStr">
        <is>
          <t xml:space="preserve">TRUE</t>
        </is>
      </c>
      <c r="L942" s="3" t="inlineStr">
        <is>
          <t xml:space="preserve">WELCOME10</t>
        </is>
      </c>
    </row>
    <row r="943">
      <c r="A943" s="3" t="inlineStr">
        <is>
          <t xml:space="preserve">#1693</t>
        </is>
      </c>
      <c r="B943" s="3" t="inlineStr">
        <is>
          <t xml:space="preserve">2026-08-19</t>
        </is>
      </c>
      <c r="C943" s="3" t="inlineStr">
        <is>
          <t xml:space="preserve">SKU-A</t>
        </is>
      </c>
      <c r="D943" s="3" t="inlineStr">
        <is>
          <t xml:space="preserve">Renewal Serum</t>
        </is>
      </c>
      <c r="E943" s="6">
        <f>IF('Settings'!$B$11="Scenario",IFERROR(INDEX('Catalogue'!$E$3:$E$100,MATCH(C943,'Catalogue'!$B$3:$B$100,0)),F943),F943)</f>
        <v>69.9</v>
      </c>
      <c r="F943" s="8">
        <v>69.9</v>
      </c>
      <c r="G943" s="3">
        <v>1</v>
      </c>
      <c r="H943" s="6">
        <f>IF('Settings'!$B$11="Scenario",ROUND(E943*G943*IFERROR(SUMIF('Pricing &amp; promotions'!$A$6:$A$8,L943,'Pricing &amp; promotions'!$B$6:$B$8)/100,0),2),J943)</f>
        <v>0.0</v>
      </c>
      <c r="I943" s="6">
        <f>ROUND((E943*G943-H943)/(1+'Settings'!$B$6/100),2)</f>
        <v>57.77</v>
      </c>
      <c r="J943" s="8">
        <v>0.0</v>
      </c>
      <c r="K943" s="3" t="inlineStr">
        <is>
          <t xml:space="preserve">TRUE</t>
        </is>
      </c>
      <c r="L943" s="3"/>
    </row>
    <row r="944">
      <c r="A944" s="3" t="inlineStr">
        <is>
          <t xml:space="preserve">#1693</t>
        </is>
      </c>
      <c r="B944" s="3" t="inlineStr">
        <is>
          <t xml:space="preserve">2026-08-19</t>
        </is>
      </c>
      <c r="C944" s="3" t="inlineStr">
        <is>
          <t xml:space="preserve">SKU-G</t>
        </is>
      </c>
      <c r="D944" s="3" t="inlineStr">
        <is>
          <t xml:space="preserve">Daily Reset Set</t>
        </is>
      </c>
      <c r="E944" s="6">
        <f>IF('Settings'!$B$11="Scenario",IFERROR(INDEX('Catalogue'!$E$3:$E$100,MATCH(C944,'Catalogue'!$B$3:$B$100,0)),F944),F944)</f>
        <v>69</v>
      </c>
      <c r="F944" s="8">
        <v>69</v>
      </c>
      <c r="G944" s="3">
        <v>1</v>
      </c>
      <c r="H944" s="6">
        <f>IF('Settings'!$B$11="Scenario",ROUND(E944*G944*IFERROR(SUMIF('Pricing &amp; promotions'!$A$6:$A$8,L944,'Pricing &amp; promotions'!$B$6:$B$8)/100,0),2),J944)</f>
        <v>0.0</v>
      </c>
      <c r="I944" s="6">
        <f>ROUND((E944*G944-H944)/(1+'Settings'!$B$6/100),2)</f>
        <v>57.02</v>
      </c>
      <c r="J944" s="8">
        <v>0.0</v>
      </c>
      <c r="K944" s="3" t="inlineStr">
        <is>
          <t xml:space="preserve">TRUE</t>
        </is>
      </c>
      <c r="L944" s="3"/>
    </row>
    <row r="945">
      <c r="A945" s="3" t="inlineStr">
        <is>
          <t xml:space="preserve">#1694</t>
        </is>
      </c>
      <c r="B945" s="3" t="inlineStr">
        <is>
          <t xml:space="preserve">2026-08-20</t>
        </is>
      </c>
      <c r="C945" s="3" t="inlineStr">
        <is>
          <t xml:space="preserve">SKU-A</t>
        </is>
      </c>
      <c r="D945" s="3" t="inlineStr">
        <is>
          <t xml:space="preserve">Renewal Serum</t>
        </is>
      </c>
      <c r="E945" s="6">
        <f>IF('Settings'!$B$11="Scenario",IFERROR(INDEX('Catalogue'!$E$3:$E$100,MATCH(C945,'Catalogue'!$B$3:$B$100,0)),F945),F945)</f>
        <v>69.9</v>
      </c>
      <c r="F945" s="8">
        <v>69.9</v>
      </c>
      <c r="G945" s="3">
        <v>1</v>
      </c>
      <c r="H945" s="6">
        <f>IF('Settings'!$B$11="Scenario",ROUND(E945*G945*IFERROR(SUMIF('Pricing &amp; promotions'!$A$6:$A$8,L945,'Pricing &amp; promotions'!$B$6:$B$8)/100,0),2),J945)</f>
        <v>0.0</v>
      </c>
      <c r="I945" s="6">
        <f>ROUND((E945*G945-H945)/(1+'Settings'!$B$6/100),2)</f>
        <v>57.77</v>
      </c>
      <c r="J945" s="8">
        <v>0.0</v>
      </c>
      <c r="K945" s="3" t="inlineStr">
        <is>
          <t xml:space="preserve">TRUE</t>
        </is>
      </c>
      <c r="L945" s="3"/>
    </row>
    <row r="946">
      <c r="A946" s="3" t="inlineStr">
        <is>
          <t xml:space="preserve">#1694</t>
        </is>
      </c>
      <c r="B946" s="3" t="inlineStr">
        <is>
          <t xml:space="preserve">2026-08-20</t>
        </is>
      </c>
      <c r="C946" s="3" t="inlineStr">
        <is>
          <t xml:space="preserve">SKU-D</t>
        </is>
      </c>
      <c r="D946" s="3" t="inlineStr">
        <is>
          <t xml:space="preserve">Daily Duo</t>
        </is>
      </c>
      <c r="E946" s="6">
        <f>IF('Settings'!$B$11="Scenario",IFERROR(INDEX('Catalogue'!$E$3:$E$100,MATCH(C946,'Catalogue'!$B$3:$B$100,0)),F946),F946)</f>
        <v>79</v>
      </c>
      <c r="F946" s="8">
        <v>79</v>
      </c>
      <c r="G946" s="3">
        <v>1</v>
      </c>
      <c r="H946" s="6">
        <f>IF('Settings'!$B$11="Scenario",ROUND(E946*G946*IFERROR(SUMIF('Pricing &amp; promotions'!$A$6:$A$8,L946,'Pricing &amp; promotions'!$B$6:$B$8)/100,0),2),J946)</f>
        <v>0.0</v>
      </c>
      <c r="I946" s="6">
        <f>ROUND((E946*G946-H946)/(1+'Settings'!$B$6/100),2)</f>
        <v>65.29</v>
      </c>
      <c r="J946" s="8">
        <v>0.0</v>
      </c>
      <c r="K946" s="3" t="inlineStr">
        <is>
          <t xml:space="preserve">TRUE</t>
        </is>
      </c>
      <c r="L946" s="3"/>
    </row>
    <row r="947">
      <c r="A947" s="3" t="inlineStr">
        <is>
          <t xml:space="preserve">#1695</t>
        </is>
      </c>
      <c r="B947" s="3" t="inlineStr">
        <is>
          <t xml:space="preserve">2026-08-20</t>
        </is>
      </c>
      <c r="C947" s="3" t="inlineStr">
        <is>
          <t xml:space="preserve">SKU-A</t>
        </is>
      </c>
      <c r="D947" s="3" t="inlineStr">
        <is>
          <t xml:space="preserve">Renewal Serum</t>
        </is>
      </c>
      <c r="E947" s="6">
        <f>IF('Settings'!$B$11="Scenario",IFERROR(INDEX('Catalogue'!$E$3:$E$100,MATCH(C947,'Catalogue'!$B$3:$B$100,0)),F947),F947)</f>
        <v>69.9</v>
      </c>
      <c r="F947" s="8">
        <v>69.9</v>
      </c>
      <c r="G947" s="3">
        <v>1</v>
      </c>
      <c r="H947" s="6">
        <f>IF('Settings'!$B$11="Scenario",ROUND(E947*G947*IFERROR(SUMIF('Pricing &amp; promotions'!$A$6:$A$8,L947,'Pricing &amp; promotions'!$B$6:$B$8)/100,0),2),J947)</f>
        <v>6.99</v>
      </c>
      <c r="I947" s="6">
        <f>ROUND((E947*G947-H947)/(1+'Settings'!$B$6/100),2)</f>
        <v>51.99</v>
      </c>
      <c r="J947" s="8">
        <v>6.99</v>
      </c>
      <c r="K947" s="3" t="inlineStr">
        <is>
          <t xml:space="preserve">TRUE</t>
        </is>
      </c>
      <c r="L947" s="3" t="inlineStr">
        <is>
          <t xml:space="preserve">WELCOME10</t>
        </is>
      </c>
    </row>
    <row r="948">
      <c r="A948" s="3" t="inlineStr">
        <is>
          <t xml:space="preserve">#1696</t>
        </is>
      </c>
      <c r="B948" s="3" t="inlineStr">
        <is>
          <t xml:space="preserve">2026-08-21</t>
        </is>
      </c>
      <c r="C948" s="3" t="inlineStr">
        <is>
          <t xml:space="preserve">SKU-E</t>
        </is>
      </c>
      <c r="D948" s="3" t="inlineStr">
        <is>
          <t xml:space="preserve">Complete Ritual</t>
        </is>
      </c>
      <c r="E948" s="6">
        <f>IF('Settings'!$B$11="Scenario",IFERROR(INDEX('Catalogue'!$E$3:$E$100,MATCH(C948,'Catalogue'!$B$3:$B$100,0)),F948),F948)</f>
        <v>89</v>
      </c>
      <c r="F948" s="8">
        <v>89</v>
      </c>
      <c r="G948" s="3">
        <v>1</v>
      </c>
      <c r="H948" s="6">
        <f>IF('Settings'!$B$11="Scenario",ROUND(E948*G948*IFERROR(SUMIF('Pricing &amp; promotions'!$A$6:$A$8,L948,'Pricing &amp; promotions'!$B$6:$B$8)/100,0),2),J948)</f>
        <v>0.0</v>
      </c>
      <c r="I948" s="6">
        <f>ROUND((E948*G948-H948)/(1+'Settings'!$B$6/100),2)</f>
        <v>73.55</v>
      </c>
      <c r="J948" s="8">
        <v>0.0</v>
      </c>
      <c r="K948" s="3" t="inlineStr">
        <is>
          <t xml:space="preserve">TRUE</t>
        </is>
      </c>
      <c r="L948" s="3"/>
    </row>
    <row r="949">
      <c r="A949" s="3" t="inlineStr">
        <is>
          <t xml:space="preserve">#1697</t>
        </is>
      </c>
      <c r="B949" s="3" t="inlineStr">
        <is>
          <t xml:space="preserve">2026-08-21</t>
        </is>
      </c>
      <c r="C949" s="3" t="inlineStr">
        <is>
          <t xml:space="preserve">SKU-B</t>
        </is>
      </c>
      <c r="D949" s="3" t="inlineStr">
        <is>
          <t xml:space="preserve">Barrier Balm</t>
        </is>
      </c>
      <c r="E949" s="6">
        <f>IF('Settings'!$B$11="Scenario",IFERROR(INDEX('Catalogue'!$E$3:$E$100,MATCH(C949,'Catalogue'!$B$3:$B$100,0)),F949),F949)</f>
        <v>19</v>
      </c>
      <c r="F949" s="8">
        <v>19</v>
      </c>
      <c r="G949" s="3">
        <v>2</v>
      </c>
      <c r="H949" s="6">
        <f>IF('Settings'!$B$11="Scenario",ROUND(E949*G949*IFERROR(SUMIF('Pricing &amp; promotions'!$A$6:$A$8,L949,'Pricing &amp; promotions'!$B$6:$B$8)/100,0),2),J949)</f>
        <v>0.0</v>
      </c>
      <c r="I949" s="6">
        <f>ROUND((E949*G949-H949)/(1+'Settings'!$B$6/100),2)</f>
        <v>31.4</v>
      </c>
      <c r="J949" s="8">
        <v>0.0</v>
      </c>
      <c r="K949" s="3" t="inlineStr">
        <is>
          <t xml:space="preserve">TRUE</t>
        </is>
      </c>
      <c r="L949" s="3"/>
    </row>
    <row r="950">
      <c r="A950" s="3" t="inlineStr">
        <is>
          <t xml:space="preserve">#1698</t>
        </is>
      </c>
      <c r="B950" s="3" t="inlineStr">
        <is>
          <t xml:space="preserve">2026-08-22</t>
        </is>
      </c>
      <c r="C950" s="3" t="inlineStr">
        <is>
          <t xml:space="preserve">SKU-E</t>
        </is>
      </c>
      <c r="D950" s="3" t="inlineStr">
        <is>
          <t xml:space="preserve">Complete Ritual</t>
        </is>
      </c>
      <c r="E950" s="6">
        <f>IF('Settings'!$B$11="Scenario",IFERROR(INDEX('Catalogue'!$E$3:$E$100,MATCH(C950,'Catalogue'!$B$3:$B$100,0)),F950),F950)</f>
        <v>89</v>
      </c>
      <c r="F950" s="8">
        <v>89</v>
      </c>
      <c r="G950" s="3">
        <v>1</v>
      </c>
      <c r="H950" s="6">
        <f>IF('Settings'!$B$11="Scenario",ROUND(E950*G950*IFERROR(SUMIF('Pricing &amp; promotions'!$A$6:$A$8,L950,'Pricing &amp; promotions'!$B$6:$B$8)/100,0),2),J950)</f>
        <v>13.35</v>
      </c>
      <c r="I950" s="6">
        <f>ROUND((E950*G950-H950)/(1+'Settings'!$B$6/100),2)</f>
        <v>62.52</v>
      </c>
      <c r="J950" s="8">
        <v>13.35</v>
      </c>
      <c r="K950" s="3" t="inlineStr">
        <is>
          <t xml:space="preserve">TRUE</t>
        </is>
      </c>
      <c r="L950" s="3" t="inlineStr">
        <is>
          <t xml:space="preserve">SUMMER15</t>
        </is>
      </c>
    </row>
    <row r="951">
      <c r="A951" s="3" t="inlineStr">
        <is>
          <t xml:space="preserve">#1698</t>
        </is>
      </c>
      <c r="B951" s="3" t="inlineStr">
        <is>
          <t xml:space="preserve">2026-08-22</t>
        </is>
      </c>
      <c r="C951" s="3" t="inlineStr">
        <is>
          <t xml:space="preserve">SKU-A</t>
        </is>
      </c>
      <c r="D951" s="3" t="inlineStr">
        <is>
          <t xml:space="preserve">Renewal Serum</t>
        </is>
      </c>
      <c r="E951" s="6">
        <f>IF('Settings'!$B$11="Scenario",IFERROR(INDEX('Catalogue'!$E$3:$E$100,MATCH(C951,'Catalogue'!$B$3:$B$100,0)),F951),F951)</f>
        <v>69.9</v>
      </c>
      <c r="F951" s="8">
        <v>69.9</v>
      </c>
      <c r="G951" s="3">
        <v>1</v>
      </c>
      <c r="H951" s="6">
        <f>IF('Settings'!$B$11="Scenario",ROUND(E951*G951*IFERROR(SUMIF('Pricing &amp; promotions'!$A$6:$A$8,L951,'Pricing &amp; promotions'!$B$6:$B$8)/100,0),2),J951)</f>
        <v>10.49</v>
      </c>
      <c r="I951" s="6">
        <f>ROUND((E951*G951-H951)/(1+'Settings'!$B$6/100),2)</f>
        <v>49.1</v>
      </c>
      <c r="J951" s="8">
        <v>10.49</v>
      </c>
      <c r="K951" s="3" t="inlineStr">
        <is>
          <t xml:space="preserve">TRUE</t>
        </is>
      </c>
      <c r="L951" s="3" t="inlineStr">
        <is>
          <t xml:space="preserve">SUMMER15</t>
        </is>
      </c>
    </row>
    <row r="952">
      <c r="A952" s="3" t="inlineStr">
        <is>
          <t xml:space="preserve">#1699</t>
        </is>
      </c>
      <c r="B952" s="3" t="inlineStr">
        <is>
          <t xml:space="preserve">2026-08-22</t>
        </is>
      </c>
      <c r="C952" s="3" t="inlineStr">
        <is>
          <t xml:space="preserve">SKU-E</t>
        </is>
      </c>
      <c r="D952" s="3" t="inlineStr">
        <is>
          <t xml:space="preserve">Complete Ritual</t>
        </is>
      </c>
      <c r="E952" s="6">
        <f>IF('Settings'!$B$11="Scenario",IFERROR(INDEX('Catalogue'!$E$3:$E$100,MATCH(C952,'Catalogue'!$B$3:$B$100,0)),F952),F952)</f>
        <v>89</v>
      </c>
      <c r="F952" s="8">
        <v>89</v>
      </c>
      <c r="G952" s="3">
        <v>1</v>
      </c>
      <c r="H952" s="6">
        <f>IF('Settings'!$B$11="Scenario",ROUND(E952*G952*IFERROR(SUMIF('Pricing &amp; promotions'!$A$6:$A$8,L952,'Pricing &amp; promotions'!$B$6:$B$8)/100,0),2),J952)</f>
        <v>0.0</v>
      </c>
      <c r="I952" s="6">
        <f>ROUND((E952*G952-H952)/(1+'Settings'!$B$6/100),2)</f>
        <v>73.55</v>
      </c>
      <c r="J952" s="8">
        <v>0.0</v>
      </c>
      <c r="K952" s="3" t="inlineStr">
        <is>
          <t xml:space="preserve">TRUE</t>
        </is>
      </c>
      <c r="L952" s="3"/>
    </row>
    <row r="953">
      <c r="A953" s="3" t="inlineStr">
        <is>
          <t xml:space="preserve">#1700</t>
        </is>
      </c>
      <c r="B953" s="3" t="inlineStr">
        <is>
          <t xml:space="preserve">2026-08-22</t>
        </is>
      </c>
      <c r="C953" s="3" t="inlineStr">
        <is>
          <t xml:space="preserve">SKU-G</t>
        </is>
      </c>
      <c r="D953" s="3" t="inlineStr">
        <is>
          <t xml:space="preserve">Daily Reset Set</t>
        </is>
      </c>
      <c r="E953" s="6">
        <f>IF('Settings'!$B$11="Scenario",IFERROR(INDEX('Catalogue'!$E$3:$E$100,MATCH(C953,'Catalogue'!$B$3:$B$100,0)),F953),F953)</f>
        <v>69</v>
      </c>
      <c r="F953" s="8">
        <v>69</v>
      </c>
      <c r="G953" s="3">
        <v>1</v>
      </c>
      <c r="H953" s="6">
        <f>IF('Settings'!$B$11="Scenario",ROUND(E953*G953*IFERROR(SUMIF('Pricing &amp; promotions'!$A$6:$A$8,L953,'Pricing &amp; promotions'!$B$6:$B$8)/100,0),2),J953)</f>
        <v>0.0</v>
      </c>
      <c r="I953" s="6">
        <f>ROUND((E953*G953-H953)/(1+'Settings'!$B$6/100),2)</f>
        <v>57.02</v>
      </c>
      <c r="J953" s="8">
        <v>0.0</v>
      </c>
      <c r="K953" s="3" t="inlineStr">
        <is>
          <t xml:space="preserve">TRUE</t>
        </is>
      </c>
      <c r="L953" s="3"/>
    </row>
    <row r="954">
      <c r="A954" s="3" t="inlineStr">
        <is>
          <t xml:space="preserve">#1701</t>
        </is>
      </c>
      <c r="B954" s="3" t="inlineStr">
        <is>
          <t xml:space="preserve">2026-08-22</t>
        </is>
      </c>
      <c r="C954" s="3" t="inlineStr">
        <is>
          <t xml:space="preserve">SKU-D</t>
        </is>
      </c>
      <c r="D954" s="3" t="inlineStr">
        <is>
          <t xml:space="preserve">Daily Duo</t>
        </is>
      </c>
      <c r="E954" s="6">
        <f>IF('Settings'!$B$11="Scenario",IFERROR(INDEX('Catalogue'!$E$3:$E$100,MATCH(C954,'Catalogue'!$B$3:$B$100,0)),F954),F954)</f>
        <v>79</v>
      </c>
      <c r="F954" s="8">
        <v>79</v>
      </c>
      <c r="G954" s="3">
        <v>1</v>
      </c>
      <c r="H954" s="6">
        <f>IF('Settings'!$B$11="Scenario",ROUND(E954*G954*IFERROR(SUMIF('Pricing &amp; promotions'!$A$6:$A$8,L954,'Pricing &amp; promotions'!$B$6:$B$8)/100,0),2),J954)</f>
        <v>0.0</v>
      </c>
      <c r="I954" s="6">
        <f>ROUND((E954*G954-H954)/(1+'Settings'!$B$6/100),2)</f>
        <v>65.29</v>
      </c>
      <c r="J954" s="8">
        <v>0.0</v>
      </c>
      <c r="K954" s="3" t="inlineStr">
        <is>
          <t xml:space="preserve">TRUE</t>
        </is>
      </c>
      <c r="L954" s="3"/>
    </row>
    <row r="955">
      <c r="A955" s="3" t="inlineStr">
        <is>
          <t xml:space="preserve">#1702</t>
        </is>
      </c>
      <c r="B955" s="3" t="inlineStr">
        <is>
          <t xml:space="preserve">2026-08-23</t>
        </is>
      </c>
      <c r="C955" s="3" t="inlineStr">
        <is>
          <t xml:space="preserve">SKU-B</t>
        </is>
      </c>
      <c r="D955" s="3" t="inlineStr">
        <is>
          <t xml:space="preserve">Barrier Balm</t>
        </is>
      </c>
      <c r="E955" s="6">
        <f>IF('Settings'!$B$11="Scenario",IFERROR(INDEX('Catalogue'!$E$3:$E$100,MATCH(C955,'Catalogue'!$B$3:$B$100,0)),F955),F955)</f>
        <v>19</v>
      </c>
      <c r="F955" s="8">
        <v>19</v>
      </c>
      <c r="G955" s="3">
        <v>1</v>
      </c>
      <c r="H955" s="6">
        <f>IF('Settings'!$B$11="Scenario",ROUND(E955*G955*IFERROR(SUMIF('Pricing &amp; promotions'!$A$6:$A$8,L955,'Pricing &amp; promotions'!$B$6:$B$8)/100,0),2),J955)</f>
        <v>0.0</v>
      </c>
      <c r="I955" s="6">
        <f>ROUND((E955*G955-H955)/(1+'Settings'!$B$6/100),2)</f>
        <v>15.7</v>
      </c>
      <c r="J955" s="8">
        <v>0.0</v>
      </c>
      <c r="K955" s="3" t="inlineStr">
        <is>
          <t xml:space="preserve">TRUE</t>
        </is>
      </c>
      <c r="L955" s="3"/>
    </row>
    <row r="956">
      <c r="A956" s="3" t="inlineStr">
        <is>
          <t xml:space="preserve">#1702</t>
        </is>
      </c>
      <c r="B956" s="3" t="inlineStr">
        <is>
          <t xml:space="preserve">2026-08-23</t>
        </is>
      </c>
      <c r="C956" s="3" t="inlineStr">
        <is>
          <t xml:space="preserve">SKU-G</t>
        </is>
      </c>
      <c r="D956" s="3" t="inlineStr">
        <is>
          <t xml:space="preserve">Daily Reset Set</t>
        </is>
      </c>
      <c r="E956" s="6">
        <f>IF('Settings'!$B$11="Scenario",IFERROR(INDEX('Catalogue'!$E$3:$E$100,MATCH(C956,'Catalogue'!$B$3:$B$100,0)),F956),F956)</f>
        <v>69</v>
      </c>
      <c r="F956" s="8">
        <v>69</v>
      </c>
      <c r="G956" s="3">
        <v>1</v>
      </c>
      <c r="H956" s="6">
        <f>IF('Settings'!$B$11="Scenario",ROUND(E956*G956*IFERROR(SUMIF('Pricing &amp; promotions'!$A$6:$A$8,L956,'Pricing &amp; promotions'!$B$6:$B$8)/100,0),2),J956)</f>
        <v>0.0</v>
      </c>
      <c r="I956" s="6">
        <f>ROUND((E956*G956-H956)/(1+'Settings'!$B$6/100),2)</f>
        <v>57.02</v>
      </c>
      <c r="J956" s="8">
        <v>0.0</v>
      </c>
      <c r="K956" s="3" t="inlineStr">
        <is>
          <t xml:space="preserve">TRUE</t>
        </is>
      </c>
      <c r="L956" s="3"/>
    </row>
    <row r="957">
      <c r="A957" s="3" t="inlineStr">
        <is>
          <t xml:space="preserve">#1703</t>
        </is>
      </c>
      <c r="B957" s="3" t="inlineStr">
        <is>
          <t xml:space="preserve">2026-08-23</t>
        </is>
      </c>
      <c r="C957" s="3" t="inlineStr">
        <is>
          <t xml:space="preserve">SKU-D</t>
        </is>
      </c>
      <c r="D957" s="3" t="inlineStr">
        <is>
          <t xml:space="preserve">Daily Duo</t>
        </is>
      </c>
      <c r="E957" s="6">
        <f>IF('Settings'!$B$11="Scenario",IFERROR(INDEX('Catalogue'!$E$3:$E$100,MATCH(C957,'Catalogue'!$B$3:$B$100,0)),F957),F957)</f>
        <v>79</v>
      </c>
      <c r="F957" s="8">
        <v>79</v>
      </c>
      <c r="G957" s="3">
        <v>1</v>
      </c>
      <c r="H957" s="6">
        <f>IF('Settings'!$B$11="Scenario",ROUND(E957*G957*IFERROR(SUMIF('Pricing &amp; promotions'!$A$6:$A$8,L957,'Pricing &amp; promotions'!$B$6:$B$8)/100,0),2),J957)</f>
        <v>0.0</v>
      </c>
      <c r="I957" s="6">
        <f>ROUND((E957*G957-H957)/(1+'Settings'!$B$6/100),2)</f>
        <v>65.29</v>
      </c>
      <c r="J957" s="8">
        <v>0.0</v>
      </c>
      <c r="K957" s="3" t="inlineStr">
        <is>
          <t xml:space="preserve">TRUE</t>
        </is>
      </c>
      <c r="L957" s="3"/>
    </row>
    <row r="958">
      <c r="A958" s="3" t="inlineStr">
        <is>
          <t xml:space="preserve">#1704</t>
        </is>
      </c>
      <c r="B958" s="3" t="inlineStr">
        <is>
          <t xml:space="preserve">2026-08-24</t>
        </is>
      </c>
      <c r="C958" s="3" t="inlineStr">
        <is>
          <t xml:space="preserve">SKU-A</t>
        </is>
      </c>
      <c r="D958" s="3" t="inlineStr">
        <is>
          <t xml:space="preserve">Renewal Serum</t>
        </is>
      </c>
      <c r="E958" s="6">
        <f>IF('Settings'!$B$11="Scenario",IFERROR(INDEX('Catalogue'!$E$3:$E$100,MATCH(C958,'Catalogue'!$B$3:$B$100,0)),F958),F958)</f>
        <v>69.9</v>
      </c>
      <c r="F958" s="8">
        <v>69.9</v>
      </c>
      <c r="G958" s="3">
        <v>2</v>
      </c>
      <c r="H958" s="6">
        <f>IF('Settings'!$B$11="Scenario",ROUND(E958*G958*IFERROR(SUMIF('Pricing &amp; promotions'!$A$6:$A$8,L958,'Pricing &amp; promotions'!$B$6:$B$8)/100,0),2),J958)</f>
        <v>13.98</v>
      </c>
      <c r="I958" s="6">
        <f>ROUND((E958*G958-H958)/(1+'Settings'!$B$6/100),2)</f>
        <v>103.98</v>
      </c>
      <c r="J958" s="8">
        <v>13.98</v>
      </c>
      <c r="K958" s="3" t="inlineStr">
        <is>
          <t xml:space="preserve">TRUE</t>
        </is>
      </c>
      <c r="L958" s="3" t="inlineStr">
        <is>
          <t xml:space="preserve">WELCOME10</t>
        </is>
      </c>
    </row>
    <row r="959">
      <c r="A959" s="3" t="inlineStr">
        <is>
          <t xml:space="preserve">#1705</t>
        </is>
      </c>
      <c r="B959" s="3" t="inlineStr">
        <is>
          <t xml:space="preserve">2026-08-25</t>
        </is>
      </c>
      <c r="C959" s="3" t="inlineStr">
        <is>
          <t xml:space="preserve">SKU-C</t>
        </is>
      </c>
      <c r="D959" s="3" t="inlineStr">
        <is>
          <t xml:space="preserve">Contour Stone</t>
        </is>
      </c>
      <c r="E959" s="6">
        <f>IF('Settings'!$B$11="Scenario",IFERROR(INDEX('Catalogue'!$E$3:$E$100,MATCH(C959,'Catalogue'!$B$3:$B$100,0)),F959),F959)</f>
        <v>29</v>
      </c>
      <c r="F959" s="8">
        <v>29</v>
      </c>
      <c r="G959" s="3">
        <v>1</v>
      </c>
      <c r="H959" s="6">
        <f>IF('Settings'!$B$11="Scenario",ROUND(E959*G959*IFERROR(SUMIF('Pricing &amp; promotions'!$A$6:$A$8,L959,'Pricing &amp; promotions'!$B$6:$B$8)/100,0),2),J959)</f>
        <v>0.0</v>
      </c>
      <c r="I959" s="6">
        <f>ROUND((E959*G959-H959)/(1+'Settings'!$B$6/100),2)</f>
        <v>23.97</v>
      </c>
      <c r="J959" s="8">
        <v>0.0</v>
      </c>
      <c r="K959" s="3" t="inlineStr">
        <is>
          <t xml:space="preserve">TRUE</t>
        </is>
      </c>
      <c r="L959" s="3"/>
    </row>
    <row r="960">
      <c r="A960" s="3" t="inlineStr">
        <is>
          <t xml:space="preserve">#1706</t>
        </is>
      </c>
      <c r="B960" s="3" t="inlineStr">
        <is>
          <t xml:space="preserve">2026-08-25</t>
        </is>
      </c>
      <c r="C960" s="3" t="inlineStr">
        <is>
          <t xml:space="preserve">SKU-A</t>
        </is>
      </c>
      <c r="D960" s="3" t="inlineStr">
        <is>
          <t xml:space="preserve">Renewal Serum</t>
        </is>
      </c>
      <c r="E960" s="6">
        <f>IF('Settings'!$B$11="Scenario",IFERROR(INDEX('Catalogue'!$E$3:$E$100,MATCH(C960,'Catalogue'!$B$3:$B$100,0)),F960),F960)</f>
        <v>69.9</v>
      </c>
      <c r="F960" s="8">
        <v>69.9</v>
      </c>
      <c r="G960" s="3">
        <v>1</v>
      </c>
      <c r="H960" s="6">
        <f>IF('Settings'!$B$11="Scenario",ROUND(E960*G960*IFERROR(SUMIF('Pricing &amp; promotions'!$A$6:$A$8,L960,'Pricing &amp; promotions'!$B$6:$B$8)/100,0),2),J960)</f>
        <v>0.0</v>
      </c>
      <c r="I960" s="6">
        <f>ROUND((E960*G960-H960)/(1+'Settings'!$B$6/100),2)</f>
        <v>57.77</v>
      </c>
      <c r="J960" s="8">
        <v>0.0</v>
      </c>
      <c r="K960" s="3" t="inlineStr">
        <is>
          <t xml:space="preserve">TRUE</t>
        </is>
      </c>
      <c r="L960" s="3"/>
    </row>
    <row r="961">
      <c r="A961" s="3" t="inlineStr">
        <is>
          <t xml:space="preserve">#1707</t>
        </is>
      </c>
      <c r="B961" s="3" t="inlineStr">
        <is>
          <t xml:space="preserve">2026-08-26</t>
        </is>
      </c>
      <c r="C961" s="3" t="inlineStr">
        <is>
          <t xml:space="preserve">SKU-B</t>
        </is>
      </c>
      <c r="D961" s="3" t="inlineStr">
        <is>
          <t xml:space="preserve">Barrier Balm</t>
        </is>
      </c>
      <c r="E961" s="6">
        <f>IF('Settings'!$B$11="Scenario",IFERROR(INDEX('Catalogue'!$E$3:$E$100,MATCH(C961,'Catalogue'!$B$3:$B$100,0)),F961),F961)</f>
        <v>19</v>
      </c>
      <c r="F961" s="8">
        <v>19</v>
      </c>
      <c r="G961" s="3">
        <v>1</v>
      </c>
      <c r="H961" s="6">
        <f>IF('Settings'!$B$11="Scenario",ROUND(E961*G961*IFERROR(SUMIF('Pricing &amp; promotions'!$A$6:$A$8,L961,'Pricing &amp; promotions'!$B$6:$B$8)/100,0),2),J961)</f>
        <v>0.0</v>
      </c>
      <c r="I961" s="6">
        <f>ROUND((E961*G961-H961)/(1+'Settings'!$B$6/100),2)</f>
        <v>15.7</v>
      </c>
      <c r="J961" s="8">
        <v>0.0</v>
      </c>
      <c r="K961" s="3" t="inlineStr">
        <is>
          <t xml:space="preserve">TRUE</t>
        </is>
      </c>
      <c r="L961" s="3"/>
    </row>
    <row r="962">
      <c r="A962" s="3" t="inlineStr">
        <is>
          <t xml:space="preserve">#1708</t>
        </is>
      </c>
      <c r="B962" s="3" t="inlineStr">
        <is>
          <t xml:space="preserve">2026-08-27</t>
        </is>
      </c>
      <c r="C962" s="3" t="inlineStr">
        <is>
          <t xml:space="preserve">SKU-A</t>
        </is>
      </c>
      <c r="D962" s="3" t="inlineStr">
        <is>
          <t xml:space="preserve">Renewal Serum</t>
        </is>
      </c>
      <c r="E962" s="6">
        <f>IF('Settings'!$B$11="Scenario",IFERROR(INDEX('Catalogue'!$E$3:$E$100,MATCH(C962,'Catalogue'!$B$3:$B$100,0)),F962),F962)</f>
        <v>69.9</v>
      </c>
      <c r="F962" s="8">
        <v>69.9</v>
      </c>
      <c r="G962" s="3">
        <v>1</v>
      </c>
      <c r="H962" s="6">
        <f>IF('Settings'!$B$11="Scenario",ROUND(E962*G962*IFERROR(SUMIF('Pricing &amp; promotions'!$A$6:$A$8,L962,'Pricing &amp; promotions'!$B$6:$B$8)/100,0),2),J962)</f>
        <v>6.99</v>
      </c>
      <c r="I962" s="6">
        <f>ROUND((E962*G962-H962)/(1+'Settings'!$B$6/100),2)</f>
        <v>51.99</v>
      </c>
      <c r="J962" s="8">
        <v>6.99</v>
      </c>
      <c r="K962" s="3" t="inlineStr">
        <is>
          <t xml:space="preserve">TRUE</t>
        </is>
      </c>
      <c r="L962" s="3" t="inlineStr">
        <is>
          <t xml:space="preserve">WELCOME10</t>
        </is>
      </c>
    </row>
    <row r="963">
      <c r="A963" s="3" t="inlineStr">
        <is>
          <t xml:space="preserve">#1709</t>
        </is>
      </c>
      <c r="B963" s="3" t="inlineStr">
        <is>
          <t xml:space="preserve">2026-08-27</t>
        </is>
      </c>
      <c r="C963" s="3" t="inlineStr">
        <is>
          <t xml:space="preserve">SKU-E</t>
        </is>
      </c>
      <c r="D963" s="3" t="inlineStr">
        <is>
          <t xml:space="preserve">Complete Ritual</t>
        </is>
      </c>
      <c r="E963" s="6">
        <f>IF('Settings'!$B$11="Scenario",IFERROR(INDEX('Catalogue'!$E$3:$E$100,MATCH(C963,'Catalogue'!$B$3:$B$100,0)),F963),F963)</f>
        <v>89</v>
      </c>
      <c r="F963" s="8">
        <v>89</v>
      </c>
      <c r="G963" s="3">
        <v>1</v>
      </c>
      <c r="H963" s="6">
        <f>IF('Settings'!$B$11="Scenario",ROUND(E963*G963*IFERROR(SUMIF('Pricing &amp; promotions'!$A$6:$A$8,L963,'Pricing &amp; promotions'!$B$6:$B$8)/100,0),2),J963)</f>
        <v>8.9</v>
      </c>
      <c r="I963" s="6">
        <f>ROUND((E963*G963-H963)/(1+'Settings'!$B$6/100),2)</f>
        <v>66.2</v>
      </c>
      <c r="J963" s="8">
        <v>8.9</v>
      </c>
      <c r="K963" s="3" t="inlineStr">
        <is>
          <t xml:space="preserve">TRUE</t>
        </is>
      </c>
      <c r="L963" s="3" t="inlineStr">
        <is>
          <t xml:space="preserve">WELCOME10</t>
        </is>
      </c>
    </row>
    <row r="964">
      <c r="A964" s="3" t="inlineStr">
        <is>
          <t xml:space="preserve">#1710</t>
        </is>
      </c>
      <c r="B964" s="3" t="inlineStr">
        <is>
          <t xml:space="preserve">2026-08-27</t>
        </is>
      </c>
      <c r="C964" s="3" t="inlineStr">
        <is>
          <t xml:space="preserve">SKU-E</t>
        </is>
      </c>
      <c r="D964" s="3" t="inlineStr">
        <is>
          <t xml:space="preserve">Complete Ritual</t>
        </is>
      </c>
      <c r="E964" s="6">
        <f>IF('Settings'!$B$11="Scenario",IFERROR(INDEX('Catalogue'!$E$3:$E$100,MATCH(C964,'Catalogue'!$B$3:$B$100,0)),F964),F964)</f>
        <v>89</v>
      </c>
      <c r="F964" s="8">
        <v>89</v>
      </c>
      <c r="G964" s="3">
        <v>1</v>
      </c>
      <c r="H964" s="6">
        <f>IF('Settings'!$B$11="Scenario",ROUND(E964*G964*IFERROR(SUMIF('Pricing &amp; promotions'!$A$6:$A$8,L964,'Pricing &amp; promotions'!$B$6:$B$8)/100,0),2),J964)</f>
        <v>0.0</v>
      </c>
      <c r="I964" s="6">
        <f>ROUND((E964*G964-H964)/(1+'Settings'!$B$6/100),2)</f>
        <v>73.55</v>
      </c>
      <c r="J964" s="8">
        <v>0.0</v>
      </c>
      <c r="K964" s="3" t="inlineStr">
        <is>
          <t xml:space="preserve">TRUE</t>
        </is>
      </c>
      <c r="L964" s="3"/>
    </row>
    <row r="965">
      <c r="A965" s="3" t="inlineStr">
        <is>
          <t xml:space="preserve">#1711</t>
        </is>
      </c>
      <c r="B965" s="3" t="inlineStr">
        <is>
          <t xml:space="preserve">2026-08-27</t>
        </is>
      </c>
      <c r="C965" s="3" t="inlineStr">
        <is>
          <t xml:space="preserve">SKU-E</t>
        </is>
      </c>
      <c r="D965" s="3" t="inlineStr">
        <is>
          <t xml:space="preserve">Complete Ritual</t>
        </is>
      </c>
      <c r="E965" s="6">
        <f>IF('Settings'!$B$11="Scenario",IFERROR(INDEX('Catalogue'!$E$3:$E$100,MATCH(C965,'Catalogue'!$B$3:$B$100,0)),F965),F965)</f>
        <v>89</v>
      </c>
      <c r="F965" s="8">
        <v>89</v>
      </c>
      <c r="G965" s="3">
        <v>1</v>
      </c>
      <c r="H965" s="6">
        <f>IF('Settings'!$B$11="Scenario",ROUND(E965*G965*IFERROR(SUMIF('Pricing &amp; promotions'!$A$6:$A$8,L965,'Pricing &amp; promotions'!$B$6:$B$8)/100,0),2),J965)</f>
        <v>8.9</v>
      </c>
      <c r="I965" s="6">
        <f>ROUND((E965*G965-H965)/(1+'Settings'!$B$6/100),2)</f>
        <v>66.2</v>
      </c>
      <c r="J965" s="8">
        <v>8.9</v>
      </c>
      <c r="K965" s="3" t="inlineStr">
        <is>
          <t xml:space="preserve">TRUE</t>
        </is>
      </c>
      <c r="L965" s="3" t="inlineStr">
        <is>
          <t xml:space="preserve">WELCOME10</t>
        </is>
      </c>
    </row>
    <row r="966">
      <c r="A966" s="3" t="inlineStr">
        <is>
          <t xml:space="preserve">#1711</t>
        </is>
      </c>
      <c r="B966" s="3" t="inlineStr">
        <is>
          <t xml:space="preserve">2026-08-27</t>
        </is>
      </c>
      <c r="C966" s="3" t="inlineStr">
        <is>
          <t xml:space="preserve">SKU-B</t>
        </is>
      </c>
      <c r="D966" s="3" t="inlineStr">
        <is>
          <t xml:space="preserve">Barrier Balm</t>
        </is>
      </c>
      <c r="E966" s="6">
        <f>IF('Settings'!$B$11="Scenario",IFERROR(INDEX('Catalogue'!$E$3:$E$100,MATCH(C966,'Catalogue'!$B$3:$B$100,0)),F966),F966)</f>
        <v>19</v>
      </c>
      <c r="F966" s="8">
        <v>19</v>
      </c>
      <c r="G966" s="3">
        <v>1</v>
      </c>
      <c r="H966" s="6">
        <f>IF('Settings'!$B$11="Scenario",ROUND(E966*G966*IFERROR(SUMIF('Pricing &amp; promotions'!$A$6:$A$8,L966,'Pricing &amp; promotions'!$B$6:$B$8)/100,0),2),J966)</f>
        <v>1.9</v>
      </c>
      <c r="I966" s="6">
        <f>ROUND((E966*G966-H966)/(1+'Settings'!$B$6/100),2)</f>
        <v>14.13</v>
      </c>
      <c r="J966" s="8">
        <v>1.9</v>
      </c>
      <c r="K966" s="3" t="inlineStr">
        <is>
          <t xml:space="preserve">TRUE</t>
        </is>
      </c>
      <c r="L966" s="3" t="inlineStr">
        <is>
          <t xml:space="preserve">WELCOME10</t>
        </is>
      </c>
    </row>
    <row r="967">
      <c r="A967" s="3" t="inlineStr">
        <is>
          <t xml:space="preserve">#1712</t>
        </is>
      </c>
      <c r="B967" s="3" t="inlineStr">
        <is>
          <t xml:space="preserve">2026-08-28</t>
        </is>
      </c>
      <c r="C967" s="3" t="inlineStr">
        <is>
          <t xml:space="preserve">SKU-C</t>
        </is>
      </c>
      <c r="D967" s="3" t="inlineStr">
        <is>
          <t xml:space="preserve">Contour Stone</t>
        </is>
      </c>
      <c r="E967" s="6">
        <f>IF('Settings'!$B$11="Scenario",IFERROR(INDEX('Catalogue'!$E$3:$E$100,MATCH(C967,'Catalogue'!$B$3:$B$100,0)),F967),F967)</f>
        <v>29</v>
      </c>
      <c r="F967" s="8">
        <v>29</v>
      </c>
      <c r="G967" s="3">
        <v>1</v>
      </c>
      <c r="H967" s="6">
        <f>IF('Settings'!$B$11="Scenario",ROUND(E967*G967*IFERROR(SUMIF('Pricing &amp; promotions'!$A$6:$A$8,L967,'Pricing &amp; promotions'!$B$6:$B$8)/100,0),2),J967)</f>
        <v>0.0</v>
      </c>
      <c r="I967" s="6">
        <f>ROUND((E967*G967-H967)/(1+'Settings'!$B$6/100),2)</f>
        <v>23.97</v>
      </c>
      <c r="J967" s="8">
        <v>0.0</v>
      </c>
      <c r="K967" s="3" t="inlineStr">
        <is>
          <t xml:space="preserve">TRUE</t>
        </is>
      </c>
      <c r="L967" s="3"/>
    </row>
    <row r="968">
      <c r="A968" s="3" t="inlineStr">
        <is>
          <t xml:space="preserve">#1713</t>
        </is>
      </c>
      <c r="B968" s="3" t="inlineStr">
        <is>
          <t xml:space="preserve">2026-08-28</t>
        </is>
      </c>
      <c r="C968" s="3" t="inlineStr">
        <is>
          <t xml:space="preserve">SKU-B</t>
        </is>
      </c>
      <c r="D968" s="3" t="inlineStr">
        <is>
          <t xml:space="preserve">Barrier Balm</t>
        </is>
      </c>
      <c r="E968" s="6">
        <f>IF('Settings'!$B$11="Scenario",IFERROR(INDEX('Catalogue'!$E$3:$E$100,MATCH(C968,'Catalogue'!$B$3:$B$100,0)),F968),F968)</f>
        <v>19</v>
      </c>
      <c r="F968" s="8">
        <v>19</v>
      </c>
      <c r="G968" s="3">
        <v>1</v>
      </c>
      <c r="H968" s="6">
        <f>IF('Settings'!$B$11="Scenario",ROUND(E968*G968*IFERROR(SUMIF('Pricing &amp; promotions'!$A$6:$A$8,L968,'Pricing &amp; promotions'!$B$6:$B$8)/100,0),2),J968)</f>
        <v>1.9</v>
      </c>
      <c r="I968" s="6">
        <f>ROUND((E968*G968-H968)/(1+'Settings'!$B$6/100),2)</f>
        <v>14.13</v>
      </c>
      <c r="J968" s="8">
        <v>1.9</v>
      </c>
      <c r="K968" s="3" t="inlineStr">
        <is>
          <t xml:space="preserve">TRUE</t>
        </is>
      </c>
      <c r="L968" s="3" t="inlineStr">
        <is>
          <t xml:space="preserve">WELCOME10</t>
        </is>
      </c>
    </row>
    <row r="969">
      <c r="A969" s="3" t="inlineStr">
        <is>
          <t xml:space="preserve">#1713</t>
        </is>
      </c>
      <c r="B969" s="3" t="inlineStr">
        <is>
          <t xml:space="preserve">2026-08-28</t>
        </is>
      </c>
      <c r="C969" s="3" t="inlineStr">
        <is>
          <t xml:space="preserve">SKU-E</t>
        </is>
      </c>
      <c r="D969" s="3" t="inlineStr">
        <is>
          <t xml:space="preserve">Complete Ritual</t>
        </is>
      </c>
      <c r="E969" s="6">
        <f>IF('Settings'!$B$11="Scenario",IFERROR(INDEX('Catalogue'!$E$3:$E$100,MATCH(C969,'Catalogue'!$B$3:$B$100,0)),F969),F969)</f>
        <v>89</v>
      </c>
      <c r="F969" s="8">
        <v>89</v>
      </c>
      <c r="G969" s="3">
        <v>1</v>
      </c>
      <c r="H969" s="6">
        <f>IF('Settings'!$B$11="Scenario",ROUND(E969*G969*IFERROR(SUMIF('Pricing &amp; promotions'!$A$6:$A$8,L969,'Pricing &amp; promotions'!$B$6:$B$8)/100,0),2),J969)</f>
        <v>8.9</v>
      </c>
      <c r="I969" s="6">
        <f>ROUND((E969*G969-H969)/(1+'Settings'!$B$6/100),2)</f>
        <v>66.2</v>
      </c>
      <c r="J969" s="8">
        <v>8.9</v>
      </c>
      <c r="K969" s="3" t="inlineStr">
        <is>
          <t xml:space="preserve">TRUE</t>
        </is>
      </c>
      <c r="L969" s="3" t="inlineStr">
        <is>
          <t xml:space="preserve">WELCOME10</t>
        </is>
      </c>
    </row>
    <row r="970">
      <c r="A970" s="3" t="inlineStr">
        <is>
          <t xml:space="preserve">#1714</t>
        </is>
      </c>
      <c r="B970" s="3" t="inlineStr">
        <is>
          <t xml:space="preserve">2026-08-28</t>
        </is>
      </c>
      <c r="C970" s="3" t="inlineStr">
        <is>
          <t xml:space="preserve">SKU-A</t>
        </is>
      </c>
      <c r="D970" s="3" t="inlineStr">
        <is>
          <t xml:space="preserve">Renewal Serum</t>
        </is>
      </c>
      <c r="E970" s="6">
        <f>IF('Settings'!$B$11="Scenario",IFERROR(INDEX('Catalogue'!$E$3:$E$100,MATCH(C970,'Catalogue'!$B$3:$B$100,0)),F970),F970)</f>
        <v>69.9</v>
      </c>
      <c r="F970" s="8">
        <v>69.9</v>
      </c>
      <c r="G970" s="3">
        <v>1</v>
      </c>
      <c r="H970" s="6">
        <f>IF('Settings'!$B$11="Scenario",ROUND(E970*G970*IFERROR(SUMIF('Pricing &amp; promotions'!$A$6:$A$8,L970,'Pricing &amp; promotions'!$B$6:$B$8)/100,0),2),J970)</f>
        <v>6.99</v>
      </c>
      <c r="I970" s="6">
        <f>ROUND((E970*G970-H970)/(1+'Settings'!$B$6/100),2)</f>
        <v>51.99</v>
      </c>
      <c r="J970" s="8">
        <v>6.99</v>
      </c>
      <c r="K970" s="3" t="inlineStr">
        <is>
          <t xml:space="preserve">TRUE</t>
        </is>
      </c>
      <c r="L970" s="3" t="inlineStr">
        <is>
          <t xml:space="preserve">WELCOME10</t>
        </is>
      </c>
    </row>
    <row r="971">
      <c r="A971" s="3" t="inlineStr">
        <is>
          <t xml:space="preserve">#1715</t>
        </is>
      </c>
      <c r="B971" s="3" t="inlineStr">
        <is>
          <t xml:space="preserve">2026-08-29</t>
        </is>
      </c>
      <c r="C971" s="3" t="inlineStr">
        <is>
          <t xml:space="preserve">SKU-G</t>
        </is>
      </c>
      <c r="D971" s="3" t="inlineStr">
        <is>
          <t xml:space="preserve">Daily Reset Set</t>
        </is>
      </c>
      <c r="E971" s="6">
        <f>IF('Settings'!$B$11="Scenario",IFERROR(INDEX('Catalogue'!$E$3:$E$100,MATCH(C971,'Catalogue'!$B$3:$B$100,0)),F971),F971)</f>
        <v>69</v>
      </c>
      <c r="F971" s="8">
        <v>69</v>
      </c>
      <c r="G971" s="3">
        <v>1</v>
      </c>
      <c r="H971" s="6">
        <f>IF('Settings'!$B$11="Scenario",ROUND(E971*G971*IFERROR(SUMIF('Pricing &amp; promotions'!$A$6:$A$8,L971,'Pricing &amp; promotions'!$B$6:$B$8)/100,0),2),J971)</f>
        <v>13.8</v>
      </c>
      <c r="I971" s="6">
        <f>ROUND((E971*G971-H971)/(1+'Settings'!$B$6/100),2)</f>
        <v>45.62</v>
      </c>
      <c r="J971" s="8">
        <v>13.8</v>
      </c>
      <c r="K971" s="3" t="inlineStr">
        <is>
          <t xml:space="preserve">TRUE</t>
        </is>
      </c>
      <c r="L971" s="3" t="inlineStr">
        <is>
          <t xml:space="preserve">VIP20</t>
        </is>
      </c>
    </row>
    <row r="972">
      <c r="A972" s="3" t="inlineStr">
        <is>
          <t xml:space="preserve">#1716</t>
        </is>
      </c>
      <c r="B972" s="3" t="inlineStr">
        <is>
          <t xml:space="preserve">2026-08-30</t>
        </is>
      </c>
      <c r="C972" s="3" t="inlineStr">
        <is>
          <t xml:space="preserve">SKU-B</t>
        </is>
      </c>
      <c r="D972" s="3" t="inlineStr">
        <is>
          <t xml:space="preserve">Barrier Balm</t>
        </is>
      </c>
      <c r="E972" s="6">
        <f>IF('Settings'!$B$11="Scenario",IFERROR(INDEX('Catalogue'!$E$3:$E$100,MATCH(C972,'Catalogue'!$B$3:$B$100,0)),F972),F972)</f>
        <v>19</v>
      </c>
      <c r="F972" s="8">
        <v>19</v>
      </c>
      <c r="G972" s="3">
        <v>1</v>
      </c>
      <c r="H972" s="6">
        <f>IF('Settings'!$B$11="Scenario",ROUND(E972*G972*IFERROR(SUMIF('Pricing &amp; promotions'!$A$6:$A$8,L972,'Pricing &amp; promotions'!$B$6:$B$8)/100,0),2),J972)</f>
        <v>0.0</v>
      </c>
      <c r="I972" s="6">
        <f>ROUND((E972*G972-H972)/(1+'Settings'!$B$6/100),2)</f>
        <v>15.7</v>
      </c>
      <c r="J972" s="8">
        <v>0.0</v>
      </c>
      <c r="K972" s="3" t="inlineStr">
        <is>
          <t xml:space="preserve">TRUE</t>
        </is>
      </c>
      <c r="L972" s="3"/>
    </row>
    <row r="973">
      <c r="A973" s="3" t="inlineStr">
        <is>
          <t xml:space="preserve">#1716</t>
        </is>
      </c>
      <c r="B973" s="3" t="inlineStr">
        <is>
          <t xml:space="preserve">2026-08-30</t>
        </is>
      </c>
      <c r="C973" s="3" t="inlineStr">
        <is>
          <t xml:space="preserve">SKU-A</t>
        </is>
      </c>
      <c r="D973" s="3" t="inlineStr">
        <is>
          <t xml:space="preserve">Renewal Serum</t>
        </is>
      </c>
      <c r="E973" s="6">
        <f>IF('Settings'!$B$11="Scenario",IFERROR(INDEX('Catalogue'!$E$3:$E$100,MATCH(C973,'Catalogue'!$B$3:$B$100,0)),F973),F973)</f>
        <v>69.9</v>
      </c>
      <c r="F973" s="8">
        <v>69.9</v>
      </c>
      <c r="G973" s="3">
        <v>1</v>
      </c>
      <c r="H973" s="6">
        <f>IF('Settings'!$B$11="Scenario",ROUND(E973*G973*IFERROR(SUMIF('Pricing &amp; promotions'!$A$6:$A$8,L973,'Pricing &amp; promotions'!$B$6:$B$8)/100,0),2),J973)</f>
        <v>0.0</v>
      </c>
      <c r="I973" s="6">
        <f>ROUND((E973*G973-H973)/(1+'Settings'!$B$6/100),2)</f>
        <v>57.77</v>
      </c>
      <c r="J973" s="8">
        <v>0.0</v>
      </c>
      <c r="K973" s="3" t="inlineStr">
        <is>
          <t xml:space="preserve">TRUE</t>
        </is>
      </c>
      <c r="L973" s="3"/>
    </row>
    <row r="974">
      <c r="A974" s="3" t="inlineStr">
        <is>
          <t xml:space="preserve">#1717</t>
        </is>
      </c>
      <c r="B974" s="3" t="inlineStr">
        <is>
          <t xml:space="preserve">2026-08-31</t>
        </is>
      </c>
      <c r="C974" s="3" t="inlineStr">
        <is>
          <t xml:space="preserve">SKU-D</t>
        </is>
      </c>
      <c r="D974" s="3" t="inlineStr">
        <is>
          <t xml:space="preserve">Daily Duo</t>
        </is>
      </c>
      <c r="E974" s="6">
        <f>IF('Settings'!$B$11="Scenario",IFERROR(INDEX('Catalogue'!$E$3:$E$100,MATCH(C974,'Catalogue'!$B$3:$B$100,0)),F974),F974)</f>
        <v>79</v>
      </c>
      <c r="F974" s="8">
        <v>79</v>
      </c>
      <c r="G974" s="3">
        <v>1</v>
      </c>
      <c r="H974" s="6">
        <f>IF('Settings'!$B$11="Scenario",ROUND(E974*G974*IFERROR(SUMIF('Pricing &amp; promotions'!$A$6:$A$8,L974,'Pricing &amp; promotions'!$B$6:$B$8)/100,0),2),J974)</f>
        <v>7.9</v>
      </c>
      <c r="I974" s="6">
        <f>ROUND((E974*G974-H974)/(1+'Settings'!$B$6/100),2)</f>
        <v>58.76</v>
      </c>
      <c r="J974" s="8">
        <v>7.9</v>
      </c>
      <c r="K974" s="3" t="inlineStr">
        <is>
          <t xml:space="preserve">TRUE</t>
        </is>
      </c>
      <c r="L974" s="3" t="inlineStr">
        <is>
          <t xml:space="preserve">WELCOME10</t>
        </is>
      </c>
    </row>
    <row r="975">
      <c r="A975" s="3" t="inlineStr">
        <is>
          <t xml:space="preserve">#1717</t>
        </is>
      </c>
      <c r="B975" s="3" t="inlineStr">
        <is>
          <t xml:space="preserve">2026-08-31</t>
        </is>
      </c>
      <c r="C975" s="3" t="inlineStr">
        <is>
          <t xml:space="preserve">SKU-A</t>
        </is>
      </c>
      <c r="D975" s="3" t="inlineStr">
        <is>
          <t xml:space="preserve">Renewal Serum</t>
        </is>
      </c>
      <c r="E975" s="6">
        <f>IF('Settings'!$B$11="Scenario",IFERROR(INDEX('Catalogue'!$E$3:$E$100,MATCH(C975,'Catalogue'!$B$3:$B$100,0)),F975),F975)</f>
        <v>69.9</v>
      </c>
      <c r="F975" s="8">
        <v>69.9</v>
      </c>
      <c r="G975" s="3">
        <v>1</v>
      </c>
      <c r="H975" s="6">
        <f>IF('Settings'!$B$11="Scenario",ROUND(E975*G975*IFERROR(SUMIF('Pricing &amp; promotions'!$A$6:$A$8,L975,'Pricing &amp; promotions'!$B$6:$B$8)/100,0),2),J975)</f>
        <v>6.99</v>
      </c>
      <c r="I975" s="6">
        <f>ROUND((E975*G975-H975)/(1+'Settings'!$B$6/100),2)</f>
        <v>51.99</v>
      </c>
      <c r="J975" s="8">
        <v>6.99</v>
      </c>
      <c r="K975" s="3" t="inlineStr">
        <is>
          <t xml:space="preserve">TRUE</t>
        </is>
      </c>
      <c r="L975" s="3" t="inlineStr">
        <is>
          <t xml:space="preserve">WELCOME10</t>
        </is>
      </c>
    </row>
    <row r="976">
      <c r="A976" s="3" t="inlineStr">
        <is>
          <t xml:space="preserve">#1718</t>
        </is>
      </c>
      <c r="B976" s="3" t="inlineStr">
        <is>
          <t xml:space="preserve">2026-09-01</t>
        </is>
      </c>
      <c r="C976" s="3" t="inlineStr">
        <is>
          <t xml:space="preserve">SKU-G</t>
        </is>
      </c>
      <c r="D976" s="3" t="inlineStr">
        <is>
          <t xml:space="preserve">Daily Reset Set</t>
        </is>
      </c>
      <c r="E976" s="6">
        <f>IF('Settings'!$B$11="Scenario",IFERROR(INDEX('Catalogue'!$E$3:$E$100,MATCH(C976,'Catalogue'!$B$3:$B$100,0)),F976),F976)</f>
        <v>69</v>
      </c>
      <c r="F976" s="8">
        <v>69</v>
      </c>
      <c r="G976" s="3">
        <v>1</v>
      </c>
      <c r="H976" s="6">
        <f>IF('Settings'!$B$11="Scenario",ROUND(E976*G976*IFERROR(SUMIF('Pricing &amp; promotions'!$A$6:$A$8,L976,'Pricing &amp; promotions'!$B$6:$B$8)/100,0),2),J976)</f>
        <v>0.0</v>
      </c>
      <c r="I976" s="6">
        <f>ROUND((E976*G976-H976)/(1+'Settings'!$B$6/100),2)</f>
        <v>57.02</v>
      </c>
      <c r="J976" s="8">
        <v>0.0</v>
      </c>
      <c r="K976" s="3" t="inlineStr">
        <is>
          <t xml:space="preserve">TRUE</t>
        </is>
      </c>
      <c r="L976" s="3"/>
    </row>
    <row r="977">
      <c r="A977" s="3" t="inlineStr">
        <is>
          <t xml:space="preserve">#1718</t>
        </is>
      </c>
      <c r="B977" s="3" t="inlineStr">
        <is>
          <t xml:space="preserve">2026-09-01</t>
        </is>
      </c>
      <c r="C977" s="3" t="inlineStr">
        <is>
          <t xml:space="preserve">SKU-B</t>
        </is>
      </c>
      <c r="D977" s="3" t="inlineStr">
        <is>
          <t xml:space="preserve">Barrier Balm</t>
        </is>
      </c>
      <c r="E977" s="6">
        <f>IF('Settings'!$B$11="Scenario",IFERROR(INDEX('Catalogue'!$E$3:$E$100,MATCH(C977,'Catalogue'!$B$3:$B$100,0)),F977),F977)</f>
        <v>19</v>
      </c>
      <c r="F977" s="8">
        <v>19</v>
      </c>
      <c r="G977" s="3">
        <v>1</v>
      </c>
      <c r="H977" s="6">
        <f>IF('Settings'!$B$11="Scenario",ROUND(E977*G977*IFERROR(SUMIF('Pricing &amp; promotions'!$A$6:$A$8,L977,'Pricing &amp; promotions'!$B$6:$B$8)/100,0),2),J977)</f>
        <v>0.0</v>
      </c>
      <c r="I977" s="6">
        <f>ROUND((E977*G977-H977)/(1+'Settings'!$B$6/100),2)</f>
        <v>15.7</v>
      </c>
      <c r="J977" s="8">
        <v>0.0</v>
      </c>
      <c r="K977" s="3" t="inlineStr">
        <is>
          <t xml:space="preserve">TRUE</t>
        </is>
      </c>
      <c r="L977" s="3"/>
    </row>
    <row r="978">
      <c r="A978" s="3" t="inlineStr">
        <is>
          <t xml:space="preserve">#1718</t>
        </is>
      </c>
      <c r="B978" s="3" t="inlineStr">
        <is>
          <t xml:space="preserve">2026-09-01</t>
        </is>
      </c>
      <c r="C978" s="3" t="inlineStr">
        <is>
          <t xml:space="preserve">SKU-C</t>
        </is>
      </c>
      <c r="D978" s="3" t="inlineStr">
        <is>
          <t xml:space="preserve">Contour Stone</t>
        </is>
      </c>
      <c r="E978" s="6">
        <f>IF('Settings'!$B$11="Scenario",IFERROR(INDEX('Catalogue'!$E$3:$E$100,MATCH(C978,'Catalogue'!$B$3:$B$100,0)),F978),F978)</f>
        <v>29</v>
      </c>
      <c r="F978" s="8">
        <v>29</v>
      </c>
      <c r="G978" s="3">
        <v>1</v>
      </c>
      <c r="H978" s="6">
        <f>IF('Settings'!$B$11="Scenario",ROUND(E978*G978*IFERROR(SUMIF('Pricing &amp; promotions'!$A$6:$A$8,L978,'Pricing &amp; promotions'!$B$6:$B$8)/100,0),2),J978)</f>
        <v>0.0</v>
      </c>
      <c r="I978" s="6">
        <f>ROUND((E978*G978-H978)/(1+'Settings'!$B$6/100),2)</f>
        <v>23.97</v>
      </c>
      <c r="J978" s="8">
        <v>0.0</v>
      </c>
      <c r="K978" s="3" t="inlineStr">
        <is>
          <t xml:space="preserve">TRUE</t>
        </is>
      </c>
      <c r="L978" s="3"/>
    </row>
    <row r="979">
      <c r="A979" s="3" t="inlineStr">
        <is>
          <t xml:space="preserve">#1719</t>
        </is>
      </c>
      <c r="B979" s="3" t="inlineStr">
        <is>
          <t xml:space="preserve">2026-09-01</t>
        </is>
      </c>
      <c r="C979" s="3" t="inlineStr">
        <is>
          <t xml:space="preserve">SKU-D</t>
        </is>
      </c>
      <c r="D979" s="3" t="inlineStr">
        <is>
          <t xml:space="preserve">Daily Duo</t>
        </is>
      </c>
      <c r="E979" s="6">
        <f>IF('Settings'!$B$11="Scenario",IFERROR(INDEX('Catalogue'!$E$3:$E$100,MATCH(C979,'Catalogue'!$B$3:$B$100,0)),F979),F979)</f>
        <v>79</v>
      </c>
      <c r="F979" s="8">
        <v>79</v>
      </c>
      <c r="G979" s="3">
        <v>1</v>
      </c>
      <c r="H979" s="6">
        <f>IF('Settings'!$B$11="Scenario",ROUND(E979*G979*IFERROR(SUMIF('Pricing &amp; promotions'!$A$6:$A$8,L979,'Pricing &amp; promotions'!$B$6:$B$8)/100,0),2),J979)</f>
        <v>0.0</v>
      </c>
      <c r="I979" s="6">
        <f>ROUND((E979*G979-H979)/(1+'Settings'!$B$6/100),2)</f>
        <v>65.29</v>
      </c>
      <c r="J979" s="8">
        <v>0.0</v>
      </c>
      <c r="K979" s="3" t="inlineStr">
        <is>
          <t xml:space="preserve">TRUE</t>
        </is>
      </c>
      <c r="L979" s="3"/>
    </row>
    <row r="980">
      <c r="A980" s="3" t="inlineStr">
        <is>
          <t xml:space="preserve">#1720</t>
        </is>
      </c>
      <c r="B980" s="3" t="inlineStr">
        <is>
          <t xml:space="preserve">2026-09-01</t>
        </is>
      </c>
      <c r="C980" s="3" t="inlineStr">
        <is>
          <t xml:space="preserve">SKU-D</t>
        </is>
      </c>
      <c r="D980" s="3" t="inlineStr">
        <is>
          <t xml:space="preserve">Daily Duo</t>
        </is>
      </c>
      <c r="E980" s="6">
        <f>IF('Settings'!$B$11="Scenario",IFERROR(INDEX('Catalogue'!$E$3:$E$100,MATCH(C980,'Catalogue'!$B$3:$B$100,0)),F980),F980)</f>
        <v>79</v>
      </c>
      <c r="F980" s="8">
        <v>79</v>
      </c>
      <c r="G980" s="3">
        <v>1</v>
      </c>
      <c r="H980" s="6">
        <f>IF('Settings'!$B$11="Scenario",ROUND(E980*G980*IFERROR(SUMIF('Pricing &amp; promotions'!$A$6:$A$8,L980,'Pricing &amp; promotions'!$B$6:$B$8)/100,0),2),J980)</f>
        <v>0.0</v>
      </c>
      <c r="I980" s="6">
        <f>ROUND((E980*G980-H980)/(1+'Settings'!$B$6/100),2)</f>
        <v>65.29</v>
      </c>
      <c r="J980" s="8">
        <v>0.0</v>
      </c>
      <c r="K980" s="3" t="inlineStr">
        <is>
          <t xml:space="preserve">TRUE</t>
        </is>
      </c>
      <c r="L980" s="3"/>
    </row>
    <row r="981">
      <c r="A981" s="3" t="inlineStr">
        <is>
          <t xml:space="preserve">#1720</t>
        </is>
      </c>
      <c r="B981" s="3" t="inlineStr">
        <is>
          <t xml:space="preserve">2026-09-01</t>
        </is>
      </c>
      <c r="C981" s="3" t="inlineStr">
        <is>
          <t xml:space="preserve">SKU-B</t>
        </is>
      </c>
      <c r="D981" s="3" t="inlineStr">
        <is>
          <t xml:space="preserve">Barrier Balm</t>
        </is>
      </c>
      <c r="E981" s="6">
        <f>IF('Settings'!$B$11="Scenario",IFERROR(INDEX('Catalogue'!$E$3:$E$100,MATCH(C981,'Catalogue'!$B$3:$B$100,0)),F981),F981)</f>
        <v>19</v>
      </c>
      <c r="F981" s="8">
        <v>19</v>
      </c>
      <c r="G981" s="3">
        <v>1</v>
      </c>
      <c r="H981" s="6">
        <f>IF('Settings'!$B$11="Scenario",ROUND(E981*G981*IFERROR(SUMIF('Pricing &amp; promotions'!$A$6:$A$8,L981,'Pricing &amp; promotions'!$B$6:$B$8)/100,0),2),J981)</f>
        <v>0.0</v>
      </c>
      <c r="I981" s="6">
        <f>ROUND((E981*G981-H981)/(1+'Settings'!$B$6/100),2)</f>
        <v>15.7</v>
      </c>
      <c r="J981" s="8">
        <v>0.0</v>
      </c>
      <c r="K981" s="3" t="inlineStr">
        <is>
          <t xml:space="preserve">TRUE</t>
        </is>
      </c>
      <c r="L981" s="3"/>
    </row>
    <row r="982">
      <c r="A982" s="3" t="inlineStr">
        <is>
          <t xml:space="preserve">#1721</t>
        </is>
      </c>
      <c r="B982" s="3" t="inlineStr">
        <is>
          <t xml:space="preserve">2026-09-02</t>
        </is>
      </c>
      <c r="C982" s="3" t="inlineStr">
        <is>
          <t xml:space="preserve">SKU-E</t>
        </is>
      </c>
      <c r="D982" s="3" t="inlineStr">
        <is>
          <t xml:space="preserve">Complete Ritual</t>
        </is>
      </c>
      <c r="E982" s="6">
        <f>IF('Settings'!$B$11="Scenario",IFERROR(INDEX('Catalogue'!$E$3:$E$100,MATCH(C982,'Catalogue'!$B$3:$B$100,0)),F982),F982)</f>
        <v>89</v>
      </c>
      <c r="F982" s="8">
        <v>89</v>
      </c>
      <c r="G982" s="3">
        <v>1</v>
      </c>
      <c r="H982" s="6">
        <f>IF('Settings'!$B$11="Scenario",ROUND(E982*G982*IFERROR(SUMIF('Pricing &amp; promotions'!$A$6:$A$8,L982,'Pricing &amp; promotions'!$B$6:$B$8)/100,0),2),J982)</f>
        <v>17.8</v>
      </c>
      <c r="I982" s="6">
        <f>ROUND((E982*G982-H982)/(1+'Settings'!$B$6/100),2)</f>
        <v>58.84</v>
      </c>
      <c r="J982" s="8">
        <v>17.8</v>
      </c>
      <c r="K982" s="3" t="inlineStr">
        <is>
          <t xml:space="preserve">TRUE</t>
        </is>
      </c>
      <c r="L982" s="3" t="inlineStr">
        <is>
          <t xml:space="preserve">VIP20</t>
        </is>
      </c>
    </row>
    <row r="983">
      <c r="A983" s="3" t="inlineStr">
        <is>
          <t xml:space="preserve">#1722</t>
        </is>
      </c>
      <c r="B983" s="3" t="inlineStr">
        <is>
          <t xml:space="preserve">2026-09-03</t>
        </is>
      </c>
      <c r="C983" s="3" t="inlineStr">
        <is>
          <t xml:space="preserve">SKU-A</t>
        </is>
      </c>
      <c r="D983" s="3" t="inlineStr">
        <is>
          <t xml:space="preserve">Renewal Serum</t>
        </is>
      </c>
      <c r="E983" s="6">
        <f>IF('Settings'!$B$11="Scenario",IFERROR(INDEX('Catalogue'!$E$3:$E$100,MATCH(C983,'Catalogue'!$B$3:$B$100,0)),F983),F983)</f>
        <v>69.9</v>
      </c>
      <c r="F983" s="8">
        <v>69.9</v>
      </c>
      <c r="G983" s="3">
        <v>2</v>
      </c>
      <c r="H983" s="6">
        <f>IF('Settings'!$B$11="Scenario",ROUND(E983*G983*IFERROR(SUMIF('Pricing &amp; promotions'!$A$6:$A$8,L983,'Pricing &amp; promotions'!$B$6:$B$8)/100,0),2),J983)</f>
        <v>0.0</v>
      </c>
      <c r="I983" s="6">
        <f>ROUND((E983*G983-H983)/(1+'Settings'!$B$6/100),2)</f>
        <v>115.54</v>
      </c>
      <c r="J983" s="8">
        <v>0.0</v>
      </c>
      <c r="K983" s="3" t="inlineStr">
        <is>
          <t xml:space="preserve">TRUE</t>
        </is>
      </c>
      <c r="L983" s="3"/>
    </row>
    <row r="984">
      <c r="A984" s="3" t="inlineStr">
        <is>
          <t xml:space="preserve">#1722</t>
        </is>
      </c>
      <c r="B984" s="3" t="inlineStr">
        <is>
          <t xml:space="preserve">2026-09-03</t>
        </is>
      </c>
      <c r="C984" s="3" t="inlineStr">
        <is>
          <t xml:space="preserve">SKU-E</t>
        </is>
      </c>
      <c r="D984" s="3" t="inlineStr">
        <is>
          <t xml:space="preserve">Complete Ritual</t>
        </is>
      </c>
      <c r="E984" s="6">
        <f>IF('Settings'!$B$11="Scenario",IFERROR(INDEX('Catalogue'!$E$3:$E$100,MATCH(C984,'Catalogue'!$B$3:$B$100,0)),F984),F984)</f>
        <v>89</v>
      </c>
      <c r="F984" s="8">
        <v>89</v>
      </c>
      <c r="G984" s="3">
        <v>1</v>
      </c>
      <c r="H984" s="6">
        <f>IF('Settings'!$B$11="Scenario",ROUND(E984*G984*IFERROR(SUMIF('Pricing &amp; promotions'!$A$6:$A$8,L984,'Pricing &amp; promotions'!$B$6:$B$8)/100,0),2),J984)</f>
        <v>0.0</v>
      </c>
      <c r="I984" s="6">
        <f>ROUND((E984*G984-H984)/(1+'Settings'!$B$6/100),2)</f>
        <v>73.55</v>
      </c>
      <c r="J984" s="8">
        <v>0.0</v>
      </c>
      <c r="K984" s="3" t="inlineStr">
        <is>
          <t xml:space="preserve">TRUE</t>
        </is>
      </c>
      <c r="L984" s="3"/>
    </row>
    <row r="985">
      <c r="A985" s="3" t="inlineStr">
        <is>
          <t xml:space="preserve">#1723</t>
        </is>
      </c>
      <c r="B985" s="3" t="inlineStr">
        <is>
          <t xml:space="preserve">2026-09-03</t>
        </is>
      </c>
      <c r="C985" s="3" t="inlineStr">
        <is>
          <t xml:space="preserve">SKU-G</t>
        </is>
      </c>
      <c r="D985" s="3" t="inlineStr">
        <is>
          <t xml:space="preserve">Daily Reset Set</t>
        </is>
      </c>
      <c r="E985" s="6">
        <f>IF('Settings'!$B$11="Scenario",IFERROR(INDEX('Catalogue'!$E$3:$E$100,MATCH(C985,'Catalogue'!$B$3:$B$100,0)),F985),F985)</f>
        <v>69</v>
      </c>
      <c r="F985" s="8">
        <v>69</v>
      </c>
      <c r="G985" s="3">
        <v>1</v>
      </c>
      <c r="H985" s="6">
        <f>IF('Settings'!$B$11="Scenario",ROUND(E985*G985*IFERROR(SUMIF('Pricing &amp; promotions'!$A$6:$A$8,L985,'Pricing &amp; promotions'!$B$6:$B$8)/100,0),2),J985)</f>
        <v>0.0</v>
      </c>
      <c r="I985" s="6">
        <f>ROUND((E985*G985-H985)/(1+'Settings'!$B$6/100),2)</f>
        <v>57.02</v>
      </c>
      <c r="J985" s="8">
        <v>0.0</v>
      </c>
      <c r="K985" s="3" t="inlineStr">
        <is>
          <t xml:space="preserve">TRUE</t>
        </is>
      </c>
      <c r="L985" s="3"/>
    </row>
    <row r="986">
      <c r="A986" s="3" t="inlineStr">
        <is>
          <t xml:space="preserve">#1724</t>
        </is>
      </c>
      <c r="B986" s="3" t="inlineStr">
        <is>
          <t xml:space="preserve">2026-09-04</t>
        </is>
      </c>
      <c r="C986" s="3" t="inlineStr">
        <is>
          <t xml:space="preserve">SKU-A</t>
        </is>
      </c>
      <c r="D986" s="3" t="inlineStr">
        <is>
          <t xml:space="preserve">Renewal Serum</t>
        </is>
      </c>
      <c r="E986" s="6">
        <f>IF('Settings'!$B$11="Scenario",IFERROR(INDEX('Catalogue'!$E$3:$E$100,MATCH(C986,'Catalogue'!$B$3:$B$100,0)),F986),F986)</f>
        <v>69.9</v>
      </c>
      <c r="F986" s="8">
        <v>69.9</v>
      </c>
      <c r="G986" s="3">
        <v>1</v>
      </c>
      <c r="H986" s="6">
        <f>IF('Settings'!$B$11="Scenario",ROUND(E986*G986*IFERROR(SUMIF('Pricing &amp; promotions'!$A$6:$A$8,L986,'Pricing &amp; promotions'!$B$6:$B$8)/100,0),2),J986)</f>
        <v>6.99</v>
      </c>
      <c r="I986" s="6">
        <f>ROUND((E986*G986-H986)/(1+'Settings'!$B$6/100),2)</f>
        <v>51.99</v>
      </c>
      <c r="J986" s="8">
        <v>6.99</v>
      </c>
      <c r="K986" s="3" t="inlineStr">
        <is>
          <t xml:space="preserve">TRUE</t>
        </is>
      </c>
      <c r="L986" s="3" t="inlineStr">
        <is>
          <t xml:space="preserve">WELCOME10</t>
        </is>
      </c>
    </row>
    <row r="987">
      <c r="A987" s="3" t="inlineStr">
        <is>
          <t xml:space="preserve">#1725</t>
        </is>
      </c>
      <c r="B987" s="3" t="inlineStr">
        <is>
          <t xml:space="preserve">2026-09-04</t>
        </is>
      </c>
      <c r="C987" s="3" t="inlineStr">
        <is>
          <t xml:space="preserve">SKU-A</t>
        </is>
      </c>
      <c r="D987" s="3" t="inlineStr">
        <is>
          <t xml:space="preserve">Renewal Serum</t>
        </is>
      </c>
      <c r="E987" s="6">
        <f>IF('Settings'!$B$11="Scenario",IFERROR(INDEX('Catalogue'!$E$3:$E$100,MATCH(C987,'Catalogue'!$B$3:$B$100,0)),F987),F987)</f>
        <v>69.9</v>
      </c>
      <c r="F987" s="8">
        <v>69.9</v>
      </c>
      <c r="G987" s="3">
        <v>1</v>
      </c>
      <c r="H987" s="6">
        <f>IF('Settings'!$B$11="Scenario",ROUND(E987*G987*IFERROR(SUMIF('Pricing &amp; promotions'!$A$6:$A$8,L987,'Pricing &amp; promotions'!$B$6:$B$8)/100,0),2),J987)</f>
        <v>6.99</v>
      </c>
      <c r="I987" s="6">
        <f>ROUND((E987*G987-H987)/(1+'Settings'!$B$6/100),2)</f>
        <v>51.99</v>
      </c>
      <c r="J987" s="8">
        <v>6.99</v>
      </c>
      <c r="K987" s="3" t="inlineStr">
        <is>
          <t xml:space="preserve">TRUE</t>
        </is>
      </c>
      <c r="L987" s="3" t="inlineStr">
        <is>
          <t xml:space="preserve">WELCOME10</t>
        </is>
      </c>
    </row>
    <row r="988">
      <c r="A988" s="3" t="inlineStr">
        <is>
          <t xml:space="preserve">#1726</t>
        </is>
      </c>
      <c r="B988" s="3" t="inlineStr">
        <is>
          <t xml:space="preserve">2026-09-04</t>
        </is>
      </c>
      <c r="C988" s="3" t="inlineStr">
        <is>
          <t xml:space="preserve">SKU-A</t>
        </is>
      </c>
      <c r="D988" s="3" t="inlineStr">
        <is>
          <t xml:space="preserve">Renewal Serum</t>
        </is>
      </c>
      <c r="E988" s="6">
        <f>IF('Settings'!$B$11="Scenario",IFERROR(INDEX('Catalogue'!$E$3:$E$100,MATCH(C988,'Catalogue'!$B$3:$B$100,0)),F988),F988)</f>
        <v>69.9</v>
      </c>
      <c r="F988" s="8">
        <v>69.9</v>
      </c>
      <c r="G988" s="3">
        <v>1</v>
      </c>
      <c r="H988" s="6">
        <f>IF('Settings'!$B$11="Scenario",ROUND(E988*G988*IFERROR(SUMIF('Pricing &amp; promotions'!$A$6:$A$8,L988,'Pricing &amp; promotions'!$B$6:$B$8)/100,0),2),J988)</f>
        <v>6.99</v>
      </c>
      <c r="I988" s="6">
        <f>ROUND((E988*G988-H988)/(1+'Settings'!$B$6/100),2)</f>
        <v>51.99</v>
      </c>
      <c r="J988" s="8">
        <v>6.99</v>
      </c>
      <c r="K988" s="3" t="inlineStr">
        <is>
          <t xml:space="preserve">TRUE</t>
        </is>
      </c>
      <c r="L988" s="3" t="inlineStr">
        <is>
          <t xml:space="preserve">WELCOME10</t>
        </is>
      </c>
    </row>
    <row r="989">
      <c r="A989" s="3" t="inlineStr">
        <is>
          <t xml:space="preserve">#1726</t>
        </is>
      </c>
      <c r="B989" s="3" t="inlineStr">
        <is>
          <t xml:space="preserve">2026-09-04</t>
        </is>
      </c>
      <c r="C989" s="3" t="inlineStr">
        <is>
          <t xml:space="preserve">SKU-G</t>
        </is>
      </c>
      <c r="D989" s="3" t="inlineStr">
        <is>
          <t xml:space="preserve">Daily Reset Set</t>
        </is>
      </c>
      <c r="E989" s="6">
        <f>IF('Settings'!$B$11="Scenario",IFERROR(INDEX('Catalogue'!$E$3:$E$100,MATCH(C989,'Catalogue'!$B$3:$B$100,0)),F989),F989)</f>
        <v>69</v>
      </c>
      <c r="F989" s="8">
        <v>69</v>
      </c>
      <c r="G989" s="3">
        <v>1</v>
      </c>
      <c r="H989" s="6">
        <f>IF('Settings'!$B$11="Scenario",ROUND(E989*G989*IFERROR(SUMIF('Pricing &amp; promotions'!$A$6:$A$8,L989,'Pricing &amp; promotions'!$B$6:$B$8)/100,0),2),J989)</f>
        <v>6.9</v>
      </c>
      <c r="I989" s="6">
        <f>ROUND((E989*G989-H989)/(1+'Settings'!$B$6/100),2)</f>
        <v>51.32</v>
      </c>
      <c r="J989" s="8">
        <v>6.9</v>
      </c>
      <c r="K989" s="3" t="inlineStr">
        <is>
          <t xml:space="preserve">TRUE</t>
        </is>
      </c>
      <c r="L989" s="3" t="inlineStr">
        <is>
          <t xml:space="preserve">WELCOME10</t>
        </is>
      </c>
    </row>
    <row r="990">
      <c r="A990" s="3" t="inlineStr">
        <is>
          <t xml:space="preserve">#1727</t>
        </is>
      </c>
      <c r="B990" s="3" t="inlineStr">
        <is>
          <t xml:space="preserve">2026-09-04</t>
        </is>
      </c>
      <c r="C990" s="3" t="inlineStr">
        <is>
          <t xml:space="preserve">SKU-E</t>
        </is>
      </c>
      <c r="D990" s="3" t="inlineStr">
        <is>
          <t xml:space="preserve">Complete Ritual</t>
        </is>
      </c>
      <c r="E990" s="6">
        <f>IF('Settings'!$B$11="Scenario",IFERROR(INDEX('Catalogue'!$E$3:$E$100,MATCH(C990,'Catalogue'!$B$3:$B$100,0)),F990),F990)</f>
        <v>89</v>
      </c>
      <c r="F990" s="8">
        <v>89</v>
      </c>
      <c r="G990" s="3">
        <v>1</v>
      </c>
      <c r="H990" s="6">
        <f>IF('Settings'!$B$11="Scenario",ROUND(E990*G990*IFERROR(SUMIF('Pricing &amp; promotions'!$A$6:$A$8,L990,'Pricing &amp; promotions'!$B$6:$B$8)/100,0),2),J990)</f>
        <v>13.35</v>
      </c>
      <c r="I990" s="6">
        <f>ROUND((E990*G990-H990)/(1+'Settings'!$B$6/100),2)</f>
        <v>62.52</v>
      </c>
      <c r="J990" s="8">
        <v>13.35</v>
      </c>
      <c r="K990" s="3" t="inlineStr">
        <is>
          <t xml:space="preserve">TRUE</t>
        </is>
      </c>
      <c r="L990" s="3" t="inlineStr">
        <is>
          <t xml:space="preserve">SUMMER15</t>
        </is>
      </c>
    </row>
    <row r="991">
      <c r="A991" s="3" t="inlineStr">
        <is>
          <t xml:space="preserve">#1727</t>
        </is>
      </c>
      <c r="B991" s="3" t="inlineStr">
        <is>
          <t xml:space="preserve">2026-09-04</t>
        </is>
      </c>
      <c r="C991" s="3" t="inlineStr">
        <is>
          <t xml:space="preserve">SKU-D</t>
        </is>
      </c>
      <c r="D991" s="3" t="inlineStr">
        <is>
          <t xml:space="preserve">Daily Duo</t>
        </is>
      </c>
      <c r="E991" s="6">
        <f>IF('Settings'!$B$11="Scenario",IFERROR(INDEX('Catalogue'!$E$3:$E$100,MATCH(C991,'Catalogue'!$B$3:$B$100,0)),F991),F991)</f>
        <v>79</v>
      </c>
      <c r="F991" s="8">
        <v>79</v>
      </c>
      <c r="G991" s="3">
        <v>1</v>
      </c>
      <c r="H991" s="6">
        <f>IF('Settings'!$B$11="Scenario",ROUND(E991*G991*IFERROR(SUMIF('Pricing &amp; promotions'!$A$6:$A$8,L991,'Pricing &amp; promotions'!$B$6:$B$8)/100,0),2),J991)</f>
        <v>11.85</v>
      </c>
      <c r="I991" s="6">
        <f>ROUND((E991*G991-H991)/(1+'Settings'!$B$6/100),2)</f>
        <v>55.5</v>
      </c>
      <c r="J991" s="8">
        <v>11.85</v>
      </c>
      <c r="K991" s="3" t="inlineStr">
        <is>
          <t xml:space="preserve">TRUE</t>
        </is>
      </c>
      <c r="L991" s="3" t="inlineStr">
        <is>
          <t xml:space="preserve">SUMMER15</t>
        </is>
      </c>
    </row>
    <row r="992">
      <c r="A992" s="3" t="inlineStr">
        <is>
          <t xml:space="preserve">#1728</t>
        </is>
      </c>
      <c r="B992" s="3" t="inlineStr">
        <is>
          <t xml:space="preserve">2026-09-05</t>
        </is>
      </c>
      <c r="C992" s="3" t="inlineStr">
        <is>
          <t xml:space="preserve">SKU-A</t>
        </is>
      </c>
      <c r="D992" s="3" t="inlineStr">
        <is>
          <t xml:space="preserve">Renewal Serum</t>
        </is>
      </c>
      <c r="E992" s="6">
        <f>IF('Settings'!$B$11="Scenario",IFERROR(INDEX('Catalogue'!$E$3:$E$100,MATCH(C992,'Catalogue'!$B$3:$B$100,0)),F992),F992)</f>
        <v>69.9</v>
      </c>
      <c r="F992" s="8">
        <v>69.9</v>
      </c>
      <c r="G992" s="3">
        <v>2</v>
      </c>
      <c r="H992" s="6">
        <f>IF('Settings'!$B$11="Scenario",ROUND(E992*G992*IFERROR(SUMIF('Pricing &amp; promotions'!$A$6:$A$8,L992,'Pricing &amp; promotions'!$B$6:$B$8)/100,0),2),J992)</f>
        <v>27.96</v>
      </c>
      <c r="I992" s="6">
        <f>ROUND((E992*G992-H992)/(1+'Settings'!$B$6/100),2)</f>
        <v>92.43</v>
      </c>
      <c r="J992" s="8">
        <v>27.96</v>
      </c>
      <c r="K992" s="3" t="inlineStr">
        <is>
          <t xml:space="preserve">TRUE</t>
        </is>
      </c>
      <c r="L992" s="3" t="inlineStr">
        <is>
          <t xml:space="preserve">VIP20</t>
        </is>
      </c>
    </row>
    <row r="993">
      <c r="A993" s="3" t="inlineStr">
        <is>
          <t xml:space="preserve">#1729</t>
        </is>
      </c>
      <c r="B993" s="3" t="inlineStr">
        <is>
          <t xml:space="preserve">2026-09-05</t>
        </is>
      </c>
      <c r="C993" s="3" t="inlineStr">
        <is>
          <t xml:space="preserve">SKU-G</t>
        </is>
      </c>
      <c r="D993" s="3" t="inlineStr">
        <is>
          <t xml:space="preserve">Daily Reset Set</t>
        </is>
      </c>
      <c r="E993" s="6">
        <f>IF('Settings'!$B$11="Scenario",IFERROR(INDEX('Catalogue'!$E$3:$E$100,MATCH(C993,'Catalogue'!$B$3:$B$100,0)),F993),F993)</f>
        <v>69</v>
      </c>
      <c r="F993" s="8">
        <v>69</v>
      </c>
      <c r="G993" s="3">
        <v>1</v>
      </c>
      <c r="H993" s="6">
        <f>IF('Settings'!$B$11="Scenario",ROUND(E993*G993*IFERROR(SUMIF('Pricing &amp; promotions'!$A$6:$A$8,L993,'Pricing &amp; promotions'!$B$6:$B$8)/100,0),2),J993)</f>
        <v>0.0</v>
      </c>
      <c r="I993" s="6">
        <f>ROUND((E993*G993-H993)/(1+'Settings'!$B$6/100),2)</f>
        <v>57.02</v>
      </c>
      <c r="J993" s="8">
        <v>0.0</v>
      </c>
      <c r="K993" s="3" t="inlineStr">
        <is>
          <t xml:space="preserve">TRUE</t>
        </is>
      </c>
      <c r="L993" s="3"/>
    </row>
    <row r="994">
      <c r="A994" s="3" t="inlineStr">
        <is>
          <t xml:space="preserve">#1729</t>
        </is>
      </c>
      <c r="B994" s="3" t="inlineStr">
        <is>
          <t xml:space="preserve">2026-09-05</t>
        </is>
      </c>
      <c r="C994" s="3" t="inlineStr">
        <is>
          <t xml:space="preserve">SKU-E</t>
        </is>
      </c>
      <c r="D994" s="3" t="inlineStr">
        <is>
          <t xml:space="preserve">Complete Ritual</t>
        </is>
      </c>
      <c r="E994" s="6">
        <f>IF('Settings'!$B$11="Scenario",IFERROR(INDEX('Catalogue'!$E$3:$E$100,MATCH(C994,'Catalogue'!$B$3:$B$100,0)),F994),F994)</f>
        <v>89</v>
      </c>
      <c r="F994" s="8">
        <v>89</v>
      </c>
      <c r="G994" s="3">
        <v>1</v>
      </c>
      <c r="H994" s="6">
        <f>IF('Settings'!$B$11="Scenario",ROUND(E994*G994*IFERROR(SUMIF('Pricing &amp; promotions'!$A$6:$A$8,L994,'Pricing &amp; promotions'!$B$6:$B$8)/100,0),2),J994)</f>
        <v>0.0</v>
      </c>
      <c r="I994" s="6">
        <f>ROUND((E994*G994-H994)/(1+'Settings'!$B$6/100),2)</f>
        <v>73.55</v>
      </c>
      <c r="J994" s="8">
        <v>0.0</v>
      </c>
      <c r="K994" s="3" t="inlineStr">
        <is>
          <t xml:space="preserve">TRUE</t>
        </is>
      </c>
      <c r="L994" s="3"/>
    </row>
    <row r="995">
      <c r="A995" s="3" t="inlineStr">
        <is>
          <t xml:space="preserve">#1730</t>
        </is>
      </c>
      <c r="B995" s="3" t="inlineStr">
        <is>
          <t xml:space="preserve">2026-09-05</t>
        </is>
      </c>
      <c r="C995" s="3" t="inlineStr">
        <is>
          <t xml:space="preserve">SKU-E</t>
        </is>
      </c>
      <c r="D995" s="3" t="inlineStr">
        <is>
          <t xml:space="preserve">Complete Ritual</t>
        </is>
      </c>
      <c r="E995" s="6">
        <f>IF('Settings'!$B$11="Scenario",IFERROR(INDEX('Catalogue'!$E$3:$E$100,MATCH(C995,'Catalogue'!$B$3:$B$100,0)),F995),F995)</f>
        <v>89</v>
      </c>
      <c r="F995" s="8">
        <v>89</v>
      </c>
      <c r="G995" s="3">
        <v>1</v>
      </c>
      <c r="H995" s="6">
        <f>IF('Settings'!$B$11="Scenario",ROUND(E995*G995*IFERROR(SUMIF('Pricing &amp; promotions'!$A$6:$A$8,L995,'Pricing &amp; promotions'!$B$6:$B$8)/100,0),2),J995)</f>
        <v>8.9</v>
      </c>
      <c r="I995" s="6">
        <f>ROUND((E995*G995-H995)/(1+'Settings'!$B$6/100),2)</f>
        <v>66.2</v>
      </c>
      <c r="J995" s="8">
        <v>8.9</v>
      </c>
      <c r="K995" s="3" t="inlineStr">
        <is>
          <t xml:space="preserve">TRUE</t>
        </is>
      </c>
      <c r="L995" s="3" t="inlineStr">
        <is>
          <t xml:space="preserve">WELCOME10</t>
        </is>
      </c>
    </row>
    <row r="996">
      <c r="A996" s="3" t="inlineStr">
        <is>
          <t xml:space="preserve">#1731</t>
        </is>
      </c>
      <c r="B996" s="3" t="inlineStr">
        <is>
          <t xml:space="preserve">2026-09-05</t>
        </is>
      </c>
      <c r="C996" s="3" t="inlineStr">
        <is>
          <t xml:space="preserve">SKU-A</t>
        </is>
      </c>
      <c r="D996" s="3" t="inlineStr">
        <is>
          <t xml:space="preserve">Renewal Serum</t>
        </is>
      </c>
      <c r="E996" s="6">
        <f>IF('Settings'!$B$11="Scenario",IFERROR(INDEX('Catalogue'!$E$3:$E$100,MATCH(C996,'Catalogue'!$B$3:$B$100,0)),F996),F996)</f>
        <v>69.9</v>
      </c>
      <c r="F996" s="8">
        <v>69.9</v>
      </c>
      <c r="G996" s="3">
        <v>1</v>
      </c>
      <c r="H996" s="6">
        <f>IF('Settings'!$B$11="Scenario",ROUND(E996*G996*IFERROR(SUMIF('Pricing &amp; promotions'!$A$6:$A$8,L996,'Pricing &amp; promotions'!$B$6:$B$8)/100,0),2),J996)</f>
        <v>0.0</v>
      </c>
      <c r="I996" s="6">
        <f>ROUND((E996*G996-H996)/(1+'Settings'!$B$6/100),2)</f>
        <v>57.77</v>
      </c>
      <c r="J996" s="8">
        <v>0.0</v>
      </c>
      <c r="K996" s="3" t="inlineStr">
        <is>
          <t xml:space="preserve">TRUE</t>
        </is>
      </c>
      <c r="L996" s="3"/>
    </row>
    <row r="997">
      <c r="A997" s="3" t="inlineStr">
        <is>
          <t xml:space="preserve">#1731</t>
        </is>
      </c>
      <c r="B997" s="3" t="inlineStr">
        <is>
          <t xml:space="preserve">2026-09-05</t>
        </is>
      </c>
      <c r="C997" s="3" t="inlineStr">
        <is>
          <t xml:space="preserve">SKU-G</t>
        </is>
      </c>
      <c r="D997" s="3" t="inlineStr">
        <is>
          <t xml:space="preserve">Daily Reset Set</t>
        </is>
      </c>
      <c r="E997" s="6">
        <f>IF('Settings'!$B$11="Scenario",IFERROR(INDEX('Catalogue'!$E$3:$E$100,MATCH(C997,'Catalogue'!$B$3:$B$100,0)),F997),F997)</f>
        <v>69</v>
      </c>
      <c r="F997" s="8">
        <v>69</v>
      </c>
      <c r="G997" s="3">
        <v>1</v>
      </c>
      <c r="H997" s="6">
        <f>IF('Settings'!$B$11="Scenario",ROUND(E997*G997*IFERROR(SUMIF('Pricing &amp; promotions'!$A$6:$A$8,L997,'Pricing &amp; promotions'!$B$6:$B$8)/100,0),2),J997)</f>
        <v>0.0</v>
      </c>
      <c r="I997" s="6">
        <f>ROUND((E997*G997-H997)/(1+'Settings'!$B$6/100),2)</f>
        <v>57.02</v>
      </c>
      <c r="J997" s="8">
        <v>0.0</v>
      </c>
      <c r="K997" s="3" t="inlineStr">
        <is>
          <t xml:space="preserve">TRUE</t>
        </is>
      </c>
      <c r="L997" s="3"/>
    </row>
    <row r="998">
      <c r="A998" s="3" t="inlineStr">
        <is>
          <t xml:space="preserve">#1732</t>
        </is>
      </c>
      <c r="B998" s="3" t="inlineStr">
        <is>
          <t xml:space="preserve">2026-09-06</t>
        </is>
      </c>
      <c r="C998" s="3" t="inlineStr">
        <is>
          <t xml:space="preserve">SKU-A</t>
        </is>
      </c>
      <c r="D998" s="3" t="inlineStr">
        <is>
          <t xml:space="preserve">Renewal Serum</t>
        </is>
      </c>
      <c r="E998" s="6">
        <f>IF('Settings'!$B$11="Scenario",IFERROR(INDEX('Catalogue'!$E$3:$E$100,MATCH(C998,'Catalogue'!$B$3:$B$100,0)),F998),F998)</f>
        <v>69.9</v>
      </c>
      <c r="F998" s="8">
        <v>69.9</v>
      </c>
      <c r="G998" s="3">
        <v>2</v>
      </c>
      <c r="H998" s="6">
        <f>IF('Settings'!$B$11="Scenario",ROUND(E998*G998*IFERROR(SUMIF('Pricing &amp; promotions'!$A$6:$A$8,L998,'Pricing &amp; promotions'!$B$6:$B$8)/100,0),2),J998)</f>
        <v>27.96</v>
      </c>
      <c r="I998" s="6">
        <f>ROUND((E998*G998-H998)/(1+'Settings'!$B$6/100),2)</f>
        <v>92.43</v>
      </c>
      <c r="J998" s="8">
        <v>27.96</v>
      </c>
      <c r="K998" s="3" t="inlineStr">
        <is>
          <t xml:space="preserve">TRUE</t>
        </is>
      </c>
      <c r="L998" s="3" t="inlineStr">
        <is>
          <t xml:space="preserve">VIP20</t>
        </is>
      </c>
    </row>
    <row r="999">
      <c r="A999" s="3" t="inlineStr">
        <is>
          <t xml:space="preserve">#1733</t>
        </is>
      </c>
      <c r="B999" s="3" t="inlineStr">
        <is>
          <t xml:space="preserve">2026-09-06</t>
        </is>
      </c>
      <c r="C999" s="3" t="inlineStr">
        <is>
          <t xml:space="preserve">SKU-C</t>
        </is>
      </c>
      <c r="D999" s="3" t="inlineStr">
        <is>
          <t xml:space="preserve">Contour Stone</t>
        </is>
      </c>
      <c r="E999" s="6">
        <f>IF('Settings'!$B$11="Scenario",IFERROR(INDEX('Catalogue'!$E$3:$E$100,MATCH(C999,'Catalogue'!$B$3:$B$100,0)),F999),F999)</f>
        <v>29</v>
      </c>
      <c r="F999" s="8">
        <v>29</v>
      </c>
      <c r="G999" s="3">
        <v>1</v>
      </c>
      <c r="H999" s="6">
        <f>IF('Settings'!$B$11="Scenario",ROUND(E999*G999*IFERROR(SUMIF('Pricing &amp; promotions'!$A$6:$A$8,L999,'Pricing &amp; promotions'!$B$6:$B$8)/100,0),2),J999)</f>
        <v>0.0</v>
      </c>
      <c r="I999" s="6">
        <f>ROUND((E999*G999-H999)/(1+'Settings'!$B$6/100),2)</f>
        <v>23.97</v>
      </c>
      <c r="J999" s="8">
        <v>0.0</v>
      </c>
      <c r="K999" s="3" t="inlineStr">
        <is>
          <t xml:space="preserve">TRUE</t>
        </is>
      </c>
      <c r="L999" s="3"/>
    </row>
    <row r="1000">
      <c r="A1000" s="3" t="inlineStr">
        <is>
          <t xml:space="preserve">#1734</t>
        </is>
      </c>
      <c r="B1000" s="3" t="inlineStr">
        <is>
          <t xml:space="preserve">2026-09-06</t>
        </is>
      </c>
      <c r="C1000" s="3" t="inlineStr">
        <is>
          <t xml:space="preserve">SKU-D</t>
        </is>
      </c>
      <c r="D1000" s="3" t="inlineStr">
        <is>
          <t xml:space="preserve">Daily Duo</t>
        </is>
      </c>
      <c r="E1000" s="6">
        <f>IF('Settings'!$B$11="Scenario",IFERROR(INDEX('Catalogue'!$E$3:$E$100,MATCH(C1000,'Catalogue'!$B$3:$B$100,0)),F1000),F1000)</f>
        <v>79</v>
      </c>
      <c r="F1000" s="8">
        <v>79</v>
      </c>
      <c r="G1000" s="3">
        <v>1</v>
      </c>
      <c r="H1000" s="6">
        <f>IF('Settings'!$B$11="Scenario",ROUND(E1000*G1000*IFERROR(SUMIF('Pricing &amp; promotions'!$A$6:$A$8,L1000,'Pricing &amp; promotions'!$B$6:$B$8)/100,0),2),J1000)</f>
        <v>0.0</v>
      </c>
      <c r="I1000" s="6">
        <f>ROUND((E1000*G1000-H1000)/(1+'Settings'!$B$6/100),2)</f>
        <v>65.29</v>
      </c>
      <c r="J1000" s="8">
        <v>0.0</v>
      </c>
      <c r="K1000" s="3" t="inlineStr">
        <is>
          <t xml:space="preserve">TRUE</t>
        </is>
      </c>
      <c r="L1000" s="3"/>
    </row>
    <row r="1001">
      <c r="A1001" s="3" t="inlineStr">
        <is>
          <t xml:space="preserve">#1735</t>
        </is>
      </c>
      <c r="B1001" s="3" t="inlineStr">
        <is>
          <t xml:space="preserve">2026-09-07</t>
        </is>
      </c>
      <c r="C1001" s="3" t="inlineStr">
        <is>
          <t xml:space="preserve">SKU-A</t>
        </is>
      </c>
      <c r="D1001" s="3" t="inlineStr">
        <is>
          <t xml:space="preserve">Renewal Serum</t>
        </is>
      </c>
      <c r="E1001" s="6">
        <f>IF('Settings'!$B$11="Scenario",IFERROR(INDEX('Catalogue'!$E$3:$E$100,MATCH(C1001,'Catalogue'!$B$3:$B$100,0)),F1001),F1001)</f>
        <v>69.9</v>
      </c>
      <c r="F1001" s="8">
        <v>69.9</v>
      </c>
      <c r="G1001" s="3">
        <v>1</v>
      </c>
      <c r="H1001" s="6">
        <f>IF('Settings'!$B$11="Scenario",ROUND(E1001*G1001*IFERROR(SUMIF('Pricing &amp; promotions'!$A$6:$A$8,L1001,'Pricing &amp; promotions'!$B$6:$B$8)/100,0),2),J1001)</f>
        <v>0.0</v>
      </c>
      <c r="I1001" s="6">
        <f>ROUND((E1001*G1001-H1001)/(1+'Settings'!$B$6/100),2)</f>
        <v>57.77</v>
      </c>
      <c r="J1001" s="8">
        <v>0.0</v>
      </c>
      <c r="K1001" s="3" t="inlineStr">
        <is>
          <t xml:space="preserve">TRUE</t>
        </is>
      </c>
      <c r="L1001" s="3"/>
    </row>
    <row r="1002">
      <c r="A1002" s="3" t="inlineStr">
        <is>
          <t xml:space="preserve">#1736</t>
        </is>
      </c>
      <c r="B1002" s="3" t="inlineStr">
        <is>
          <t xml:space="preserve">2026-09-07</t>
        </is>
      </c>
      <c r="C1002" s="3" t="inlineStr">
        <is>
          <t xml:space="preserve">SKU-A</t>
        </is>
      </c>
      <c r="D1002" s="3" t="inlineStr">
        <is>
          <t xml:space="preserve">Renewal Serum</t>
        </is>
      </c>
      <c r="E1002" s="6">
        <f>IF('Settings'!$B$11="Scenario",IFERROR(INDEX('Catalogue'!$E$3:$E$100,MATCH(C1002,'Catalogue'!$B$3:$B$100,0)),F1002),F1002)</f>
        <v>69.9</v>
      </c>
      <c r="F1002" s="8">
        <v>69.9</v>
      </c>
      <c r="G1002" s="3">
        <v>1</v>
      </c>
      <c r="H1002" s="6">
        <f>IF('Settings'!$B$11="Scenario",ROUND(E1002*G1002*IFERROR(SUMIF('Pricing &amp; promotions'!$A$6:$A$8,L1002,'Pricing &amp; promotions'!$B$6:$B$8)/100,0),2),J1002)</f>
        <v>10.49</v>
      </c>
      <c r="I1002" s="6">
        <f>ROUND((E1002*G1002-H1002)/(1+'Settings'!$B$6/100),2)</f>
        <v>49.1</v>
      </c>
      <c r="J1002" s="8">
        <v>10.49</v>
      </c>
      <c r="K1002" s="3" t="inlineStr">
        <is>
          <t xml:space="preserve">TRUE</t>
        </is>
      </c>
      <c r="L1002" s="3" t="inlineStr">
        <is>
          <t xml:space="preserve">SUMMER15</t>
        </is>
      </c>
    </row>
    <row r="1003">
      <c r="A1003" s="3" t="inlineStr">
        <is>
          <t xml:space="preserve">#1737</t>
        </is>
      </c>
      <c r="B1003" s="3" t="inlineStr">
        <is>
          <t xml:space="preserve">2026-09-08</t>
        </is>
      </c>
      <c r="C1003" s="3" t="inlineStr">
        <is>
          <t xml:space="preserve">SKU-F</t>
        </is>
      </c>
      <c r="D1003" s="3" t="inlineStr">
        <is>
          <t xml:space="preserve">Cloud Cleanser</t>
        </is>
      </c>
      <c r="E1003" s="6">
        <f>IF('Settings'!$B$11="Scenario",IFERROR(INDEX('Catalogue'!$E$3:$E$100,MATCH(C1003,'Catalogue'!$B$3:$B$100,0)),F1003),F1003)</f>
        <v>34</v>
      </c>
      <c r="F1003" s="8">
        <v>34</v>
      </c>
      <c r="G1003" s="3">
        <v>1</v>
      </c>
      <c r="H1003" s="6">
        <f>IF('Settings'!$B$11="Scenario",ROUND(E1003*G1003*IFERROR(SUMIF('Pricing &amp; promotions'!$A$6:$A$8,L1003,'Pricing &amp; promotions'!$B$6:$B$8)/100,0),2),J1003)</f>
        <v>0.0</v>
      </c>
      <c r="I1003" s="6">
        <f>ROUND((E1003*G1003-H1003)/(1+'Settings'!$B$6/100),2)</f>
        <v>28.1</v>
      </c>
      <c r="J1003" s="8">
        <v>0.0</v>
      </c>
      <c r="K1003" s="3" t="inlineStr">
        <is>
          <t xml:space="preserve">TRUE</t>
        </is>
      </c>
      <c r="L1003" s="3"/>
    </row>
    <row r="1004">
      <c r="A1004" s="3" t="inlineStr">
        <is>
          <t xml:space="preserve">#1738</t>
        </is>
      </c>
      <c r="B1004" s="3" t="inlineStr">
        <is>
          <t xml:space="preserve">2026-09-08</t>
        </is>
      </c>
      <c r="C1004" s="3" t="inlineStr">
        <is>
          <t xml:space="preserve">SKU-D</t>
        </is>
      </c>
      <c r="D1004" s="3" t="inlineStr">
        <is>
          <t xml:space="preserve">Daily Duo</t>
        </is>
      </c>
      <c r="E1004" s="6">
        <f>IF('Settings'!$B$11="Scenario",IFERROR(INDEX('Catalogue'!$E$3:$E$100,MATCH(C1004,'Catalogue'!$B$3:$B$100,0)),F1004),F1004)</f>
        <v>79</v>
      </c>
      <c r="F1004" s="8">
        <v>79</v>
      </c>
      <c r="G1004" s="3">
        <v>1</v>
      </c>
      <c r="H1004" s="6">
        <f>IF('Settings'!$B$11="Scenario",ROUND(E1004*G1004*IFERROR(SUMIF('Pricing &amp; promotions'!$A$6:$A$8,L1004,'Pricing &amp; promotions'!$B$6:$B$8)/100,0),2),J1004)</f>
        <v>0.0</v>
      </c>
      <c r="I1004" s="6">
        <f>ROUND((E1004*G1004-H1004)/(1+'Settings'!$B$6/100),2)</f>
        <v>65.29</v>
      </c>
      <c r="J1004" s="8">
        <v>0.0</v>
      </c>
      <c r="K1004" s="3" t="inlineStr">
        <is>
          <t xml:space="preserve">TRUE</t>
        </is>
      </c>
      <c r="L1004" s="3"/>
    </row>
    <row r="1005">
      <c r="A1005" s="3" t="inlineStr">
        <is>
          <t xml:space="preserve">#1738</t>
        </is>
      </c>
      <c r="B1005" s="3" t="inlineStr">
        <is>
          <t xml:space="preserve">2026-09-08</t>
        </is>
      </c>
      <c r="C1005" s="3" t="inlineStr">
        <is>
          <t xml:space="preserve">SKU-G</t>
        </is>
      </c>
      <c r="D1005" s="3" t="inlineStr">
        <is>
          <t xml:space="preserve">Daily Reset Set</t>
        </is>
      </c>
      <c r="E1005" s="6">
        <f>IF('Settings'!$B$11="Scenario",IFERROR(INDEX('Catalogue'!$E$3:$E$100,MATCH(C1005,'Catalogue'!$B$3:$B$100,0)),F1005),F1005)</f>
        <v>69</v>
      </c>
      <c r="F1005" s="8">
        <v>69</v>
      </c>
      <c r="G1005" s="3">
        <v>1</v>
      </c>
      <c r="H1005" s="6">
        <f>IF('Settings'!$B$11="Scenario",ROUND(E1005*G1005*IFERROR(SUMIF('Pricing &amp; promotions'!$A$6:$A$8,L1005,'Pricing &amp; promotions'!$B$6:$B$8)/100,0),2),J1005)</f>
        <v>0.0</v>
      </c>
      <c r="I1005" s="6">
        <f>ROUND((E1005*G1005-H1005)/(1+'Settings'!$B$6/100),2)</f>
        <v>57.02</v>
      </c>
      <c r="J1005" s="8">
        <v>0.0</v>
      </c>
      <c r="K1005" s="3" t="inlineStr">
        <is>
          <t xml:space="preserve">TRUE</t>
        </is>
      </c>
      <c r="L1005" s="3"/>
    </row>
    <row r="1006">
      <c r="A1006" s="3" t="inlineStr">
        <is>
          <t xml:space="preserve">#1738</t>
        </is>
      </c>
      <c r="B1006" s="3" t="inlineStr">
        <is>
          <t xml:space="preserve">2026-09-08</t>
        </is>
      </c>
      <c r="C1006" s="3" t="inlineStr">
        <is>
          <t xml:space="preserve">SKU-A</t>
        </is>
      </c>
      <c r="D1006" s="3" t="inlineStr">
        <is>
          <t xml:space="preserve">Renewal Serum</t>
        </is>
      </c>
      <c r="E1006" s="6">
        <f>IF('Settings'!$B$11="Scenario",IFERROR(INDEX('Catalogue'!$E$3:$E$100,MATCH(C1006,'Catalogue'!$B$3:$B$100,0)),F1006),F1006)</f>
        <v>69.9</v>
      </c>
      <c r="F1006" s="8">
        <v>69.9</v>
      </c>
      <c r="G1006" s="3">
        <v>1</v>
      </c>
      <c r="H1006" s="6">
        <f>IF('Settings'!$B$11="Scenario",ROUND(E1006*G1006*IFERROR(SUMIF('Pricing &amp; promotions'!$A$6:$A$8,L1006,'Pricing &amp; promotions'!$B$6:$B$8)/100,0),2),J1006)</f>
        <v>0.0</v>
      </c>
      <c r="I1006" s="6">
        <f>ROUND((E1006*G1006-H1006)/(1+'Settings'!$B$6/100),2)</f>
        <v>57.77</v>
      </c>
      <c r="J1006" s="8">
        <v>0.0</v>
      </c>
      <c r="K1006" s="3" t="inlineStr">
        <is>
          <t xml:space="preserve">TRUE</t>
        </is>
      </c>
      <c r="L1006" s="3"/>
    </row>
    <row r="1007">
      <c r="A1007" s="3" t="inlineStr">
        <is>
          <t xml:space="preserve">#1739</t>
        </is>
      </c>
      <c r="B1007" s="3" t="inlineStr">
        <is>
          <t xml:space="preserve">2026-09-09</t>
        </is>
      </c>
      <c r="C1007" s="3" t="inlineStr">
        <is>
          <t xml:space="preserve">SKU-E</t>
        </is>
      </c>
      <c r="D1007" s="3" t="inlineStr">
        <is>
          <t xml:space="preserve">Complete Ritual</t>
        </is>
      </c>
      <c r="E1007" s="6">
        <f>IF('Settings'!$B$11="Scenario",IFERROR(INDEX('Catalogue'!$E$3:$E$100,MATCH(C1007,'Catalogue'!$B$3:$B$100,0)),F1007),F1007)</f>
        <v>89</v>
      </c>
      <c r="F1007" s="8">
        <v>89</v>
      </c>
      <c r="G1007" s="3">
        <v>1</v>
      </c>
      <c r="H1007" s="6">
        <f>IF('Settings'!$B$11="Scenario",ROUND(E1007*G1007*IFERROR(SUMIF('Pricing &amp; promotions'!$A$6:$A$8,L1007,'Pricing &amp; promotions'!$B$6:$B$8)/100,0),2),J1007)</f>
        <v>0.0</v>
      </c>
      <c r="I1007" s="6">
        <f>ROUND((E1007*G1007-H1007)/(1+'Settings'!$B$6/100),2)</f>
        <v>73.55</v>
      </c>
      <c r="J1007" s="8">
        <v>0.0</v>
      </c>
      <c r="K1007" s="3" t="inlineStr">
        <is>
          <t xml:space="preserve">TRUE</t>
        </is>
      </c>
      <c r="L1007" s="3"/>
    </row>
    <row r="1008">
      <c r="A1008" s="3" t="inlineStr">
        <is>
          <t xml:space="preserve">#1739</t>
        </is>
      </c>
      <c r="B1008" s="3" t="inlineStr">
        <is>
          <t xml:space="preserve">2026-09-09</t>
        </is>
      </c>
      <c r="C1008" s="3" t="inlineStr">
        <is>
          <t xml:space="preserve">SKU-C</t>
        </is>
      </c>
      <c r="D1008" s="3" t="inlineStr">
        <is>
          <t xml:space="preserve">Contour Stone</t>
        </is>
      </c>
      <c r="E1008" s="6">
        <f>IF('Settings'!$B$11="Scenario",IFERROR(INDEX('Catalogue'!$E$3:$E$100,MATCH(C1008,'Catalogue'!$B$3:$B$100,0)),F1008),F1008)</f>
        <v>29</v>
      </c>
      <c r="F1008" s="8">
        <v>29</v>
      </c>
      <c r="G1008" s="3">
        <v>1</v>
      </c>
      <c r="H1008" s="6">
        <f>IF('Settings'!$B$11="Scenario",ROUND(E1008*G1008*IFERROR(SUMIF('Pricing &amp; promotions'!$A$6:$A$8,L1008,'Pricing &amp; promotions'!$B$6:$B$8)/100,0),2),J1008)</f>
        <v>0.0</v>
      </c>
      <c r="I1008" s="6">
        <f>ROUND((E1008*G1008-H1008)/(1+'Settings'!$B$6/100),2)</f>
        <v>23.97</v>
      </c>
      <c r="J1008" s="8">
        <v>0.0</v>
      </c>
      <c r="K1008" s="3" t="inlineStr">
        <is>
          <t xml:space="preserve">TRUE</t>
        </is>
      </c>
      <c r="L1008" s="3"/>
    </row>
    <row r="1009">
      <c r="A1009" s="3" t="inlineStr">
        <is>
          <t xml:space="preserve">#1740</t>
        </is>
      </c>
      <c r="B1009" s="3" t="inlineStr">
        <is>
          <t xml:space="preserve">2026-09-09</t>
        </is>
      </c>
      <c r="C1009" s="3" t="inlineStr">
        <is>
          <t xml:space="preserve">SKU-A</t>
        </is>
      </c>
      <c r="D1009" s="3" t="inlineStr">
        <is>
          <t xml:space="preserve">Renewal Serum</t>
        </is>
      </c>
      <c r="E1009" s="6">
        <f>IF('Settings'!$B$11="Scenario",IFERROR(INDEX('Catalogue'!$E$3:$E$100,MATCH(C1009,'Catalogue'!$B$3:$B$100,0)),F1009),F1009)</f>
        <v>69.9</v>
      </c>
      <c r="F1009" s="8">
        <v>69.9</v>
      </c>
      <c r="G1009" s="3">
        <v>1</v>
      </c>
      <c r="H1009" s="6">
        <f>IF('Settings'!$B$11="Scenario",ROUND(E1009*G1009*IFERROR(SUMIF('Pricing &amp; promotions'!$A$6:$A$8,L1009,'Pricing &amp; promotions'!$B$6:$B$8)/100,0),2),J1009)</f>
        <v>10.49</v>
      </c>
      <c r="I1009" s="6">
        <f>ROUND((E1009*G1009-H1009)/(1+'Settings'!$B$6/100),2)</f>
        <v>49.1</v>
      </c>
      <c r="J1009" s="8">
        <v>10.49</v>
      </c>
      <c r="K1009" s="3" t="inlineStr">
        <is>
          <t xml:space="preserve">TRUE</t>
        </is>
      </c>
      <c r="L1009" s="3" t="inlineStr">
        <is>
          <t xml:space="preserve">SUMMER15</t>
        </is>
      </c>
    </row>
    <row r="1010">
      <c r="A1010" s="3" t="inlineStr">
        <is>
          <t xml:space="preserve">#1741</t>
        </is>
      </c>
      <c r="B1010" s="3" t="inlineStr">
        <is>
          <t xml:space="preserve">2026-09-09</t>
        </is>
      </c>
      <c r="C1010" s="3" t="inlineStr">
        <is>
          <t xml:space="preserve">SKU-E</t>
        </is>
      </c>
      <c r="D1010" s="3" t="inlineStr">
        <is>
          <t xml:space="preserve">Complete Ritual</t>
        </is>
      </c>
      <c r="E1010" s="6">
        <f>IF('Settings'!$B$11="Scenario",IFERROR(INDEX('Catalogue'!$E$3:$E$100,MATCH(C1010,'Catalogue'!$B$3:$B$100,0)),F1010),F1010)</f>
        <v>89</v>
      </c>
      <c r="F1010" s="8">
        <v>89</v>
      </c>
      <c r="G1010" s="3">
        <v>1</v>
      </c>
      <c r="H1010" s="6">
        <f>IF('Settings'!$B$11="Scenario",ROUND(E1010*G1010*IFERROR(SUMIF('Pricing &amp; promotions'!$A$6:$A$8,L1010,'Pricing &amp; promotions'!$B$6:$B$8)/100,0),2),J1010)</f>
        <v>0.0</v>
      </c>
      <c r="I1010" s="6">
        <f>ROUND((E1010*G1010-H1010)/(1+'Settings'!$B$6/100),2)</f>
        <v>73.55</v>
      </c>
      <c r="J1010" s="8">
        <v>0.0</v>
      </c>
      <c r="K1010" s="3" t="inlineStr">
        <is>
          <t xml:space="preserve">TRUE</t>
        </is>
      </c>
      <c r="L1010" s="3"/>
    </row>
    <row r="1011">
      <c r="A1011" s="3" t="inlineStr">
        <is>
          <t xml:space="preserve">#1742</t>
        </is>
      </c>
      <c r="B1011" s="3" t="inlineStr">
        <is>
          <t xml:space="preserve">2026-09-09</t>
        </is>
      </c>
      <c r="C1011" s="3" t="inlineStr">
        <is>
          <t xml:space="preserve">SKU-F</t>
        </is>
      </c>
      <c r="D1011" s="3" t="inlineStr">
        <is>
          <t xml:space="preserve">Cloud Cleanser</t>
        </is>
      </c>
      <c r="E1011" s="6">
        <f>IF('Settings'!$B$11="Scenario",IFERROR(INDEX('Catalogue'!$E$3:$E$100,MATCH(C1011,'Catalogue'!$B$3:$B$100,0)),F1011),F1011)</f>
        <v>34</v>
      </c>
      <c r="F1011" s="8">
        <v>34</v>
      </c>
      <c r="G1011" s="3">
        <v>1</v>
      </c>
      <c r="H1011" s="6">
        <f>IF('Settings'!$B$11="Scenario",ROUND(E1011*G1011*IFERROR(SUMIF('Pricing &amp; promotions'!$A$6:$A$8,L1011,'Pricing &amp; promotions'!$B$6:$B$8)/100,0),2),J1011)</f>
        <v>3.4</v>
      </c>
      <c r="I1011" s="6">
        <f>ROUND((E1011*G1011-H1011)/(1+'Settings'!$B$6/100),2)</f>
        <v>25.29</v>
      </c>
      <c r="J1011" s="8">
        <v>3.4</v>
      </c>
      <c r="K1011" s="3" t="inlineStr">
        <is>
          <t xml:space="preserve">TRUE</t>
        </is>
      </c>
      <c r="L1011" s="3" t="inlineStr">
        <is>
          <t xml:space="preserve">WELCOME10</t>
        </is>
      </c>
    </row>
    <row r="1012">
      <c r="A1012" s="3" t="inlineStr">
        <is>
          <t xml:space="preserve">#1743</t>
        </is>
      </c>
      <c r="B1012" s="3" t="inlineStr">
        <is>
          <t xml:space="preserve">2026-09-10</t>
        </is>
      </c>
      <c r="C1012" s="3" t="inlineStr">
        <is>
          <t xml:space="preserve">SKU-A</t>
        </is>
      </c>
      <c r="D1012" s="3" t="inlineStr">
        <is>
          <t xml:space="preserve">Renewal Serum</t>
        </is>
      </c>
      <c r="E1012" s="6">
        <f>IF('Settings'!$B$11="Scenario",IFERROR(INDEX('Catalogue'!$E$3:$E$100,MATCH(C1012,'Catalogue'!$B$3:$B$100,0)),F1012),F1012)</f>
        <v>69.9</v>
      </c>
      <c r="F1012" s="8">
        <v>69.9</v>
      </c>
      <c r="G1012" s="3">
        <v>1</v>
      </c>
      <c r="H1012" s="6">
        <f>IF('Settings'!$B$11="Scenario",ROUND(E1012*G1012*IFERROR(SUMIF('Pricing &amp; promotions'!$A$6:$A$8,L1012,'Pricing &amp; promotions'!$B$6:$B$8)/100,0),2),J1012)</f>
        <v>6.99</v>
      </c>
      <c r="I1012" s="6">
        <f>ROUND((E1012*G1012-H1012)/(1+'Settings'!$B$6/100),2)</f>
        <v>51.99</v>
      </c>
      <c r="J1012" s="8">
        <v>6.99</v>
      </c>
      <c r="K1012" s="3" t="inlineStr">
        <is>
          <t xml:space="preserve">TRUE</t>
        </is>
      </c>
      <c r="L1012" s="3" t="inlineStr">
        <is>
          <t xml:space="preserve">WELCOME10</t>
        </is>
      </c>
    </row>
    <row r="1013">
      <c r="A1013" s="3" t="inlineStr">
        <is>
          <t xml:space="preserve">#1744</t>
        </is>
      </c>
      <c r="B1013" s="3" t="inlineStr">
        <is>
          <t xml:space="preserve">2026-09-11</t>
        </is>
      </c>
      <c r="C1013" s="3" t="inlineStr">
        <is>
          <t xml:space="preserve">SKU-F</t>
        </is>
      </c>
      <c r="D1013" s="3" t="inlineStr">
        <is>
          <t xml:space="preserve">Cloud Cleanser</t>
        </is>
      </c>
      <c r="E1013" s="6">
        <f>IF('Settings'!$B$11="Scenario",IFERROR(INDEX('Catalogue'!$E$3:$E$100,MATCH(C1013,'Catalogue'!$B$3:$B$100,0)),F1013),F1013)</f>
        <v>34</v>
      </c>
      <c r="F1013" s="8">
        <v>34</v>
      </c>
      <c r="G1013" s="3">
        <v>1</v>
      </c>
      <c r="H1013" s="6">
        <f>IF('Settings'!$B$11="Scenario",ROUND(E1013*G1013*IFERROR(SUMIF('Pricing &amp; promotions'!$A$6:$A$8,L1013,'Pricing &amp; promotions'!$B$6:$B$8)/100,0),2),J1013)</f>
        <v>0.0</v>
      </c>
      <c r="I1013" s="6">
        <f>ROUND((E1013*G1013-H1013)/(1+'Settings'!$B$6/100),2)</f>
        <v>28.1</v>
      </c>
      <c r="J1013" s="8">
        <v>0.0</v>
      </c>
      <c r="K1013" s="3" t="inlineStr">
        <is>
          <t xml:space="preserve">TRUE</t>
        </is>
      </c>
      <c r="L1013" s="3"/>
    </row>
    <row r="1014">
      <c r="A1014" s="3" t="inlineStr">
        <is>
          <t xml:space="preserve">#1745</t>
        </is>
      </c>
      <c r="B1014" s="3" t="inlineStr">
        <is>
          <t xml:space="preserve">2026-09-12</t>
        </is>
      </c>
      <c r="C1014" s="3" t="inlineStr">
        <is>
          <t xml:space="preserve">SKU-D</t>
        </is>
      </c>
      <c r="D1014" s="3" t="inlineStr">
        <is>
          <t xml:space="preserve">Daily Duo</t>
        </is>
      </c>
      <c r="E1014" s="6">
        <f>IF('Settings'!$B$11="Scenario",IFERROR(INDEX('Catalogue'!$E$3:$E$100,MATCH(C1014,'Catalogue'!$B$3:$B$100,0)),F1014),F1014)</f>
        <v>79</v>
      </c>
      <c r="F1014" s="8">
        <v>79</v>
      </c>
      <c r="G1014" s="3">
        <v>1</v>
      </c>
      <c r="H1014" s="6">
        <f>IF('Settings'!$B$11="Scenario",ROUND(E1014*G1014*IFERROR(SUMIF('Pricing &amp; promotions'!$A$6:$A$8,L1014,'Pricing &amp; promotions'!$B$6:$B$8)/100,0),2),J1014)</f>
        <v>0.0</v>
      </c>
      <c r="I1014" s="6">
        <f>ROUND((E1014*G1014-H1014)/(1+'Settings'!$B$6/100),2)</f>
        <v>65.29</v>
      </c>
      <c r="J1014" s="8">
        <v>0.0</v>
      </c>
      <c r="K1014" s="3" t="inlineStr">
        <is>
          <t xml:space="preserve">TRUE</t>
        </is>
      </c>
      <c r="L1014" s="3"/>
    </row>
    <row r="1015">
      <c r="A1015" s="3" t="inlineStr">
        <is>
          <t xml:space="preserve">#1745</t>
        </is>
      </c>
      <c r="B1015" s="3" t="inlineStr">
        <is>
          <t xml:space="preserve">2026-09-12</t>
        </is>
      </c>
      <c r="C1015" s="3" t="inlineStr">
        <is>
          <t xml:space="preserve">SKU-G</t>
        </is>
      </c>
      <c r="D1015" s="3" t="inlineStr">
        <is>
          <t xml:space="preserve">Daily Reset Set</t>
        </is>
      </c>
      <c r="E1015" s="6">
        <f>IF('Settings'!$B$11="Scenario",IFERROR(INDEX('Catalogue'!$E$3:$E$100,MATCH(C1015,'Catalogue'!$B$3:$B$100,0)),F1015),F1015)</f>
        <v>69</v>
      </c>
      <c r="F1015" s="8">
        <v>69</v>
      </c>
      <c r="G1015" s="3">
        <v>1</v>
      </c>
      <c r="H1015" s="6">
        <f>IF('Settings'!$B$11="Scenario",ROUND(E1015*G1015*IFERROR(SUMIF('Pricing &amp; promotions'!$A$6:$A$8,L1015,'Pricing &amp; promotions'!$B$6:$B$8)/100,0),2),J1015)</f>
        <v>0.0</v>
      </c>
      <c r="I1015" s="6">
        <f>ROUND((E1015*G1015-H1015)/(1+'Settings'!$B$6/100),2)</f>
        <v>57.02</v>
      </c>
      <c r="J1015" s="8">
        <v>0.0</v>
      </c>
      <c r="K1015" s="3" t="inlineStr">
        <is>
          <t xml:space="preserve">TRUE</t>
        </is>
      </c>
      <c r="L1015" s="3"/>
    </row>
    <row r="1016">
      <c r="A1016" s="3" t="inlineStr">
        <is>
          <t xml:space="preserve">#1746</t>
        </is>
      </c>
      <c r="B1016" s="3" t="inlineStr">
        <is>
          <t xml:space="preserve">2026-09-13</t>
        </is>
      </c>
      <c r="C1016" s="3" t="inlineStr">
        <is>
          <t xml:space="preserve">SKU-A</t>
        </is>
      </c>
      <c r="D1016" s="3" t="inlineStr">
        <is>
          <t xml:space="preserve">Renewal Serum</t>
        </is>
      </c>
      <c r="E1016" s="6">
        <f>IF('Settings'!$B$11="Scenario",IFERROR(INDEX('Catalogue'!$E$3:$E$100,MATCH(C1016,'Catalogue'!$B$3:$B$100,0)),F1016),F1016)</f>
        <v>69.9</v>
      </c>
      <c r="F1016" s="8">
        <v>69.9</v>
      </c>
      <c r="G1016" s="3">
        <v>1</v>
      </c>
      <c r="H1016" s="6">
        <f>IF('Settings'!$B$11="Scenario",ROUND(E1016*G1016*IFERROR(SUMIF('Pricing &amp; promotions'!$A$6:$A$8,L1016,'Pricing &amp; promotions'!$B$6:$B$8)/100,0),2),J1016)</f>
        <v>0.0</v>
      </c>
      <c r="I1016" s="6">
        <f>ROUND((E1016*G1016-H1016)/(1+'Settings'!$B$6/100),2)</f>
        <v>57.77</v>
      </c>
      <c r="J1016" s="8">
        <v>0.0</v>
      </c>
      <c r="K1016" s="3" t="inlineStr">
        <is>
          <t xml:space="preserve">TRUE</t>
        </is>
      </c>
      <c r="L1016" s="3"/>
    </row>
    <row r="1017">
      <c r="A1017" s="3" t="inlineStr">
        <is>
          <t xml:space="preserve">#1747</t>
        </is>
      </c>
      <c r="B1017" s="3" t="inlineStr">
        <is>
          <t xml:space="preserve">2026-09-13</t>
        </is>
      </c>
      <c r="C1017" s="3" t="inlineStr">
        <is>
          <t xml:space="preserve">SKU-E</t>
        </is>
      </c>
      <c r="D1017" s="3" t="inlineStr">
        <is>
          <t xml:space="preserve">Complete Ritual</t>
        </is>
      </c>
      <c r="E1017" s="6">
        <f>IF('Settings'!$B$11="Scenario",IFERROR(INDEX('Catalogue'!$E$3:$E$100,MATCH(C1017,'Catalogue'!$B$3:$B$100,0)),F1017),F1017)</f>
        <v>89</v>
      </c>
      <c r="F1017" s="8">
        <v>89</v>
      </c>
      <c r="G1017" s="3">
        <v>1</v>
      </c>
      <c r="H1017" s="6">
        <f>IF('Settings'!$B$11="Scenario",ROUND(E1017*G1017*IFERROR(SUMIF('Pricing &amp; promotions'!$A$6:$A$8,L1017,'Pricing &amp; promotions'!$B$6:$B$8)/100,0),2),J1017)</f>
        <v>13.35</v>
      </c>
      <c r="I1017" s="6">
        <f>ROUND((E1017*G1017-H1017)/(1+'Settings'!$B$6/100),2)</f>
        <v>62.52</v>
      </c>
      <c r="J1017" s="8">
        <v>13.35</v>
      </c>
      <c r="K1017" s="3" t="inlineStr">
        <is>
          <t xml:space="preserve">TRUE</t>
        </is>
      </c>
      <c r="L1017" s="3" t="inlineStr">
        <is>
          <t xml:space="preserve">SUMMER15</t>
        </is>
      </c>
    </row>
    <row r="1018">
      <c r="A1018" s="3" t="inlineStr">
        <is>
          <t xml:space="preserve">#1747</t>
        </is>
      </c>
      <c r="B1018" s="3" t="inlineStr">
        <is>
          <t xml:space="preserve">2026-09-13</t>
        </is>
      </c>
      <c r="C1018" s="3" t="inlineStr">
        <is>
          <t xml:space="preserve">SKU-A</t>
        </is>
      </c>
      <c r="D1018" s="3" t="inlineStr">
        <is>
          <t xml:space="preserve">Renewal Serum</t>
        </is>
      </c>
      <c r="E1018" s="6">
        <f>IF('Settings'!$B$11="Scenario",IFERROR(INDEX('Catalogue'!$E$3:$E$100,MATCH(C1018,'Catalogue'!$B$3:$B$100,0)),F1018),F1018)</f>
        <v>69.9</v>
      </c>
      <c r="F1018" s="8">
        <v>69.9</v>
      </c>
      <c r="G1018" s="3">
        <v>1</v>
      </c>
      <c r="H1018" s="6">
        <f>IF('Settings'!$B$11="Scenario",ROUND(E1018*G1018*IFERROR(SUMIF('Pricing &amp; promotions'!$A$6:$A$8,L1018,'Pricing &amp; promotions'!$B$6:$B$8)/100,0),2),J1018)</f>
        <v>10.49</v>
      </c>
      <c r="I1018" s="6">
        <f>ROUND((E1018*G1018-H1018)/(1+'Settings'!$B$6/100),2)</f>
        <v>49.1</v>
      </c>
      <c r="J1018" s="8">
        <v>10.49</v>
      </c>
      <c r="K1018" s="3" t="inlineStr">
        <is>
          <t xml:space="preserve">TRUE</t>
        </is>
      </c>
      <c r="L1018" s="3" t="inlineStr">
        <is>
          <t xml:space="preserve">SUMMER15</t>
        </is>
      </c>
    </row>
    <row r="1019">
      <c r="A1019" s="3" t="inlineStr">
        <is>
          <t xml:space="preserve">#1748</t>
        </is>
      </c>
      <c r="B1019" s="3" t="inlineStr">
        <is>
          <t xml:space="preserve">2026-09-16</t>
        </is>
      </c>
      <c r="C1019" s="3" t="inlineStr">
        <is>
          <t xml:space="preserve">SKU-A</t>
        </is>
      </c>
      <c r="D1019" s="3" t="inlineStr">
        <is>
          <t xml:space="preserve">Renewal Serum</t>
        </is>
      </c>
      <c r="E1019" s="6">
        <f>IF('Settings'!$B$11="Scenario",IFERROR(INDEX('Catalogue'!$E$3:$E$100,MATCH(C1019,'Catalogue'!$B$3:$B$100,0)),F1019),F1019)</f>
        <v>69.9</v>
      </c>
      <c r="F1019" s="8">
        <v>69.9</v>
      </c>
      <c r="G1019" s="3">
        <v>1</v>
      </c>
      <c r="H1019" s="6">
        <f>IF('Settings'!$B$11="Scenario",ROUND(E1019*G1019*IFERROR(SUMIF('Pricing &amp; promotions'!$A$6:$A$8,L1019,'Pricing &amp; promotions'!$B$6:$B$8)/100,0),2),J1019)</f>
        <v>10.49</v>
      </c>
      <c r="I1019" s="6">
        <f>ROUND((E1019*G1019-H1019)/(1+'Settings'!$B$6/100),2)</f>
        <v>49.1</v>
      </c>
      <c r="J1019" s="8">
        <v>10.49</v>
      </c>
      <c r="K1019" s="3" t="inlineStr">
        <is>
          <t xml:space="preserve">TRUE</t>
        </is>
      </c>
      <c r="L1019" s="3" t="inlineStr">
        <is>
          <t xml:space="preserve">SUMMER15</t>
        </is>
      </c>
    </row>
    <row r="1020">
      <c r="A1020" s="3" t="inlineStr">
        <is>
          <t xml:space="preserve">#1749</t>
        </is>
      </c>
      <c r="B1020" s="3" t="inlineStr">
        <is>
          <t xml:space="preserve">2026-09-16</t>
        </is>
      </c>
      <c r="C1020" s="3" t="inlineStr">
        <is>
          <t xml:space="preserve">SKU-G</t>
        </is>
      </c>
      <c r="D1020" s="3" t="inlineStr">
        <is>
          <t xml:space="preserve">Daily Reset Set</t>
        </is>
      </c>
      <c r="E1020" s="6">
        <f>IF('Settings'!$B$11="Scenario",IFERROR(INDEX('Catalogue'!$E$3:$E$100,MATCH(C1020,'Catalogue'!$B$3:$B$100,0)),F1020),F1020)</f>
        <v>69</v>
      </c>
      <c r="F1020" s="8">
        <v>69</v>
      </c>
      <c r="G1020" s="3">
        <v>2</v>
      </c>
      <c r="H1020" s="6">
        <f>IF('Settings'!$B$11="Scenario",ROUND(E1020*G1020*IFERROR(SUMIF('Pricing &amp; promotions'!$A$6:$A$8,L1020,'Pricing &amp; promotions'!$B$6:$B$8)/100,0),2),J1020)</f>
        <v>13.8</v>
      </c>
      <c r="I1020" s="6">
        <f>ROUND((E1020*G1020-H1020)/(1+'Settings'!$B$6/100),2)</f>
        <v>102.64</v>
      </c>
      <c r="J1020" s="8">
        <v>13.8</v>
      </c>
      <c r="K1020" s="3" t="inlineStr">
        <is>
          <t xml:space="preserve">TRUE</t>
        </is>
      </c>
      <c r="L1020" s="3" t="inlineStr">
        <is>
          <t xml:space="preserve">WELCOME10</t>
        </is>
      </c>
    </row>
    <row r="1021">
      <c r="A1021" s="3" t="inlineStr">
        <is>
          <t xml:space="preserve">#1749</t>
        </is>
      </c>
      <c r="B1021" s="3" t="inlineStr">
        <is>
          <t xml:space="preserve">2026-09-16</t>
        </is>
      </c>
      <c r="C1021" s="3" t="inlineStr">
        <is>
          <t xml:space="preserve">SKU-A</t>
        </is>
      </c>
      <c r="D1021" s="3" t="inlineStr">
        <is>
          <t xml:space="preserve">Renewal Serum</t>
        </is>
      </c>
      <c r="E1021" s="6">
        <f>IF('Settings'!$B$11="Scenario",IFERROR(INDEX('Catalogue'!$E$3:$E$100,MATCH(C1021,'Catalogue'!$B$3:$B$100,0)),F1021),F1021)</f>
        <v>69.9</v>
      </c>
      <c r="F1021" s="8">
        <v>69.9</v>
      </c>
      <c r="G1021" s="3">
        <v>1</v>
      </c>
      <c r="H1021" s="6">
        <f>IF('Settings'!$B$11="Scenario",ROUND(E1021*G1021*IFERROR(SUMIF('Pricing &amp; promotions'!$A$6:$A$8,L1021,'Pricing &amp; promotions'!$B$6:$B$8)/100,0),2),J1021)</f>
        <v>6.99</v>
      </c>
      <c r="I1021" s="6">
        <f>ROUND((E1021*G1021-H1021)/(1+'Settings'!$B$6/100),2)</f>
        <v>51.99</v>
      </c>
      <c r="J1021" s="8">
        <v>6.99</v>
      </c>
      <c r="K1021" s="3" t="inlineStr">
        <is>
          <t xml:space="preserve">TRUE</t>
        </is>
      </c>
      <c r="L1021" s="3" t="inlineStr">
        <is>
          <t xml:space="preserve">WELCOME10</t>
        </is>
      </c>
    </row>
    <row r="1022">
      <c r="A1022" s="3" t="inlineStr">
        <is>
          <t xml:space="preserve">#1750</t>
        </is>
      </c>
      <c r="B1022" s="3" t="inlineStr">
        <is>
          <t xml:space="preserve">2026-09-16</t>
        </is>
      </c>
      <c r="C1022" s="3" t="inlineStr">
        <is>
          <t xml:space="preserve">SKU-G</t>
        </is>
      </c>
      <c r="D1022" s="3" t="inlineStr">
        <is>
          <t xml:space="preserve">Daily Reset Set</t>
        </is>
      </c>
      <c r="E1022" s="6">
        <f>IF('Settings'!$B$11="Scenario",IFERROR(INDEX('Catalogue'!$E$3:$E$100,MATCH(C1022,'Catalogue'!$B$3:$B$100,0)),F1022),F1022)</f>
        <v>69</v>
      </c>
      <c r="F1022" s="8">
        <v>69</v>
      </c>
      <c r="G1022" s="3">
        <v>1</v>
      </c>
      <c r="H1022" s="6">
        <f>IF('Settings'!$B$11="Scenario",ROUND(E1022*G1022*IFERROR(SUMIF('Pricing &amp; promotions'!$A$6:$A$8,L1022,'Pricing &amp; promotions'!$B$6:$B$8)/100,0),2),J1022)</f>
        <v>0.0</v>
      </c>
      <c r="I1022" s="6">
        <f>ROUND((E1022*G1022-H1022)/(1+'Settings'!$B$6/100),2)</f>
        <v>57.02</v>
      </c>
      <c r="J1022" s="8">
        <v>0.0</v>
      </c>
      <c r="K1022" s="3" t="inlineStr">
        <is>
          <t xml:space="preserve">TRUE</t>
        </is>
      </c>
      <c r="L1022" s="3"/>
    </row>
    <row r="1023">
      <c r="A1023" s="3" t="inlineStr">
        <is>
          <t xml:space="preserve">#1751</t>
        </is>
      </c>
      <c r="B1023" s="3" t="inlineStr">
        <is>
          <t xml:space="preserve">2026-09-16</t>
        </is>
      </c>
      <c r="C1023" s="3" t="inlineStr">
        <is>
          <t xml:space="preserve">SKU-B</t>
        </is>
      </c>
      <c r="D1023" s="3" t="inlineStr">
        <is>
          <t xml:space="preserve">Barrier Balm</t>
        </is>
      </c>
      <c r="E1023" s="6">
        <f>IF('Settings'!$B$11="Scenario",IFERROR(INDEX('Catalogue'!$E$3:$E$100,MATCH(C1023,'Catalogue'!$B$3:$B$100,0)),F1023),F1023)</f>
        <v>19</v>
      </c>
      <c r="F1023" s="8">
        <v>19</v>
      </c>
      <c r="G1023" s="3">
        <v>2</v>
      </c>
      <c r="H1023" s="6">
        <f>IF('Settings'!$B$11="Scenario",ROUND(E1023*G1023*IFERROR(SUMIF('Pricing &amp; promotions'!$A$6:$A$8,L1023,'Pricing &amp; promotions'!$B$6:$B$8)/100,0),2),J1023)</f>
        <v>0.0</v>
      </c>
      <c r="I1023" s="6">
        <f>ROUND((E1023*G1023-H1023)/(1+'Settings'!$B$6/100),2)</f>
        <v>31.4</v>
      </c>
      <c r="J1023" s="8">
        <v>0.0</v>
      </c>
      <c r="K1023" s="3" t="inlineStr">
        <is>
          <t xml:space="preserve">TRUE</t>
        </is>
      </c>
      <c r="L1023" s="3"/>
    </row>
    <row r="1024">
      <c r="A1024" s="3" t="inlineStr">
        <is>
          <t xml:space="preserve">#1752</t>
        </is>
      </c>
      <c r="B1024" s="3" t="inlineStr">
        <is>
          <t xml:space="preserve">2026-09-16</t>
        </is>
      </c>
      <c r="C1024" s="3" t="inlineStr">
        <is>
          <t xml:space="preserve">SKU-A</t>
        </is>
      </c>
      <c r="D1024" s="3" t="inlineStr">
        <is>
          <t xml:space="preserve">Renewal Serum</t>
        </is>
      </c>
      <c r="E1024" s="6">
        <f>IF('Settings'!$B$11="Scenario",IFERROR(INDEX('Catalogue'!$E$3:$E$100,MATCH(C1024,'Catalogue'!$B$3:$B$100,0)),F1024),F1024)</f>
        <v>69.9</v>
      </c>
      <c r="F1024" s="8">
        <v>69.9</v>
      </c>
      <c r="G1024" s="3">
        <v>1</v>
      </c>
      <c r="H1024" s="6">
        <f>IF('Settings'!$B$11="Scenario",ROUND(E1024*G1024*IFERROR(SUMIF('Pricing &amp; promotions'!$A$6:$A$8,L1024,'Pricing &amp; promotions'!$B$6:$B$8)/100,0),2),J1024)</f>
        <v>0.0</v>
      </c>
      <c r="I1024" s="6">
        <f>ROUND((E1024*G1024-H1024)/(1+'Settings'!$B$6/100),2)</f>
        <v>57.77</v>
      </c>
      <c r="J1024" s="8">
        <v>0.0</v>
      </c>
      <c r="K1024" s="3" t="inlineStr">
        <is>
          <t xml:space="preserve">TRUE</t>
        </is>
      </c>
      <c r="L1024" s="3"/>
    </row>
    <row r="1025">
      <c r="A1025" s="3" t="inlineStr">
        <is>
          <t xml:space="preserve">#1753</t>
        </is>
      </c>
      <c r="B1025" s="3" t="inlineStr">
        <is>
          <t xml:space="preserve">2026-09-17</t>
        </is>
      </c>
      <c r="C1025" s="3" t="inlineStr">
        <is>
          <t xml:space="preserve">SKU-F</t>
        </is>
      </c>
      <c r="D1025" s="3" t="inlineStr">
        <is>
          <t xml:space="preserve">Cloud Cleanser</t>
        </is>
      </c>
      <c r="E1025" s="6">
        <f>IF('Settings'!$B$11="Scenario",IFERROR(INDEX('Catalogue'!$E$3:$E$100,MATCH(C1025,'Catalogue'!$B$3:$B$100,0)),F1025),F1025)</f>
        <v>34</v>
      </c>
      <c r="F1025" s="8">
        <v>34</v>
      </c>
      <c r="G1025" s="3">
        <v>1</v>
      </c>
      <c r="H1025" s="6">
        <f>IF('Settings'!$B$11="Scenario",ROUND(E1025*G1025*IFERROR(SUMIF('Pricing &amp; promotions'!$A$6:$A$8,L1025,'Pricing &amp; promotions'!$B$6:$B$8)/100,0),2),J1025)</f>
        <v>0.0</v>
      </c>
      <c r="I1025" s="6">
        <f>ROUND((E1025*G1025-H1025)/(1+'Settings'!$B$6/100),2)</f>
        <v>28.1</v>
      </c>
      <c r="J1025" s="8">
        <v>0.0</v>
      </c>
      <c r="K1025" s="3" t="inlineStr">
        <is>
          <t xml:space="preserve">TRUE</t>
        </is>
      </c>
      <c r="L1025" s="3"/>
    </row>
    <row r="1026">
      <c r="A1026" s="3" t="inlineStr">
        <is>
          <t xml:space="preserve">#1754</t>
        </is>
      </c>
      <c r="B1026" s="3" t="inlineStr">
        <is>
          <t xml:space="preserve">2026-09-17</t>
        </is>
      </c>
      <c r="C1026" s="3" t="inlineStr">
        <is>
          <t xml:space="preserve">SKU-G</t>
        </is>
      </c>
      <c r="D1026" s="3" t="inlineStr">
        <is>
          <t xml:space="preserve">Daily Reset Set</t>
        </is>
      </c>
      <c r="E1026" s="6">
        <f>IF('Settings'!$B$11="Scenario",IFERROR(INDEX('Catalogue'!$E$3:$E$100,MATCH(C1026,'Catalogue'!$B$3:$B$100,0)),F1026),F1026)</f>
        <v>69</v>
      </c>
      <c r="F1026" s="8">
        <v>69</v>
      </c>
      <c r="G1026" s="3">
        <v>2</v>
      </c>
      <c r="H1026" s="6">
        <f>IF('Settings'!$B$11="Scenario",ROUND(E1026*G1026*IFERROR(SUMIF('Pricing &amp; promotions'!$A$6:$A$8,L1026,'Pricing &amp; promotions'!$B$6:$B$8)/100,0),2),J1026)</f>
        <v>0.0</v>
      </c>
      <c r="I1026" s="6">
        <f>ROUND((E1026*G1026-H1026)/(1+'Settings'!$B$6/100),2)</f>
        <v>114.05</v>
      </c>
      <c r="J1026" s="8">
        <v>0.0</v>
      </c>
      <c r="K1026" s="3" t="inlineStr">
        <is>
          <t xml:space="preserve">TRUE</t>
        </is>
      </c>
      <c r="L1026" s="3"/>
    </row>
    <row r="1027">
      <c r="A1027" s="3" t="inlineStr">
        <is>
          <t xml:space="preserve">#1755</t>
        </is>
      </c>
      <c r="B1027" s="3" t="inlineStr">
        <is>
          <t xml:space="preserve">2026-09-17</t>
        </is>
      </c>
      <c r="C1027" s="3" t="inlineStr">
        <is>
          <t xml:space="preserve">SKU-B</t>
        </is>
      </c>
      <c r="D1027" s="3" t="inlineStr">
        <is>
          <t xml:space="preserve">Barrier Balm</t>
        </is>
      </c>
      <c r="E1027" s="6">
        <f>IF('Settings'!$B$11="Scenario",IFERROR(INDEX('Catalogue'!$E$3:$E$100,MATCH(C1027,'Catalogue'!$B$3:$B$100,0)),F1027),F1027)</f>
        <v>19</v>
      </c>
      <c r="F1027" s="8">
        <v>19</v>
      </c>
      <c r="G1027" s="3">
        <v>1</v>
      </c>
      <c r="H1027" s="6">
        <f>IF('Settings'!$B$11="Scenario",ROUND(E1027*G1027*IFERROR(SUMIF('Pricing &amp; promotions'!$A$6:$A$8,L1027,'Pricing &amp; promotions'!$B$6:$B$8)/100,0),2),J1027)</f>
        <v>0.0</v>
      </c>
      <c r="I1027" s="6">
        <f>ROUND((E1027*G1027-H1027)/(1+'Settings'!$B$6/100),2)</f>
        <v>15.7</v>
      </c>
      <c r="J1027" s="8">
        <v>0.0</v>
      </c>
      <c r="K1027" s="3" t="inlineStr">
        <is>
          <t xml:space="preserve">TRUE</t>
        </is>
      </c>
      <c r="L1027" s="3"/>
    </row>
    <row r="1028">
      <c r="A1028" s="3" t="inlineStr">
        <is>
          <t xml:space="preserve">#1756</t>
        </is>
      </c>
      <c r="B1028" s="3" t="inlineStr">
        <is>
          <t xml:space="preserve">2026-09-17</t>
        </is>
      </c>
      <c r="C1028" s="3" t="inlineStr">
        <is>
          <t xml:space="preserve">SKU-E</t>
        </is>
      </c>
      <c r="D1028" s="3" t="inlineStr">
        <is>
          <t xml:space="preserve">Complete Ritual</t>
        </is>
      </c>
      <c r="E1028" s="6">
        <f>IF('Settings'!$B$11="Scenario",IFERROR(INDEX('Catalogue'!$E$3:$E$100,MATCH(C1028,'Catalogue'!$B$3:$B$100,0)),F1028),F1028)</f>
        <v>89</v>
      </c>
      <c r="F1028" s="8">
        <v>89</v>
      </c>
      <c r="G1028" s="3">
        <v>2</v>
      </c>
      <c r="H1028" s="6">
        <f>IF('Settings'!$B$11="Scenario",ROUND(E1028*G1028*IFERROR(SUMIF('Pricing &amp; promotions'!$A$6:$A$8,L1028,'Pricing &amp; promotions'!$B$6:$B$8)/100,0),2),J1028)</f>
        <v>0.0</v>
      </c>
      <c r="I1028" s="6">
        <f>ROUND((E1028*G1028-H1028)/(1+'Settings'!$B$6/100),2)</f>
        <v>147.11</v>
      </c>
      <c r="J1028" s="8">
        <v>0.0</v>
      </c>
      <c r="K1028" s="3" t="inlineStr">
        <is>
          <t xml:space="preserve">TRUE</t>
        </is>
      </c>
      <c r="L1028" s="3"/>
    </row>
    <row r="1029">
      <c r="A1029" s="3" t="inlineStr">
        <is>
          <t xml:space="preserve">#1757</t>
        </is>
      </c>
      <c r="B1029" s="3" t="inlineStr">
        <is>
          <t xml:space="preserve">2026-09-18</t>
        </is>
      </c>
      <c r="C1029" s="3" t="inlineStr">
        <is>
          <t xml:space="preserve">SKU-G</t>
        </is>
      </c>
      <c r="D1029" s="3" t="inlineStr">
        <is>
          <t xml:space="preserve">Daily Reset Set</t>
        </is>
      </c>
      <c r="E1029" s="6">
        <f>IF('Settings'!$B$11="Scenario",IFERROR(INDEX('Catalogue'!$E$3:$E$100,MATCH(C1029,'Catalogue'!$B$3:$B$100,0)),F1029),F1029)</f>
        <v>69</v>
      </c>
      <c r="F1029" s="8">
        <v>69</v>
      </c>
      <c r="G1029" s="3">
        <v>1</v>
      </c>
      <c r="H1029" s="6">
        <f>IF('Settings'!$B$11="Scenario",ROUND(E1029*G1029*IFERROR(SUMIF('Pricing &amp; promotions'!$A$6:$A$8,L1029,'Pricing &amp; promotions'!$B$6:$B$8)/100,0),2),J1029)</f>
        <v>0.0</v>
      </c>
      <c r="I1029" s="6">
        <f>ROUND((E1029*G1029-H1029)/(1+'Settings'!$B$6/100),2)</f>
        <v>57.02</v>
      </c>
      <c r="J1029" s="8">
        <v>0.0</v>
      </c>
      <c r="K1029" s="3" t="inlineStr">
        <is>
          <t xml:space="preserve">TRUE</t>
        </is>
      </c>
      <c r="L1029" s="3"/>
    </row>
    <row r="1030">
      <c r="A1030" s="3" t="inlineStr">
        <is>
          <t xml:space="preserve">#1758</t>
        </is>
      </c>
      <c r="B1030" s="3" t="inlineStr">
        <is>
          <t xml:space="preserve">2026-09-19</t>
        </is>
      </c>
      <c r="C1030" s="3" t="inlineStr">
        <is>
          <t xml:space="preserve">SKU-A</t>
        </is>
      </c>
      <c r="D1030" s="3" t="inlineStr">
        <is>
          <t xml:space="preserve">Renewal Serum</t>
        </is>
      </c>
      <c r="E1030" s="6">
        <f>IF('Settings'!$B$11="Scenario",IFERROR(INDEX('Catalogue'!$E$3:$E$100,MATCH(C1030,'Catalogue'!$B$3:$B$100,0)),F1030),F1030)</f>
        <v>69.9</v>
      </c>
      <c r="F1030" s="8">
        <v>69.9</v>
      </c>
      <c r="G1030" s="3">
        <v>1</v>
      </c>
      <c r="H1030" s="6">
        <f>IF('Settings'!$B$11="Scenario",ROUND(E1030*G1030*IFERROR(SUMIF('Pricing &amp; promotions'!$A$6:$A$8,L1030,'Pricing &amp; promotions'!$B$6:$B$8)/100,0),2),J1030)</f>
        <v>10.49</v>
      </c>
      <c r="I1030" s="6">
        <f>ROUND((E1030*G1030-H1030)/(1+'Settings'!$B$6/100),2)</f>
        <v>49.1</v>
      </c>
      <c r="J1030" s="8">
        <v>10.49</v>
      </c>
      <c r="K1030" s="3" t="inlineStr">
        <is>
          <t xml:space="preserve">TRUE</t>
        </is>
      </c>
      <c r="L1030" s="3" t="inlineStr">
        <is>
          <t xml:space="preserve">SUMMER15</t>
        </is>
      </c>
    </row>
    <row r="1031">
      <c r="A1031" s="3" t="inlineStr">
        <is>
          <t xml:space="preserve">#1759</t>
        </is>
      </c>
      <c r="B1031" s="3" t="inlineStr">
        <is>
          <t xml:space="preserve">2026-09-19</t>
        </is>
      </c>
      <c r="C1031" s="3" t="inlineStr">
        <is>
          <t xml:space="preserve">SKU-A</t>
        </is>
      </c>
      <c r="D1031" s="3" t="inlineStr">
        <is>
          <t xml:space="preserve">Renewal Serum</t>
        </is>
      </c>
      <c r="E1031" s="6">
        <f>IF('Settings'!$B$11="Scenario",IFERROR(INDEX('Catalogue'!$E$3:$E$100,MATCH(C1031,'Catalogue'!$B$3:$B$100,0)),F1031),F1031)</f>
        <v>69.9</v>
      </c>
      <c r="F1031" s="8">
        <v>69.9</v>
      </c>
      <c r="G1031" s="3">
        <v>1</v>
      </c>
      <c r="H1031" s="6">
        <f>IF('Settings'!$B$11="Scenario",ROUND(E1031*G1031*IFERROR(SUMIF('Pricing &amp; promotions'!$A$6:$A$8,L1031,'Pricing &amp; promotions'!$B$6:$B$8)/100,0),2),J1031)</f>
        <v>0.0</v>
      </c>
      <c r="I1031" s="6">
        <f>ROUND((E1031*G1031-H1031)/(1+'Settings'!$B$6/100),2)</f>
        <v>57.77</v>
      </c>
      <c r="J1031" s="8">
        <v>0.0</v>
      </c>
      <c r="K1031" s="3" t="inlineStr">
        <is>
          <t xml:space="preserve">TRUE</t>
        </is>
      </c>
      <c r="L1031" s="3"/>
    </row>
    <row r="1032">
      <c r="A1032" s="3" t="inlineStr">
        <is>
          <t xml:space="preserve">#1760</t>
        </is>
      </c>
      <c r="B1032" s="3" t="inlineStr">
        <is>
          <t xml:space="preserve">2026-09-20</t>
        </is>
      </c>
      <c r="C1032" s="3" t="inlineStr">
        <is>
          <t xml:space="preserve">SKU-A</t>
        </is>
      </c>
      <c r="D1032" s="3" t="inlineStr">
        <is>
          <t xml:space="preserve">Renewal Serum</t>
        </is>
      </c>
      <c r="E1032" s="6">
        <f>IF('Settings'!$B$11="Scenario",IFERROR(INDEX('Catalogue'!$E$3:$E$100,MATCH(C1032,'Catalogue'!$B$3:$B$100,0)),F1032),F1032)</f>
        <v>69.9</v>
      </c>
      <c r="F1032" s="8">
        <v>69.9</v>
      </c>
      <c r="G1032" s="3">
        <v>1</v>
      </c>
      <c r="H1032" s="6">
        <f>IF('Settings'!$B$11="Scenario",ROUND(E1032*G1032*IFERROR(SUMIF('Pricing &amp; promotions'!$A$6:$A$8,L1032,'Pricing &amp; promotions'!$B$6:$B$8)/100,0),2),J1032)</f>
        <v>10.49</v>
      </c>
      <c r="I1032" s="6">
        <f>ROUND((E1032*G1032-H1032)/(1+'Settings'!$B$6/100),2)</f>
        <v>49.1</v>
      </c>
      <c r="J1032" s="8">
        <v>10.49</v>
      </c>
      <c r="K1032" s="3" t="inlineStr">
        <is>
          <t xml:space="preserve">TRUE</t>
        </is>
      </c>
      <c r="L1032" s="3" t="inlineStr">
        <is>
          <t xml:space="preserve">SUMMER15</t>
        </is>
      </c>
    </row>
    <row r="1033">
      <c r="A1033" s="3" t="inlineStr">
        <is>
          <t xml:space="preserve">#1760</t>
        </is>
      </c>
      <c r="B1033" s="3" t="inlineStr">
        <is>
          <t xml:space="preserve">2026-09-20</t>
        </is>
      </c>
      <c r="C1033" s="3" t="inlineStr">
        <is>
          <t xml:space="preserve">SKU-D</t>
        </is>
      </c>
      <c r="D1033" s="3" t="inlineStr">
        <is>
          <t xml:space="preserve">Daily Duo</t>
        </is>
      </c>
      <c r="E1033" s="6">
        <f>IF('Settings'!$B$11="Scenario",IFERROR(INDEX('Catalogue'!$E$3:$E$100,MATCH(C1033,'Catalogue'!$B$3:$B$100,0)),F1033),F1033)</f>
        <v>79</v>
      </c>
      <c r="F1033" s="8">
        <v>79</v>
      </c>
      <c r="G1033" s="3">
        <v>1</v>
      </c>
      <c r="H1033" s="6">
        <f>IF('Settings'!$B$11="Scenario",ROUND(E1033*G1033*IFERROR(SUMIF('Pricing &amp; promotions'!$A$6:$A$8,L1033,'Pricing &amp; promotions'!$B$6:$B$8)/100,0),2),J1033)</f>
        <v>11.85</v>
      </c>
      <c r="I1033" s="6">
        <f>ROUND((E1033*G1033-H1033)/(1+'Settings'!$B$6/100),2)</f>
        <v>55.5</v>
      </c>
      <c r="J1033" s="8">
        <v>11.85</v>
      </c>
      <c r="K1033" s="3" t="inlineStr">
        <is>
          <t xml:space="preserve">TRUE</t>
        </is>
      </c>
      <c r="L1033" s="3" t="inlineStr">
        <is>
          <t xml:space="preserve">SUMMER15</t>
        </is>
      </c>
    </row>
    <row r="1034">
      <c r="A1034" s="3" t="inlineStr">
        <is>
          <t xml:space="preserve">#1761</t>
        </is>
      </c>
      <c r="B1034" s="3" t="inlineStr">
        <is>
          <t xml:space="preserve">2026-09-21</t>
        </is>
      </c>
      <c r="C1034" s="3" t="inlineStr">
        <is>
          <t xml:space="preserve">SKU-E</t>
        </is>
      </c>
      <c r="D1034" s="3" t="inlineStr">
        <is>
          <t xml:space="preserve">Complete Ritual</t>
        </is>
      </c>
      <c r="E1034" s="6">
        <f>IF('Settings'!$B$11="Scenario",IFERROR(INDEX('Catalogue'!$E$3:$E$100,MATCH(C1034,'Catalogue'!$B$3:$B$100,0)),F1034),F1034)</f>
        <v>89</v>
      </c>
      <c r="F1034" s="8">
        <v>89</v>
      </c>
      <c r="G1034" s="3">
        <v>1</v>
      </c>
      <c r="H1034" s="6">
        <f>IF('Settings'!$B$11="Scenario",ROUND(E1034*G1034*IFERROR(SUMIF('Pricing &amp; promotions'!$A$6:$A$8,L1034,'Pricing &amp; promotions'!$B$6:$B$8)/100,0),2),J1034)</f>
        <v>0.0</v>
      </c>
      <c r="I1034" s="6">
        <f>ROUND((E1034*G1034-H1034)/(1+'Settings'!$B$6/100),2)</f>
        <v>73.55</v>
      </c>
      <c r="J1034" s="8">
        <v>0.0</v>
      </c>
      <c r="K1034" s="3" t="inlineStr">
        <is>
          <t xml:space="preserve">TRUE</t>
        </is>
      </c>
      <c r="L1034" s="3"/>
    </row>
    <row r="1035">
      <c r="A1035" s="3" t="inlineStr">
        <is>
          <t xml:space="preserve">#1762</t>
        </is>
      </c>
      <c r="B1035" s="3" t="inlineStr">
        <is>
          <t xml:space="preserve">2026-09-21</t>
        </is>
      </c>
      <c r="C1035" s="3" t="inlineStr">
        <is>
          <t xml:space="preserve">SKU-E</t>
        </is>
      </c>
      <c r="D1035" s="3" t="inlineStr">
        <is>
          <t xml:space="preserve">Complete Ritual</t>
        </is>
      </c>
      <c r="E1035" s="6">
        <f>IF('Settings'!$B$11="Scenario",IFERROR(INDEX('Catalogue'!$E$3:$E$100,MATCH(C1035,'Catalogue'!$B$3:$B$100,0)),F1035),F1035)</f>
        <v>89</v>
      </c>
      <c r="F1035" s="8">
        <v>89</v>
      </c>
      <c r="G1035" s="3">
        <v>1</v>
      </c>
      <c r="H1035" s="6">
        <f>IF('Settings'!$B$11="Scenario",ROUND(E1035*G1035*IFERROR(SUMIF('Pricing &amp; promotions'!$A$6:$A$8,L1035,'Pricing &amp; promotions'!$B$6:$B$8)/100,0),2),J1035)</f>
        <v>0.0</v>
      </c>
      <c r="I1035" s="6">
        <f>ROUND((E1035*G1035-H1035)/(1+'Settings'!$B$6/100),2)</f>
        <v>73.55</v>
      </c>
      <c r="J1035" s="8">
        <v>0.0</v>
      </c>
      <c r="K1035" s="3" t="inlineStr">
        <is>
          <t xml:space="preserve">TRUE</t>
        </is>
      </c>
      <c r="L1035" s="3"/>
    </row>
    <row r="1036">
      <c r="A1036" s="3" t="inlineStr">
        <is>
          <t xml:space="preserve">#1763</t>
        </is>
      </c>
      <c r="B1036" s="3" t="inlineStr">
        <is>
          <t xml:space="preserve">2026-09-22</t>
        </is>
      </c>
      <c r="C1036" s="3" t="inlineStr">
        <is>
          <t xml:space="preserve">SKU-A</t>
        </is>
      </c>
      <c r="D1036" s="3" t="inlineStr">
        <is>
          <t xml:space="preserve">Renewal Serum</t>
        </is>
      </c>
      <c r="E1036" s="6">
        <f>IF('Settings'!$B$11="Scenario",IFERROR(INDEX('Catalogue'!$E$3:$E$100,MATCH(C1036,'Catalogue'!$B$3:$B$100,0)),F1036),F1036)</f>
        <v>69.9</v>
      </c>
      <c r="F1036" s="8">
        <v>69.9</v>
      </c>
      <c r="G1036" s="3">
        <v>1</v>
      </c>
      <c r="H1036" s="6">
        <f>IF('Settings'!$B$11="Scenario",ROUND(E1036*G1036*IFERROR(SUMIF('Pricing &amp; promotions'!$A$6:$A$8,L1036,'Pricing &amp; promotions'!$B$6:$B$8)/100,0),2),J1036)</f>
        <v>0.0</v>
      </c>
      <c r="I1036" s="6">
        <f>ROUND((E1036*G1036-H1036)/(1+'Settings'!$B$6/100),2)</f>
        <v>57.77</v>
      </c>
      <c r="J1036" s="8">
        <v>0.0</v>
      </c>
      <c r="K1036" s="3" t="inlineStr">
        <is>
          <t xml:space="preserve">TRUE</t>
        </is>
      </c>
      <c r="L1036" s="3"/>
    </row>
    <row r="1037">
      <c r="A1037" s="3" t="inlineStr">
        <is>
          <t xml:space="preserve">#1764</t>
        </is>
      </c>
      <c r="B1037" s="3" t="inlineStr">
        <is>
          <t xml:space="preserve">2026-09-22</t>
        </is>
      </c>
      <c r="C1037" s="3" t="inlineStr">
        <is>
          <t xml:space="preserve">SKU-E</t>
        </is>
      </c>
      <c r="D1037" s="3" t="inlineStr">
        <is>
          <t xml:space="preserve">Complete Ritual</t>
        </is>
      </c>
      <c r="E1037" s="6">
        <f>IF('Settings'!$B$11="Scenario",IFERROR(INDEX('Catalogue'!$E$3:$E$100,MATCH(C1037,'Catalogue'!$B$3:$B$100,0)),F1037),F1037)</f>
        <v>89</v>
      </c>
      <c r="F1037" s="8">
        <v>89</v>
      </c>
      <c r="G1037" s="3">
        <v>1</v>
      </c>
      <c r="H1037" s="6">
        <f>IF('Settings'!$B$11="Scenario",ROUND(E1037*G1037*IFERROR(SUMIF('Pricing &amp; promotions'!$A$6:$A$8,L1037,'Pricing &amp; promotions'!$B$6:$B$8)/100,0),2),J1037)</f>
        <v>13.35</v>
      </c>
      <c r="I1037" s="6">
        <f>ROUND((E1037*G1037-H1037)/(1+'Settings'!$B$6/100),2)</f>
        <v>62.52</v>
      </c>
      <c r="J1037" s="8">
        <v>13.35</v>
      </c>
      <c r="K1037" s="3" t="inlineStr">
        <is>
          <t xml:space="preserve">TRUE</t>
        </is>
      </c>
      <c r="L1037" s="3" t="inlineStr">
        <is>
          <t xml:space="preserve">SUMMER15</t>
        </is>
      </c>
    </row>
    <row r="1038">
      <c r="A1038" s="3" t="inlineStr">
        <is>
          <t xml:space="preserve">#1765</t>
        </is>
      </c>
      <c r="B1038" s="3" t="inlineStr">
        <is>
          <t xml:space="preserve">2026-09-22</t>
        </is>
      </c>
      <c r="C1038" s="3" t="inlineStr">
        <is>
          <t xml:space="preserve">SKU-E</t>
        </is>
      </c>
      <c r="D1038" s="3" t="inlineStr">
        <is>
          <t xml:space="preserve">Complete Ritual</t>
        </is>
      </c>
      <c r="E1038" s="6">
        <f>IF('Settings'!$B$11="Scenario",IFERROR(INDEX('Catalogue'!$E$3:$E$100,MATCH(C1038,'Catalogue'!$B$3:$B$100,0)),F1038),F1038)</f>
        <v>89</v>
      </c>
      <c r="F1038" s="8">
        <v>89</v>
      </c>
      <c r="G1038" s="3">
        <v>1</v>
      </c>
      <c r="H1038" s="6">
        <f>IF('Settings'!$B$11="Scenario",ROUND(E1038*G1038*IFERROR(SUMIF('Pricing &amp; promotions'!$A$6:$A$8,L1038,'Pricing &amp; promotions'!$B$6:$B$8)/100,0),2),J1038)</f>
        <v>0.0</v>
      </c>
      <c r="I1038" s="6">
        <f>ROUND((E1038*G1038-H1038)/(1+'Settings'!$B$6/100),2)</f>
        <v>73.55</v>
      </c>
      <c r="J1038" s="8">
        <v>0.0</v>
      </c>
      <c r="K1038" s="3" t="inlineStr">
        <is>
          <t xml:space="preserve">TRUE</t>
        </is>
      </c>
      <c r="L1038" s="3"/>
    </row>
    <row r="1039">
      <c r="A1039" s="3" t="inlineStr">
        <is>
          <t xml:space="preserve">#1765</t>
        </is>
      </c>
      <c r="B1039" s="3" t="inlineStr">
        <is>
          <t xml:space="preserve">2026-09-22</t>
        </is>
      </c>
      <c r="C1039" s="3" t="inlineStr">
        <is>
          <t xml:space="preserve">SKU-G</t>
        </is>
      </c>
      <c r="D1039" s="3" t="inlineStr">
        <is>
          <t xml:space="preserve">Daily Reset Set</t>
        </is>
      </c>
      <c r="E1039" s="6">
        <f>IF('Settings'!$B$11="Scenario",IFERROR(INDEX('Catalogue'!$E$3:$E$100,MATCH(C1039,'Catalogue'!$B$3:$B$100,0)),F1039),F1039)</f>
        <v>69</v>
      </c>
      <c r="F1039" s="8">
        <v>69</v>
      </c>
      <c r="G1039" s="3">
        <v>2</v>
      </c>
      <c r="H1039" s="6">
        <f>IF('Settings'!$B$11="Scenario",ROUND(E1039*G1039*IFERROR(SUMIF('Pricing &amp; promotions'!$A$6:$A$8,L1039,'Pricing &amp; promotions'!$B$6:$B$8)/100,0),2),J1039)</f>
        <v>0.0</v>
      </c>
      <c r="I1039" s="6">
        <f>ROUND((E1039*G1039-H1039)/(1+'Settings'!$B$6/100),2)</f>
        <v>114.05</v>
      </c>
      <c r="J1039" s="8">
        <v>0.0</v>
      </c>
      <c r="K1039" s="3" t="inlineStr">
        <is>
          <t xml:space="preserve">TRUE</t>
        </is>
      </c>
      <c r="L1039" s="3"/>
    </row>
    <row r="1040">
      <c r="A1040" s="3" t="inlineStr">
        <is>
          <t xml:space="preserve">#1766</t>
        </is>
      </c>
      <c r="B1040" s="3" t="inlineStr">
        <is>
          <t xml:space="preserve">2026-09-23</t>
        </is>
      </c>
      <c r="C1040" s="3" t="inlineStr">
        <is>
          <t xml:space="preserve">SKU-A</t>
        </is>
      </c>
      <c r="D1040" s="3" t="inlineStr">
        <is>
          <t xml:space="preserve">Renewal Serum</t>
        </is>
      </c>
      <c r="E1040" s="6">
        <f>IF('Settings'!$B$11="Scenario",IFERROR(INDEX('Catalogue'!$E$3:$E$100,MATCH(C1040,'Catalogue'!$B$3:$B$100,0)),F1040),F1040)</f>
        <v>69.9</v>
      </c>
      <c r="F1040" s="8">
        <v>69.9</v>
      </c>
      <c r="G1040" s="3">
        <v>1</v>
      </c>
      <c r="H1040" s="6">
        <f>IF('Settings'!$B$11="Scenario",ROUND(E1040*G1040*IFERROR(SUMIF('Pricing &amp; promotions'!$A$6:$A$8,L1040,'Pricing &amp; promotions'!$B$6:$B$8)/100,0),2),J1040)</f>
        <v>0.0</v>
      </c>
      <c r="I1040" s="6">
        <f>ROUND((E1040*G1040-H1040)/(1+'Settings'!$B$6/100),2)</f>
        <v>57.77</v>
      </c>
      <c r="J1040" s="8">
        <v>0.0</v>
      </c>
      <c r="K1040" s="3" t="inlineStr">
        <is>
          <t xml:space="preserve">TRUE</t>
        </is>
      </c>
      <c r="L1040" s="3"/>
    </row>
    <row r="1041">
      <c r="A1041" s="3" t="inlineStr">
        <is>
          <t xml:space="preserve">#1767</t>
        </is>
      </c>
      <c r="B1041" s="3" t="inlineStr">
        <is>
          <t xml:space="preserve">2026-09-23</t>
        </is>
      </c>
      <c r="C1041" s="3" t="inlineStr">
        <is>
          <t xml:space="preserve">SKU-A</t>
        </is>
      </c>
      <c r="D1041" s="3" t="inlineStr">
        <is>
          <t xml:space="preserve">Renewal Serum</t>
        </is>
      </c>
      <c r="E1041" s="6">
        <f>IF('Settings'!$B$11="Scenario",IFERROR(INDEX('Catalogue'!$E$3:$E$100,MATCH(C1041,'Catalogue'!$B$3:$B$100,0)),F1041),F1041)</f>
        <v>69.9</v>
      </c>
      <c r="F1041" s="8">
        <v>69.9</v>
      </c>
      <c r="G1041" s="3">
        <v>1</v>
      </c>
      <c r="H1041" s="6">
        <f>IF('Settings'!$B$11="Scenario",ROUND(E1041*G1041*IFERROR(SUMIF('Pricing &amp; promotions'!$A$6:$A$8,L1041,'Pricing &amp; promotions'!$B$6:$B$8)/100,0),2),J1041)</f>
        <v>0.0</v>
      </c>
      <c r="I1041" s="6">
        <f>ROUND((E1041*G1041-H1041)/(1+'Settings'!$B$6/100),2)</f>
        <v>57.77</v>
      </c>
      <c r="J1041" s="8">
        <v>0.0</v>
      </c>
      <c r="K1041" s="3" t="inlineStr">
        <is>
          <t xml:space="preserve">TRUE</t>
        </is>
      </c>
      <c r="L1041" s="3"/>
    </row>
    <row r="1042">
      <c r="A1042" s="3" t="inlineStr">
        <is>
          <t xml:space="preserve">#1768</t>
        </is>
      </c>
      <c r="B1042" s="3" t="inlineStr">
        <is>
          <t xml:space="preserve">2026-09-23</t>
        </is>
      </c>
      <c r="C1042" s="3" t="inlineStr">
        <is>
          <t xml:space="preserve">SKU-E</t>
        </is>
      </c>
      <c r="D1042" s="3" t="inlineStr">
        <is>
          <t xml:space="preserve">Complete Ritual</t>
        </is>
      </c>
      <c r="E1042" s="6">
        <f>IF('Settings'!$B$11="Scenario",IFERROR(INDEX('Catalogue'!$E$3:$E$100,MATCH(C1042,'Catalogue'!$B$3:$B$100,0)),F1042),F1042)</f>
        <v>89</v>
      </c>
      <c r="F1042" s="8">
        <v>89</v>
      </c>
      <c r="G1042" s="3">
        <v>1</v>
      </c>
      <c r="H1042" s="6">
        <f>IF('Settings'!$B$11="Scenario",ROUND(E1042*G1042*IFERROR(SUMIF('Pricing &amp; promotions'!$A$6:$A$8,L1042,'Pricing &amp; promotions'!$B$6:$B$8)/100,0),2),J1042)</f>
        <v>8.9</v>
      </c>
      <c r="I1042" s="6">
        <f>ROUND((E1042*G1042-H1042)/(1+'Settings'!$B$6/100),2)</f>
        <v>66.2</v>
      </c>
      <c r="J1042" s="8">
        <v>8.9</v>
      </c>
      <c r="K1042" s="3" t="inlineStr">
        <is>
          <t xml:space="preserve">TRUE</t>
        </is>
      </c>
      <c r="L1042" s="3" t="inlineStr">
        <is>
          <t xml:space="preserve">WELCOME10</t>
        </is>
      </c>
    </row>
    <row r="1043">
      <c r="A1043" s="3" t="inlineStr">
        <is>
          <t xml:space="preserve">#1768</t>
        </is>
      </c>
      <c r="B1043" s="3" t="inlineStr">
        <is>
          <t xml:space="preserve">2026-09-23</t>
        </is>
      </c>
      <c r="C1043" s="3" t="inlineStr">
        <is>
          <t xml:space="preserve">SKU-D</t>
        </is>
      </c>
      <c r="D1043" s="3" t="inlineStr">
        <is>
          <t xml:space="preserve">Daily Duo</t>
        </is>
      </c>
      <c r="E1043" s="6">
        <f>IF('Settings'!$B$11="Scenario",IFERROR(INDEX('Catalogue'!$E$3:$E$100,MATCH(C1043,'Catalogue'!$B$3:$B$100,0)),F1043),F1043)</f>
        <v>79</v>
      </c>
      <c r="F1043" s="8">
        <v>79</v>
      </c>
      <c r="G1043" s="3">
        <v>2</v>
      </c>
      <c r="H1043" s="6">
        <f>IF('Settings'!$B$11="Scenario",ROUND(E1043*G1043*IFERROR(SUMIF('Pricing &amp; promotions'!$A$6:$A$8,L1043,'Pricing &amp; promotions'!$B$6:$B$8)/100,0),2),J1043)</f>
        <v>15.8</v>
      </c>
      <c r="I1043" s="6">
        <f>ROUND((E1043*G1043-H1043)/(1+'Settings'!$B$6/100),2)</f>
        <v>117.52</v>
      </c>
      <c r="J1043" s="8">
        <v>15.8</v>
      </c>
      <c r="K1043" s="3" t="inlineStr">
        <is>
          <t xml:space="preserve">TRUE</t>
        </is>
      </c>
      <c r="L1043" s="3" t="inlineStr">
        <is>
          <t xml:space="preserve">WELCOME10</t>
        </is>
      </c>
    </row>
    <row r="1044">
      <c r="A1044" s="3" t="inlineStr">
        <is>
          <t xml:space="preserve">#1769</t>
        </is>
      </c>
      <c r="B1044" s="3" t="inlineStr">
        <is>
          <t xml:space="preserve">2026-09-23</t>
        </is>
      </c>
      <c r="C1044" s="3" t="inlineStr">
        <is>
          <t xml:space="preserve">SKU-A</t>
        </is>
      </c>
      <c r="D1044" s="3" t="inlineStr">
        <is>
          <t xml:space="preserve">Renewal Serum</t>
        </is>
      </c>
      <c r="E1044" s="6">
        <f>IF('Settings'!$B$11="Scenario",IFERROR(INDEX('Catalogue'!$E$3:$E$100,MATCH(C1044,'Catalogue'!$B$3:$B$100,0)),F1044),F1044)</f>
        <v>69.9</v>
      </c>
      <c r="F1044" s="8">
        <v>69.9</v>
      </c>
      <c r="G1044" s="3">
        <v>1</v>
      </c>
      <c r="H1044" s="6">
        <f>IF('Settings'!$B$11="Scenario",ROUND(E1044*G1044*IFERROR(SUMIF('Pricing &amp; promotions'!$A$6:$A$8,L1044,'Pricing &amp; promotions'!$B$6:$B$8)/100,0),2),J1044)</f>
        <v>0.0</v>
      </c>
      <c r="I1044" s="6">
        <f>ROUND((E1044*G1044-H1044)/(1+'Settings'!$B$6/100),2)</f>
        <v>57.77</v>
      </c>
      <c r="J1044" s="8">
        <v>0.0</v>
      </c>
      <c r="K1044" s="3" t="inlineStr">
        <is>
          <t xml:space="preserve">TRUE</t>
        </is>
      </c>
      <c r="L1044" s="3"/>
    </row>
    <row r="1045">
      <c r="A1045" s="3" t="inlineStr">
        <is>
          <t xml:space="preserve">#1770</t>
        </is>
      </c>
      <c r="B1045" s="3" t="inlineStr">
        <is>
          <t xml:space="preserve">2026-09-23</t>
        </is>
      </c>
      <c r="C1045" s="3" t="inlineStr">
        <is>
          <t xml:space="preserve">SKU-F</t>
        </is>
      </c>
      <c r="D1045" s="3" t="inlineStr">
        <is>
          <t xml:space="preserve">Cloud Cleanser</t>
        </is>
      </c>
      <c r="E1045" s="6">
        <f>IF('Settings'!$B$11="Scenario",IFERROR(INDEX('Catalogue'!$E$3:$E$100,MATCH(C1045,'Catalogue'!$B$3:$B$100,0)),F1045),F1045)</f>
        <v>34</v>
      </c>
      <c r="F1045" s="8">
        <v>34</v>
      </c>
      <c r="G1045" s="3">
        <v>1</v>
      </c>
      <c r="H1045" s="6">
        <f>IF('Settings'!$B$11="Scenario",ROUND(E1045*G1045*IFERROR(SUMIF('Pricing &amp; promotions'!$A$6:$A$8,L1045,'Pricing &amp; promotions'!$B$6:$B$8)/100,0),2),J1045)</f>
        <v>0.0</v>
      </c>
      <c r="I1045" s="6">
        <f>ROUND((E1045*G1045-H1045)/(1+'Settings'!$B$6/100),2)</f>
        <v>28.1</v>
      </c>
      <c r="J1045" s="8">
        <v>0.0</v>
      </c>
      <c r="K1045" s="3" t="inlineStr">
        <is>
          <t xml:space="preserve">TRUE</t>
        </is>
      </c>
      <c r="L1045" s="3"/>
    </row>
    <row r="1046">
      <c r="A1046" s="3" t="inlineStr">
        <is>
          <t xml:space="preserve">#1770</t>
        </is>
      </c>
      <c r="B1046" s="3" t="inlineStr">
        <is>
          <t xml:space="preserve">2026-09-23</t>
        </is>
      </c>
      <c r="C1046" s="3" t="inlineStr">
        <is>
          <t xml:space="preserve">SKU-A</t>
        </is>
      </c>
      <c r="D1046" s="3" t="inlineStr">
        <is>
          <t xml:space="preserve">Renewal Serum</t>
        </is>
      </c>
      <c r="E1046" s="6">
        <f>IF('Settings'!$B$11="Scenario",IFERROR(INDEX('Catalogue'!$E$3:$E$100,MATCH(C1046,'Catalogue'!$B$3:$B$100,0)),F1046),F1046)</f>
        <v>69.9</v>
      </c>
      <c r="F1046" s="8">
        <v>69.9</v>
      </c>
      <c r="G1046" s="3">
        <v>1</v>
      </c>
      <c r="H1046" s="6">
        <f>IF('Settings'!$B$11="Scenario",ROUND(E1046*G1046*IFERROR(SUMIF('Pricing &amp; promotions'!$A$6:$A$8,L1046,'Pricing &amp; promotions'!$B$6:$B$8)/100,0),2),J1046)</f>
        <v>0.0</v>
      </c>
      <c r="I1046" s="6">
        <f>ROUND((E1046*G1046-H1046)/(1+'Settings'!$B$6/100),2)</f>
        <v>57.77</v>
      </c>
      <c r="J1046" s="8">
        <v>0.0</v>
      </c>
      <c r="K1046" s="3" t="inlineStr">
        <is>
          <t xml:space="preserve">TRUE</t>
        </is>
      </c>
      <c r="L1046" s="3"/>
    </row>
    <row r="1047">
      <c r="A1047" s="3" t="inlineStr">
        <is>
          <t xml:space="preserve">#1771</t>
        </is>
      </c>
      <c r="B1047" s="3" t="inlineStr">
        <is>
          <t xml:space="preserve">2026-09-23</t>
        </is>
      </c>
      <c r="C1047" s="3" t="inlineStr">
        <is>
          <t xml:space="preserve">SKU-E</t>
        </is>
      </c>
      <c r="D1047" s="3" t="inlineStr">
        <is>
          <t xml:space="preserve">Complete Ritual</t>
        </is>
      </c>
      <c r="E1047" s="6">
        <f>IF('Settings'!$B$11="Scenario",IFERROR(INDEX('Catalogue'!$E$3:$E$100,MATCH(C1047,'Catalogue'!$B$3:$B$100,0)),F1047),F1047)</f>
        <v>89</v>
      </c>
      <c r="F1047" s="8">
        <v>89</v>
      </c>
      <c r="G1047" s="3">
        <v>1</v>
      </c>
      <c r="H1047" s="6">
        <f>IF('Settings'!$B$11="Scenario",ROUND(E1047*G1047*IFERROR(SUMIF('Pricing &amp; promotions'!$A$6:$A$8,L1047,'Pricing &amp; promotions'!$B$6:$B$8)/100,0),2),J1047)</f>
        <v>8.9</v>
      </c>
      <c r="I1047" s="6">
        <f>ROUND((E1047*G1047-H1047)/(1+'Settings'!$B$6/100),2)</f>
        <v>66.2</v>
      </c>
      <c r="J1047" s="8">
        <v>8.9</v>
      </c>
      <c r="K1047" s="3" t="inlineStr">
        <is>
          <t xml:space="preserve">TRUE</t>
        </is>
      </c>
      <c r="L1047" s="3" t="inlineStr">
        <is>
          <t xml:space="preserve">WELCOME10</t>
        </is>
      </c>
    </row>
    <row r="1048">
      <c r="A1048" s="3" t="inlineStr">
        <is>
          <t xml:space="preserve">#1771</t>
        </is>
      </c>
      <c r="B1048" s="3" t="inlineStr">
        <is>
          <t xml:space="preserve">2026-09-23</t>
        </is>
      </c>
      <c r="C1048" s="3" t="inlineStr">
        <is>
          <t xml:space="preserve">SKU-A</t>
        </is>
      </c>
      <c r="D1048" s="3" t="inlineStr">
        <is>
          <t xml:space="preserve">Renewal Serum</t>
        </is>
      </c>
      <c r="E1048" s="6">
        <f>IF('Settings'!$B$11="Scenario",IFERROR(INDEX('Catalogue'!$E$3:$E$100,MATCH(C1048,'Catalogue'!$B$3:$B$100,0)),F1048),F1048)</f>
        <v>69.9</v>
      </c>
      <c r="F1048" s="8">
        <v>69.9</v>
      </c>
      <c r="G1048" s="3">
        <v>2</v>
      </c>
      <c r="H1048" s="6">
        <f>IF('Settings'!$B$11="Scenario",ROUND(E1048*G1048*IFERROR(SUMIF('Pricing &amp; promotions'!$A$6:$A$8,L1048,'Pricing &amp; promotions'!$B$6:$B$8)/100,0),2),J1048)</f>
        <v>13.98</v>
      </c>
      <c r="I1048" s="6">
        <f>ROUND((E1048*G1048-H1048)/(1+'Settings'!$B$6/100),2)</f>
        <v>103.98</v>
      </c>
      <c r="J1048" s="8">
        <v>13.98</v>
      </c>
      <c r="K1048" s="3" t="inlineStr">
        <is>
          <t xml:space="preserve">TRUE</t>
        </is>
      </c>
      <c r="L1048" s="3" t="inlineStr">
        <is>
          <t xml:space="preserve">WELCOME10</t>
        </is>
      </c>
    </row>
    <row r="1049">
      <c r="A1049" s="3" t="inlineStr">
        <is>
          <t xml:space="preserve">#1772</t>
        </is>
      </c>
      <c r="B1049" s="3" t="inlineStr">
        <is>
          <t xml:space="preserve">2026-09-24</t>
        </is>
      </c>
      <c r="C1049" s="3" t="inlineStr">
        <is>
          <t xml:space="preserve">SKU-A</t>
        </is>
      </c>
      <c r="D1049" s="3" t="inlineStr">
        <is>
          <t xml:space="preserve">Renewal Serum</t>
        </is>
      </c>
      <c r="E1049" s="6">
        <f>IF('Settings'!$B$11="Scenario",IFERROR(INDEX('Catalogue'!$E$3:$E$100,MATCH(C1049,'Catalogue'!$B$3:$B$100,0)),F1049),F1049)</f>
        <v>69.9</v>
      </c>
      <c r="F1049" s="8">
        <v>69.9</v>
      </c>
      <c r="G1049" s="3">
        <v>1</v>
      </c>
      <c r="H1049" s="6">
        <f>IF('Settings'!$B$11="Scenario",ROUND(E1049*G1049*IFERROR(SUMIF('Pricing &amp; promotions'!$A$6:$A$8,L1049,'Pricing &amp; promotions'!$B$6:$B$8)/100,0),2),J1049)</f>
        <v>0.0</v>
      </c>
      <c r="I1049" s="6">
        <f>ROUND((E1049*G1049-H1049)/(1+'Settings'!$B$6/100),2)</f>
        <v>57.77</v>
      </c>
      <c r="J1049" s="8">
        <v>0.0</v>
      </c>
      <c r="K1049" s="3" t="inlineStr">
        <is>
          <t xml:space="preserve">TRUE</t>
        </is>
      </c>
      <c r="L1049" s="3"/>
    </row>
    <row r="1050">
      <c r="A1050" s="3" t="inlineStr">
        <is>
          <t xml:space="preserve">#1772</t>
        </is>
      </c>
      <c r="B1050" s="3" t="inlineStr">
        <is>
          <t xml:space="preserve">2026-09-24</t>
        </is>
      </c>
      <c r="C1050" s="3" t="inlineStr">
        <is>
          <t xml:space="preserve">SKU-G</t>
        </is>
      </c>
      <c r="D1050" s="3" t="inlineStr">
        <is>
          <t xml:space="preserve">Daily Reset Set</t>
        </is>
      </c>
      <c r="E1050" s="6">
        <f>IF('Settings'!$B$11="Scenario",IFERROR(INDEX('Catalogue'!$E$3:$E$100,MATCH(C1050,'Catalogue'!$B$3:$B$100,0)),F1050),F1050)</f>
        <v>69</v>
      </c>
      <c r="F1050" s="8">
        <v>69</v>
      </c>
      <c r="G1050" s="3">
        <v>1</v>
      </c>
      <c r="H1050" s="6">
        <f>IF('Settings'!$B$11="Scenario",ROUND(E1050*G1050*IFERROR(SUMIF('Pricing &amp; promotions'!$A$6:$A$8,L1050,'Pricing &amp; promotions'!$B$6:$B$8)/100,0),2),J1050)</f>
        <v>0.0</v>
      </c>
      <c r="I1050" s="6">
        <f>ROUND((E1050*G1050-H1050)/(1+'Settings'!$B$6/100),2)</f>
        <v>57.02</v>
      </c>
      <c r="J1050" s="8">
        <v>0.0</v>
      </c>
      <c r="K1050" s="3" t="inlineStr">
        <is>
          <t xml:space="preserve">TRUE</t>
        </is>
      </c>
      <c r="L1050" s="3"/>
    </row>
    <row r="1051">
      <c r="A1051" s="3" t="inlineStr">
        <is>
          <t xml:space="preserve">#1773</t>
        </is>
      </c>
      <c r="B1051" s="3" t="inlineStr">
        <is>
          <t xml:space="preserve">2026-09-24</t>
        </is>
      </c>
      <c r="C1051" s="3" t="inlineStr">
        <is>
          <t xml:space="preserve">SKU-A</t>
        </is>
      </c>
      <c r="D1051" s="3" t="inlineStr">
        <is>
          <t xml:space="preserve">Renewal Serum</t>
        </is>
      </c>
      <c r="E1051" s="6">
        <f>IF('Settings'!$B$11="Scenario",IFERROR(INDEX('Catalogue'!$E$3:$E$100,MATCH(C1051,'Catalogue'!$B$3:$B$100,0)),F1051),F1051)</f>
        <v>69.9</v>
      </c>
      <c r="F1051" s="8">
        <v>69.9</v>
      </c>
      <c r="G1051" s="3">
        <v>1</v>
      </c>
      <c r="H1051" s="6">
        <f>IF('Settings'!$B$11="Scenario",ROUND(E1051*G1051*IFERROR(SUMIF('Pricing &amp; promotions'!$A$6:$A$8,L1051,'Pricing &amp; promotions'!$B$6:$B$8)/100,0),2),J1051)</f>
        <v>6.99</v>
      </c>
      <c r="I1051" s="6">
        <f>ROUND((E1051*G1051-H1051)/(1+'Settings'!$B$6/100),2)</f>
        <v>51.99</v>
      </c>
      <c r="J1051" s="8">
        <v>6.99</v>
      </c>
      <c r="K1051" s="3" t="inlineStr">
        <is>
          <t xml:space="preserve">TRUE</t>
        </is>
      </c>
      <c r="L1051" s="3" t="inlineStr">
        <is>
          <t xml:space="preserve">WELCOME10</t>
        </is>
      </c>
    </row>
    <row r="1052">
      <c r="A1052" s="3" t="inlineStr">
        <is>
          <t xml:space="preserve">#1774</t>
        </is>
      </c>
      <c r="B1052" s="3" t="inlineStr">
        <is>
          <t xml:space="preserve">2026-09-25</t>
        </is>
      </c>
      <c r="C1052" s="3" t="inlineStr">
        <is>
          <t xml:space="preserve">SKU-G</t>
        </is>
      </c>
      <c r="D1052" s="3" t="inlineStr">
        <is>
          <t xml:space="preserve">Daily Reset Set</t>
        </is>
      </c>
      <c r="E1052" s="6">
        <f>IF('Settings'!$B$11="Scenario",IFERROR(INDEX('Catalogue'!$E$3:$E$100,MATCH(C1052,'Catalogue'!$B$3:$B$100,0)),F1052),F1052)</f>
        <v>69</v>
      </c>
      <c r="F1052" s="8">
        <v>69</v>
      </c>
      <c r="G1052" s="3">
        <v>2</v>
      </c>
      <c r="H1052" s="6">
        <f>IF('Settings'!$B$11="Scenario",ROUND(E1052*G1052*IFERROR(SUMIF('Pricing &amp; promotions'!$A$6:$A$8,L1052,'Pricing &amp; promotions'!$B$6:$B$8)/100,0),2),J1052)</f>
        <v>13.8</v>
      </c>
      <c r="I1052" s="6">
        <f>ROUND((E1052*G1052-H1052)/(1+'Settings'!$B$6/100),2)</f>
        <v>102.64</v>
      </c>
      <c r="J1052" s="8">
        <v>13.8</v>
      </c>
      <c r="K1052" s="3" t="inlineStr">
        <is>
          <t xml:space="preserve">TRUE</t>
        </is>
      </c>
      <c r="L1052" s="3" t="inlineStr">
        <is>
          <t xml:space="preserve">WELCOME10</t>
        </is>
      </c>
    </row>
    <row r="1053">
      <c r="A1053" s="3" t="inlineStr">
        <is>
          <t xml:space="preserve">#1775</t>
        </is>
      </c>
      <c r="B1053" s="3" t="inlineStr">
        <is>
          <t xml:space="preserve">2026-09-25</t>
        </is>
      </c>
      <c r="C1053" s="3" t="inlineStr">
        <is>
          <t xml:space="preserve">SKU-E</t>
        </is>
      </c>
      <c r="D1053" s="3" t="inlineStr">
        <is>
          <t xml:space="preserve">Complete Ritual</t>
        </is>
      </c>
      <c r="E1053" s="6">
        <f>IF('Settings'!$B$11="Scenario",IFERROR(INDEX('Catalogue'!$E$3:$E$100,MATCH(C1053,'Catalogue'!$B$3:$B$100,0)),F1053),F1053)</f>
        <v>89</v>
      </c>
      <c r="F1053" s="8">
        <v>89</v>
      </c>
      <c r="G1053" s="3">
        <v>1</v>
      </c>
      <c r="H1053" s="6">
        <f>IF('Settings'!$B$11="Scenario",ROUND(E1053*G1053*IFERROR(SUMIF('Pricing &amp; promotions'!$A$6:$A$8,L1053,'Pricing &amp; promotions'!$B$6:$B$8)/100,0),2),J1053)</f>
        <v>0.0</v>
      </c>
      <c r="I1053" s="6">
        <f>ROUND((E1053*G1053-H1053)/(1+'Settings'!$B$6/100),2)</f>
        <v>73.55</v>
      </c>
      <c r="J1053" s="8">
        <v>0.0</v>
      </c>
      <c r="K1053" s="3" t="inlineStr">
        <is>
          <t xml:space="preserve">TRUE</t>
        </is>
      </c>
      <c r="L1053" s="3"/>
    </row>
    <row r="1054">
      <c r="A1054" s="3" t="inlineStr">
        <is>
          <t xml:space="preserve">#1776</t>
        </is>
      </c>
      <c r="B1054" s="3" t="inlineStr">
        <is>
          <t xml:space="preserve">2026-09-26</t>
        </is>
      </c>
      <c r="C1054" s="3" t="inlineStr">
        <is>
          <t xml:space="preserve">SKU-A</t>
        </is>
      </c>
      <c r="D1054" s="3" t="inlineStr">
        <is>
          <t xml:space="preserve">Renewal Serum</t>
        </is>
      </c>
      <c r="E1054" s="6">
        <f>IF('Settings'!$B$11="Scenario",IFERROR(INDEX('Catalogue'!$E$3:$E$100,MATCH(C1054,'Catalogue'!$B$3:$B$100,0)),F1054),F1054)</f>
        <v>69.9</v>
      </c>
      <c r="F1054" s="8">
        <v>69.9</v>
      </c>
      <c r="G1054" s="3">
        <v>1</v>
      </c>
      <c r="H1054" s="6">
        <f>IF('Settings'!$B$11="Scenario",ROUND(E1054*G1054*IFERROR(SUMIF('Pricing &amp; promotions'!$A$6:$A$8,L1054,'Pricing &amp; promotions'!$B$6:$B$8)/100,0),2),J1054)</f>
        <v>0.0</v>
      </c>
      <c r="I1054" s="6">
        <f>ROUND((E1054*G1054-H1054)/(1+'Settings'!$B$6/100),2)</f>
        <v>57.77</v>
      </c>
      <c r="J1054" s="8">
        <v>0.0</v>
      </c>
      <c r="K1054" s="3" t="inlineStr">
        <is>
          <t xml:space="preserve">TRUE</t>
        </is>
      </c>
      <c r="L1054" s="3"/>
    </row>
    <row r="1055">
      <c r="A1055" s="3" t="inlineStr">
        <is>
          <t xml:space="preserve">#1777</t>
        </is>
      </c>
      <c r="B1055" s="3" t="inlineStr">
        <is>
          <t xml:space="preserve">2026-09-26</t>
        </is>
      </c>
      <c r="C1055" s="3" t="inlineStr">
        <is>
          <t xml:space="preserve">SKU-B</t>
        </is>
      </c>
      <c r="D1055" s="3" t="inlineStr">
        <is>
          <t xml:space="preserve">Barrier Balm</t>
        </is>
      </c>
      <c r="E1055" s="6">
        <f>IF('Settings'!$B$11="Scenario",IFERROR(INDEX('Catalogue'!$E$3:$E$100,MATCH(C1055,'Catalogue'!$B$3:$B$100,0)),F1055),F1055)</f>
        <v>19</v>
      </c>
      <c r="F1055" s="8">
        <v>19</v>
      </c>
      <c r="G1055" s="3">
        <v>1</v>
      </c>
      <c r="H1055" s="6">
        <f>IF('Settings'!$B$11="Scenario",ROUND(E1055*G1055*IFERROR(SUMIF('Pricing &amp; promotions'!$A$6:$A$8,L1055,'Pricing &amp; promotions'!$B$6:$B$8)/100,0),2),J1055)</f>
        <v>1.9</v>
      </c>
      <c r="I1055" s="6">
        <f>ROUND((E1055*G1055-H1055)/(1+'Settings'!$B$6/100),2)</f>
        <v>14.13</v>
      </c>
      <c r="J1055" s="8">
        <v>1.9</v>
      </c>
      <c r="K1055" s="3" t="inlineStr">
        <is>
          <t xml:space="preserve">TRUE</t>
        </is>
      </c>
      <c r="L1055" s="3" t="inlineStr">
        <is>
          <t xml:space="preserve">WELCOME10</t>
        </is>
      </c>
    </row>
    <row r="1056">
      <c r="A1056" s="3" t="inlineStr">
        <is>
          <t xml:space="preserve">#1778</t>
        </is>
      </c>
      <c r="B1056" s="3" t="inlineStr">
        <is>
          <t xml:space="preserve">2026-09-26</t>
        </is>
      </c>
      <c r="C1056" s="3" t="inlineStr">
        <is>
          <t xml:space="preserve">SKU-A</t>
        </is>
      </c>
      <c r="D1056" s="3" t="inlineStr">
        <is>
          <t xml:space="preserve">Renewal Serum</t>
        </is>
      </c>
      <c r="E1056" s="6">
        <f>IF('Settings'!$B$11="Scenario",IFERROR(INDEX('Catalogue'!$E$3:$E$100,MATCH(C1056,'Catalogue'!$B$3:$B$100,0)),F1056),F1056)</f>
        <v>69.9</v>
      </c>
      <c r="F1056" s="8">
        <v>69.9</v>
      </c>
      <c r="G1056" s="3">
        <v>1</v>
      </c>
      <c r="H1056" s="6">
        <f>IF('Settings'!$B$11="Scenario",ROUND(E1056*G1056*IFERROR(SUMIF('Pricing &amp; promotions'!$A$6:$A$8,L1056,'Pricing &amp; promotions'!$B$6:$B$8)/100,0),2),J1056)</f>
        <v>6.99</v>
      </c>
      <c r="I1056" s="6">
        <f>ROUND((E1056*G1056-H1056)/(1+'Settings'!$B$6/100),2)</f>
        <v>51.99</v>
      </c>
      <c r="J1056" s="8">
        <v>6.99</v>
      </c>
      <c r="K1056" s="3" t="inlineStr">
        <is>
          <t xml:space="preserve">TRUE</t>
        </is>
      </c>
      <c r="L1056" s="3" t="inlineStr">
        <is>
          <t xml:space="preserve">WELCOME10</t>
        </is>
      </c>
    </row>
    <row r="1057">
      <c r="A1057" s="3" t="inlineStr">
        <is>
          <t xml:space="preserve">#1778</t>
        </is>
      </c>
      <c r="B1057" s="3" t="inlineStr">
        <is>
          <t xml:space="preserve">2026-09-26</t>
        </is>
      </c>
      <c r="C1057" s="3" t="inlineStr">
        <is>
          <t xml:space="preserve">SKU-D</t>
        </is>
      </c>
      <c r="D1057" s="3" t="inlineStr">
        <is>
          <t xml:space="preserve">Daily Duo</t>
        </is>
      </c>
      <c r="E1057" s="6">
        <f>IF('Settings'!$B$11="Scenario",IFERROR(INDEX('Catalogue'!$E$3:$E$100,MATCH(C1057,'Catalogue'!$B$3:$B$100,0)),F1057),F1057)</f>
        <v>79</v>
      </c>
      <c r="F1057" s="8">
        <v>79</v>
      </c>
      <c r="G1057" s="3">
        <v>1</v>
      </c>
      <c r="H1057" s="6">
        <f>IF('Settings'!$B$11="Scenario",ROUND(E1057*G1057*IFERROR(SUMIF('Pricing &amp; promotions'!$A$6:$A$8,L1057,'Pricing &amp; promotions'!$B$6:$B$8)/100,0),2),J1057)</f>
        <v>7.9</v>
      </c>
      <c r="I1057" s="6">
        <f>ROUND((E1057*G1057-H1057)/(1+'Settings'!$B$6/100),2)</f>
        <v>58.76</v>
      </c>
      <c r="J1057" s="8">
        <v>7.9</v>
      </c>
      <c r="K1057" s="3" t="inlineStr">
        <is>
          <t xml:space="preserve">TRUE</t>
        </is>
      </c>
      <c r="L1057" s="3" t="inlineStr">
        <is>
          <t xml:space="preserve">WELCOME10</t>
        </is>
      </c>
    </row>
    <row r="1058">
      <c r="A1058" s="3" t="inlineStr">
        <is>
          <t xml:space="preserve">#1779</t>
        </is>
      </c>
      <c r="B1058" s="3" t="inlineStr">
        <is>
          <t xml:space="preserve">2026-09-26</t>
        </is>
      </c>
      <c r="C1058" s="3" t="inlineStr">
        <is>
          <t xml:space="preserve">SKU-E</t>
        </is>
      </c>
      <c r="D1058" s="3" t="inlineStr">
        <is>
          <t xml:space="preserve">Complete Ritual</t>
        </is>
      </c>
      <c r="E1058" s="6">
        <f>IF('Settings'!$B$11="Scenario",IFERROR(INDEX('Catalogue'!$E$3:$E$100,MATCH(C1058,'Catalogue'!$B$3:$B$100,0)),F1058),F1058)</f>
        <v>89</v>
      </c>
      <c r="F1058" s="8">
        <v>89</v>
      </c>
      <c r="G1058" s="3">
        <v>1</v>
      </c>
      <c r="H1058" s="6">
        <f>IF('Settings'!$B$11="Scenario",ROUND(E1058*G1058*IFERROR(SUMIF('Pricing &amp; promotions'!$A$6:$A$8,L1058,'Pricing &amp; promotions'!$B$6:$B$8)/100,0),2),J1058)</f>
        <v>13.35</v>
      </c>
      <c r="I1058" s="6">
        <f>ROUND((E1058*G1058-H1058)/(1+'Settings'!$B$6/100),2)</f>
        <v>62.52</v>
      </c>
      <c r="J1058" s="8">
        <v>13.35</v>
      </c>
      <c r="K1058" s="3" t="inlineStr">
        <is>
          <t xml:space="preserve">TRUE</t>
        </is>
      </c>
      <c r="L1058" s="3" t="inlineStr">
        <is>
          <t xml:space="preserve">SUMMER15</t>
        </is>
      </c>
    </row>
    <row r="1059">
      <c r="A1059" s="3" t="inlineStr">
        <is>
          <t xml:space="preserve">#1780</t>
        </is>
      </c>
      <c r="B1059" s="3" t="inlineStr">
        <is>
          <t xml:space="preserve">2026-09-26</t>
        </is>
      </c>
      <c r="C1059" s="3" t="inlineStr">
        <is>
          <t xml:space="preserve">SKU-B</t>
        </is>
      </c>
      <c r="D1059" s="3" t="inlineStr">
        <is>
          <t xml:space="preserve">Barrier Balm</t>
        </is>
      </c>
      <c r="E1059" s="6">
        <f>IF('Settings'!$B$11="Scenario",IFERROR(INDEX('Catalogue'!$E$3:$E$100,MATCH(C1059,'Catalogue'!$B$3:$B$100,0)),F1059),F1059)</f>
        <v>19</v>
      </c>
      <c r="F1059" s="8">
        <v>19</v>
      </c>
      <c r="G1059" s="3">
        <v>1</v>
      </c>
      <c r="H1059" s="6">
        <f>IF('Settings'!$B$11="Scenario",ROUND(E1059*G1059*IFERROR(SUMIF('Pricing &amp; promotions'!$A$6:$A$8,L1059,'Pricing &amp; promotions'!$B$6:$B$8)/100,0),2),J1059)</f>
        <v>1.9</v>
      </c>
      <c r="I1059" s="6">
        <f>ROUND((E1059*G1059-H1059)/(1+'Settings'!$B$6/100),2)</f>
        <v>14.13</v>
      </c>
      <c r="J1059" s="8">
        <v>1.9</v>
      </c>
      <c r="K1059" s="3" t="inlineStr">
        <is>
          <t xml:space="preserve">TRUE</t>
        </is>
      </c>
      <c r="L1059" s="3" t="inlineStr">
        <is>
          <t xml:space="preserve">WELCOME10</t>
        </is>
      </c>
    </row>
    <row r="1060">
      <c r="A1060" s="3" t="inlineStr">
        <is>
          <t xml:space="preserve">#1780</t>
        </is>
      </c>
      <c r="B1060" s="3" t="inlineStr">
        <is>
          <t xml:space="preserve">2026-09-26</t>
        </is>
      </c>
      <c r="C1060" s="3" t="inlineStr">
        <is>
          <t xml:space="preserve">SKU-D</t>
        </is>
      </c>
      <c r="D1060" s="3" t="inlineStr">
        <is>
          <t xml:space="preserve">Daily Duo</t>
        </is>
      </c>
      <c r="E1060" s="6">
        <f>IF('Settings'!$B$11="Scenario",IFERROR(INDEX('Catalogue'!$E$3:$E$100,MATCH(C1060,'Catalogue'!$B$3:$B$100,0)),F1060),F1060)</f>
        <v>79</v>
      </c>
      <c r="F1060" s="8">
        <v>79</v>
      </c>
      <c r="G1060" s="3">
        <v>1</v>
      </c>
      <c r="H1060" s="6">
        <f>IF('Settings'!$B$11="Scenario",ROUND(E1060*G1060*IFERROR(SUMIF('Pricing &amp; promotions'!$A$6:$A$8,L1060,'Pricing &amp; promotions'!$B$6:$B$8)/100,0),2),J1060)</f>
        <v>7.9</v>
      </c>
      <c r="I1060" s="6">
        <f>ROUND((E1060*G1060-H1060)/(1+'Settings'!$B$6/100),2)</f>
        <v>58.76</v>
      </c>
      <c r="J1060" s="8">
        <v>7.9</v>
      </c>
      <c r="K1060" s="3" t="inlineStr">
        <is>
          <t xml:space="preserve">TRUE</t>
        </is>
      </c>
      <c r="L1060" s="3" t="inlineStr">
        <is>
          <t xml:space="preserve">WELCOME10</t>
        </is>
      </c>
    </row>
    <row r="1061">
      <c r="A1061" s="3" t="inlineStr">
        <is>
          <t xml:space="preserve">#1781</t>
        </is>
      </c>
      <c r="B1061" s="3" t="inlineStr">
        <is>
          <t xml:space="preserve">2026-09-26</t>
        </is>
      </c>
      <c r="C1061" s="3" t="inlineStr">
        <is>
          <t xml:space="preserve">SKU-D</t>
        </is>
      </c>
      <c r="D1061" s="3" t="inlineStr">
        <is>
          <t xml:space="preserve">Daily Duo</t>
        </is>
      </c>
      <c r="E1061" s="6">
        <f>IF('Settings'!$B$11="Scenario",IFERROR(INDEX('Catalogue'!$E$3:$E$100,MATCH(C1061,'Catalogue'!$B$3:$B$100,0)),F1061),F1061)</f>
        <v>79</v>
      </c>
      <c r="F1061" s="8">
        <v>79</v>
      </c>
      <c r="G1061" s="3">
        <v>2</v>
      </c>
      <c r="H1061" s="6">
        <f>IF('Settings'!$B$11="Scenario",ROUND(E1061*G1061*IFERROR(SUMIF('Pricing &amp; promotions'!$A$6:$A$8,L1061,'Pricing &amp; promotions'!$B$6:$B$8)/100,0),2),J1061)</f>
        <v>0.0</v>
      </c>
      <c r="I1061" s="6">
        <f>ROUND((E1061*G1061-H1061)/(1+'Settings'!$B$6/100),2)</f>
        <v>130.58</v>
      </c>
      <c r="J1061" s="8">
        <v>0.0</v>
      </c>
      <c r="K1061" s="3" t="inlineStr">
        <is>
          <t xml:space="preserve">TRUE</t>
        </is>
      </c>
      <c r="L1061" s="3"/>
    </row>
    <row r="1062">
      <c r="A1062" s="3" t="inlineStr">
        <is>
          <t xml:space="preserve">#1781</t>
        </is>
      </c>
      <c r="B1062" s="3" t="inlineStr">
        <is>
          <t xml:space="preserve">2026-09-26</t>
        </is>
      </c>
      <c r="C1062" s="3" t="inlineStr">
        <is>
          <t xml:space="preserve">SKU-A</t>
        </is>
      </c>
      <c r="D1062" s="3" t="inlineStr">
        <is>
          <t xml:space="preserve">Renewal Serum</t>
        </is>
      </c>
      <c r="E1062" s="6">
        <f>IF('Settings'!$B$11="Scenario",IFERROR(INDEX('Catalogue'!$E$3:$E$100,MATCH(C1062,'Catalogue'!$B$3:$B$100,0)),F1062),F1062)</f>
        <v>69.9</v>
      </c>
      <c r="F1062" s="8">
        <v>69.9</v>
      </c>
      <c r="G1062" s="3">
        <v>1</v>
      </c>
      <c r="H1062" s="6">
        <f>IF('Settings'!$B$11="Scenario",ROUND(E1062*G1062*IFERROR(SUMIF('Pricing &amp; promotions'!$A$6:$A$8,L1062,'Pricing &amp; promotions'!$B$6:$B$8)/100,0),2),J1062)</f>
        <v>0.0</v>
      </c>
      <c r="I1062" s="6">
        <f>ROUND((E1062*G1062-H1062)/(1+'Settings'!$B$6/100),2)</f>
        <v>57.77</v>
      </c>
      <c r="J1062" s="8">
        <v>0.0</v>
      </c>
      <c r="K1062" s="3" t="inlineStr">
        <is>
          <t xml:space="preserve">TRUE</t>
        </is>
      </c>
      <c r="L1062" s="3"/>
    </row>
    <row r="1063">
      <c r="A1063" s="3" t="inlineStr">
        <is>
          <t xml:space="preserve">#1782</t>
        </is>
      </c>
      <c r="B1063" s="3" t="inlineStr">
        <is>
          <t xml:space="preserve">2026-09-27</t>
        </is>
      </c>
      <c r="C1063" s="3" t="inlineStr">
        <is>
          <t xml:space="preserve">SKU-A</t>
        </is>
      </c>
      <c r="D1063" s="3" t="inlineStr">
        <is>
          <t xml:space="preserve">Renewal Serum</t>
        </is>
      </c>
      <c r="E1063" s="6">
        <f>IF('Settings'!$B$11="Scenario",IFERROR(INDEX('Catalogue'!$E$3:$E$100,MATCH(C1063,'Catalogue'!$B$3:$B$100,0)),F1063),F1063)</f>
        <v>69.9</v>
      </c>
      <c r="F1063" s="8">
        <v>69.9</v>
      </c>
      <c r="G1063" s="3">
        <v>1</v>
      </c>
      <c r="H1063" s="6">
        <f>IF('Settings'!$B$11="Scenario",ROUND(E1063*G1063*IFERROR(SUMIF('Pricing &amp; promotions'!$A$6:$A$8,L1063,'Pricing &amp; promotions'!$B$6:$B$8)/100,0),2),J1063)</f>
        <v>10.49</v>
      </c>
      <c r="I1063" s="6">
        <f>ROUND((E1063*G1063-H1063)/(1+'Settings'!$B$6/100),2)</f>
        <v>49.1</v>
      </c>
      <c r="J1063" s="8">
        <v>10.49</v>
      </c>
      <c r="K1063" s="3" t="inlineStr">
        <is>
          <t xml:space="preserve">TRUE</t>
        </is>
      </c>
      <c r="L1063" s="3" t="inlineStr">
        <is>
          <t xml:space="preserve">SUMMER15</t>
        </is>
      </c>
    </row>
    <row r="1064">
      <c r="A1064" s="3" t="inlineStr">
        <is>
          <t xml:space="preserve">#1783</t>
        </is>
      </c>
      <c r="B1064" s="3" t="inlineStr">
        <is>
          <t xml:space="preserve">2026-09-27</t>
        </is>
      </c>
      <c r="C1064" s="3" t="inlineStr">
        <is>
          <t xml:space="preserve">SKU-G</t>
        </is>
      </c>
      <c r="D1064" s="3" t="inlineStr">
        <is>
          <t xml:space="preserve">Daily Reset Set</t>
        </is>
      </c>
      <c r="E1064" s="6">
        <f>IF('Settings'!$B$11="Scenario",IFERROR(INDEX('Catalogue'!$E$3:$E$100,MATCH(C1064,'Catalogue'!$B$3:$B$100,0)),F1064),F1064)</f>
        <v>69</v>
      </c>
      <c r="F1064" s="8">
        <v>69</v>
      </c>
      <c r="G1064" s="3">
        <v>1</v>
      </c>
      <c r="H1064" s="6">
        <f>IF('Settings'!$B$11="Scenario",ROUND(E1064*G1064*IFERROR(SUMIF('Pricing &amp; promotions'!$A$6:$A$8,L1064,'Pricing &amp; promotions'!$B$6:$B$8)/100,0),2),J1064)</f>
        <v>0.0</v>
      </c>
      <c r="I1064" s="6">
        <f>ROUND((E1064*G1064-H1064)/(1+'Settings'!$B$6/100),2)</f>
        <v>57.02</v>
      </c>
      <c r="J1064" s="8">
        <v>0.0</v>
      </c>
      <c r="K1064" s="3" t="inlineStr">
        <is>
          <t xml:space="preserve">TRUE</t>
        </is>
      </c>
      <c r="L1064" s="3"/>
    </row>
    <row r="1065">
      <c r="A1065" s="3" t="inlineStr">
        <is>
          <t xml:space="preserve">#1784</t>
        </is>
      </c>
      <c r="B1065" s="3" t="inlineStr">
        <is>
          <t xml:space="preserve">2026-09-27</t>
        </is>
      </c>
      <c r="C1065" s="3" t="inlineStr">
        <is>
          <t xml:space="preserve">SKU-A</t>
        </is>
      </c>
      <c r="D1065" s="3" t="inlineStr">
        <is>
          <t xml:space="preserve">Renewal Serum</t>
        </is>
      </c>
      <c r="E1065" s="6">
        <f>IF('Settings'!$B$11="Scenario",IFERROR(INDEX('Catalogue'!$E$3:$E$100,MATCH(C1065,'Catalogue'!$B$3:$B$100,0)),F1065),F1065)</f>
        <v>69.9</v>
      </c>
      <c r="F1065" s="8">
        <v>69.9</v>
      </c>
      <c r="G1065" s="3">
        <v>1</v>
      </c>
      <c r="H1065" s="6">
        <f>IF('Settings'!$B$11="Scenario",ROUND(E1065*G1065*IFERROR(SUMIF('Pricing &amp; promotions'!$A$6:$A$8,L1065,'Pricing &amp; promotions'!$B$6:$B$8)/100,0),2),J1065)</f>
        <v>0.0</v>
      </c>
      <c r="I1065" s="6">
        <f>ROUND((E1065*G1065-H1065)/(1+'Settings'!$B$6/100),2)</f>
        <v>57.77</v>
      </c>
      <c r="J1065" s="8">
        <v>0.0</v>
      </c>
      <c r="K1065" s="3" t="inlineStr">
        <is>
          <t xml:space="preserve">TRUE</t>
        </is>
      </c>
      <c r="L1065" s="3"/>
    </row>
    <row r="1066">
      <c r="A1066" s="3" t="inlineStr">
        <is>
          <t xml:space="preserve">#1784</t>
        </is>
      </c>
      <c r="B1066" s="3" t="inlineStr">
        <is>
          <t xml:space="preserve">2026-09-27</t>
        </is>
      </c>
      <c r="C1066" s="3" t="inlineStr">
        <is>
          <t xml:space="preserve">SKU-E</t>
        </is>
      </c>
      <c r="D1066" s="3" t="inlineStr">
        <is>
          <t xml:space="preserve">Complete Ritual</t>
        </is>
      </c>
      <c r="E1066" s="6">
        <f>IF('Settings'!$B$11="Scenario",IFERROR(INDEX('Catalogue'!$E$3:$E$100,MATCH(C1066,'Catalogue'!$B$3:$B$100,0)),F1066),F1066)</f>
        <v>89</v>
      </c>
      <c r="F1066" s="8">
        <v>89</v>
      </c>
      <c r="G1066" s="3">
        <v>1</v>
      </c>
      <c r="H1066" s="6">
        <f>IF('Settings'!$B$11="Scenario",ROUND(E1066*G1066*IFERROR(SUMIF('Pricing &amp; promotions'!$A$6:$A$8,L1066,'Pricing &amp; promotions'!$B$6:$B$8)/100,0),2),J1066)</f>
        <v>0.0</v>
      </c>
      <c r="I1066" s="6">
        <f>ROUND((E1066*G1066-H1066)/(1+'Settings'!$B$6/100),2)</f>
        <v>73.55</v>
      </c>
      <c r="J1066" s="8">
        <v>0.0</v>
      </c>
      <c r="K1066" s="3" t="inlineStr">
        <is>
          <t xml:space="preserve">TRUE</t>
        </is>
      </c>
      <c r="L1066" s="3"/>
    </row>
    <row r="1067">
      <c r="A1067" s="3" t="inlineStr">
        <is>
          <t xml:space="preserve">#1785</t>
        </is>
      </c>
      <c r="B1067" s="3" t="inlineStr">
        <is>
          <t xml:space="preserve">2026-09-28</t>
        </is>
      </c>
      <c r="C1067" s="3" t="inlineStr">
        <is>
          <t xml:space="preserve">SKU-A</t>
        </is>
      </c>
      <c r="D1067" s="3" t="inlineStr">
        <is>
          <t xml:space="preserve">Renewal Serum</t>
        </is>
      </c>
      <c r="E1067" s="6">
        <f>IF('Settings'!$B$11="Scenario",IFERROR(INDEX('Catalogue'!$E$3:$E$100,MATCH(C1067,'Catalogue'!$B$3:$B$100,0)),F1067),F1067)</f>
        <v>69.9</v>
      </c>
      <c r="F1067" s="8">
        <v>69.9</v>
      </c>
      <c r="G1067" s="3">
        <v>1</v>
      </c>
      <c r="H1067" s="6">
        <f>IF('Settings'!$B$11="Scenario",ROUND(E1067*G1067*IFERROR(SUMIF('Pricing &amp; promotions'!$A$6:$A$8,L1067,'Pricing &amp; promotions'!$B$6:$B$8)/100,0),2),J1067)</f>
        <v>6.99</v>
      </c>
      <c r="I1067" s="6">
        <f>ROUND((E1067*G1067-H1067)/(1+'Settings'!$B$6/100),2)</f>
        <v>51.99</v>
      </c>
      <c r="J1067" s="8">
        <v>6.99</v>
      </c>
      <c r="K1067" s="3" t="inlineStr">
        <is>
          <t xml:space="preserve">TRUE</t>
        </is>
      </c>
      <c r="L1067" s="3" t="inlineStr">
        <is>
          <t xml:space="preserve">WELCOME10</t>
        </is>
      </c>
    </row>
    <row r="1068">
      <c r="A1068" s="3" t="inlineStr">
        <is>
          <t xml:space="preserve">#1786</t>
        </is>
      </c>
      <c r="B1068" s="3" t="inlineStr">
        <is>
          <t xml:space="preserve">2026-09-28</t>
        </is>
      </c>
      <c r="C1068" s="3" t="inlineStr">
        <is>
          <t xml:space="preserve">SKU-B</t>
        </is>
      </c>
      <c r="D1068" s="3" t="inlineStr">
        <is>
          <t xml:space="preserve">Barrier Balm</t>
        </is>
      </c>
      <c r="E1068" s="6">
        <f>IF('Settings'!$B$11="Scenario",IFERROR(INDEX('Catalogue'!$E$3:$E$100,MATCH(C1068,'Catalogue'!$B$3:$B$100,0)),F1068),F1068)</f>
        <v>19</v>
      </c>
      <c r="F1068" s="8">
        <v>19</v>
      </c>
      <c r="G1068" s="3">
        <v>1</v>
      </c>
      <c r="H1068" s="6">
        <f>IF('Settings'!$B$11="Scenario",ROUND(E1068*G1068*IFERROR(SUMIF('Pricing &amp; promotions'!$A$6:$A$8,L1068,'Pricing &amp; promotions'!$B$6:$B$8)/100,0),2),J1068)</f>
        <v>0.0</v>
      </c>
      <c r="I1068" s="6">
        <f>ROUND((E1068*G1068-H1068)/(1+'Settings'!$B$6/100),2)</f>
        <v>15.7</v>
      </c>
      <c r="J1068" s="8">
        <v>0.0</v>
      </c>
      <c r="K1068" s="3" t="inlineStr">
        <is>
          <t xml:space="preserve">TRUE</t>
        </is>
      </c>
      <c r="L1068" s="3"/>
    </row>
    <row r="1069">
      <c r="A1069" s="3" t="inlineStr">
        <is>
          <t xml:space="preserve">#1787</t>
        </is>
      </c>
      <c r="B1069" s="3" t="inlineStr">
        <is>
          <t xml:space="preserve">2026-09-28</t>
        </is>
      </c>
      <c r="C1069" s="3" t="inlineStr">
        <is>
          <t xml:space="preserve">SKU-A</t>
        </is>
      </c>
      <c r="D1069" s="3" t="inlineStr">
        <is>
          <t xml:space="preserve">Renewal Serum</t>
        </is>
      </c>
      <c r="E1069" s="6">
        <f>IF('Settings'!$B$11="Scenario",IFERROR(INDEX('Catalogue'!$E$3:$E$100,MATCH(C1069,'Catalogue'!$B$3:$B$100,0)),F1069),F1069)</f>
        <v>69.9</v>
      </c>
      <c r="F1069" s="8">
        <v>69.9</v>
      </c>
      <c r="G1069" s="3">
        <v>1</v>
      </c>
      <c r="H1069" s="6">
        <f>IF('Settings'!$B$11="Scenario",ROUND(E1069*G1069*IFERROR(SUMIF('Pricing &amp; promotions'!$A$6:$A$8,L1069,'Pricing &amp; promotions'!$B$6:$B$8)/100,0),2),J1069)</f>
        <v>6.99</v>
      </c>
      <c r="I1069" s="6">
        <f>ROUND((E1069*G1069-H1069)/(1+'Settings'!$B$6/100),2)</f>
        <v>51.99</v>
      </c>
      <c r="J1069" s="8">
        <v>6.99</v>
      </c>
      <c r="K1069" s="3" t="inlineStr">
        <is>
          <t xml:space="preserve">TRUE</t>
        </is>
      </c>
      <c r="L1069" s="3" t="inlineStr">
        <is>
          <t xml:space="preserve">WELCOME10</t>
        </is>
      </c>
    </row>
    <row r="1070">
      <c r="A1070" s="3" t="inlineStr">
        <is>
          <t xml:space="preserve">#1787</t>
        </is>
      </c>
      <c r="B1070" s="3" t="inlineStr">
        <is>
          <t xml:space="preserve">2026-09-28</t>
        </is>
      </c>
      <c r="C1070" s="3" t="inlineStr">
        <is>
          <t xml:space="preserve">SKU-D</t>
        </is>
      </c>
      <c r="D1070" s="3" t="inlineStr">
        <is>
          <t xml:space="preserve">Daily Duo</t>
        </is>
      </c>
      <c r="E1070" s="6">
        <f>IF('Settings'!$B$11="Scenario",IFERROR(INDEX('Catalogue'!$E$3:$E$100,MATCH(C1070,'Catalogue'!$B$3:$B$100,0)),F1070),F1070)</f>
        <v>79</v>
      </c>
      <c r="F1070" s="8">
        <v>79</v>
      </c>
      <c r="G1070" s="3">
        <v>1</v>
      </c>
      <c r="H1070" s="6">
        <f>IF('Settings'!$B$11="Scenario",ROUND(E1070*G1070*IFERROR(SUMIF('Pricing &amp; promotions'!$A$6:$A$8,L1070,'Pricing &amp; promotions'!$B$6:$B$8)/100,0),2),J1070)</f>
        <v>7.9</v>
      </c>
      <c r="I1070" s="6">
        <f>ROUND((E1070*G1070-H1070)/(1+'Settings'!$B$6/100),2)</f>
        <v>58.76</v>
      </c>
      <c r="J1070" s="8">
        <v>7.9</v>
      </c>
      <c r="K1070" s="3" t="inlineStr">
        <is>
          <t xml:space="preserve">TRUE</t>
        </is>
      </c>
      <c r="L1070" s="3" t="inlineStr">
        <is>
          <t xml:space="preserve">WELCOME10</t>
        </is>
      </c>
    </row>
    <row r="1071">
      <c r="A1071" s="3" t="inlineStr">
        <is>
          <t xml:space="preserve">#1788</t>
        </is>
      </c>
      <c r="B1071" s="3" t="inlineStr">
        <is>
          <t xml:space="preserve">2026-09-28</t>
        </is>
      </c>
      <c r="C1071" s="3" t="inlineStr">
        <is>
          <t xml:space="preserve">SKU-D</t>
        </is>
      </c>
      <c r="D1071" s="3" t="inlineStr">
        <is>
          <t xml:space="preserve">Daily Duo</t>
        </is>
      </c>
      <c r="E1071" s="6">
        <f>IF('Settings'!$B$11="Scenario",IFERROR(INDEX('Catalogue'!$E$3:$E$100,MATCH(C1071,'Catalogue'!$B$3:$B$100,0)),F1071),F1071)</f>
        <v>79</v>
      </c>
      <c r="F1071" s="8">
        <v>79</v>
      </c>
      <c r="G1071" s="3">
        <v>1</v>
      </c>
      <c r="H1071" s="6">
        <f>IF('Settings'!$B$11="Scenario",ROUND(E1071*G1071*IFERROR(SUMIF('Pricing &amp; promotions'!$A$6:$A$8,L1071,'Pricing &amp; promotions'!$B$6:$B$8)/100,0),2),J1071)</f>
        <v>0.0</v>
      </c>
      <c r="I1071" s="6">
        <f>ROUND((E1071*G1071-H1071)/(1+'Settings'!$B$6/100),2)</f>
        <v>65.29</v>
      </c>
      <c r="J1071" s="8">
        <v>0.0</v>
      </c>
      <c r="K1071" s="3" t="inlineStr">
        <is>
          <t xml:space="preserve">TRUE</t>
        </is>
      </c>
      <c r="L1071" s="3"/>
    </row>
    <row r="1072">
      <c r="A1072" s="3" t="inlineStr">
        <is>
          <t xml:space="preserve">#1789</t>
        </is>
      </c>
      <c r="B1072" s="3" t="inlineStr">
        <is>
          <t xml:space="preserve">2026-09-29</t>
        </is>
      </c>
      <c r="C1072" s="3" t="inlineStr">
        <is>
          <t xml:space="preserve">SKU-B</t>
        </is>
      </c>
      <c r="D1072" s="3" t="inlineStr">
        <is>
          <t xml:space="preserve">Barrier Balm</t>
        </is>
      </c>
      <c r="E1072" s="6">
        <f>IF('Settings'!$B$11="Scenario",IFERROR(INDEX('Catalogue'!$E$3:$E$100,MATCH(C1072,'Catalogue'!$B$3:$B$100,0)),F1072),F1072)</f>
        <v>19</v>
      </c>
      <c r="F1072" s="8">
        <v>19</v>
      </c>
      <c r="G1072" s="3">
        <v>1</v>
      </c>
      <c r="H1072" s="6">
        <f>IF('Settings'!$B$11="Scenario",ROUND(E1072*G1072*IFERROR(SUMIF('Pricing &amp; promotions'!$A$6:$A$8,L1072,'Pricing &amp; promotions'!$B$6:$B$8)/100,0),2),J1072)</f>
        <v>2.85</v>
      </c>
      <c r="I1072" s="6">
        <f>ROUND((E1072*G1072-H1072)/(1+'Settings'!$B$6/100),2)</f>
        <v>13.35</v>
      </c>
      <c r="J1072" s="8">
        <v>2.85</v>
      </c>
      <c r="K1072" s="3" t="inlineStr">
        <is>
          <t xml:space="preserve">TRUE</t>
        </is>
      </c>
      <c r="L1072" s="3" t="inlineStr">
        <is>
          <t xml:space="preserve">SUMMER15</t>
        </is>
      </c>
    </row>
    <row r="1073">
      <c r="A1073" s="3" t="inlineStr">
        <is>
          <t xml:space="preserve">#1790</t>
        </is>
      </c>
      <c r="B1073" s="3" t="inlineStr">
        <is>
          <t xml:space="preserve">2026-09-29</t>
        </is>
      </c>
      <c r="C1073" s="3" t="inlineStr">
        <is>
          <t xml:space="preserve">SKU-G</t>
        </is>
      </c>
      <c r="D1073" s="3" t="inlineStr">
        <is>
          <t xml:space="preserve">Daily Reset Set</t>
        </is>
      </c>
      <c r="E1073" s="6">
        <f>IF('Settings'!$B$11="Scenario",IFERROR(INDEX('Catalogue'!$E$3:$E$100,MATCH(C1073,'Catalogue'!$B$3:$B$100,0)),F1073),F1073)</f>
        <v>69</v>
      </c>
      <c r="F1073" s="8">
        <v>69</v>
      </c>
      <c r="G1073" s="3">
        <v>1</v>
      </c>
      <c r="H1073" s="6">
        <f>IF('Settings'!$B$11="Scenario",ROUND(E1073*G1073*IFERROR(SUMIF('Pricing &amp; promotions'!$A$6:$A$8,L1073,'Pricing &amp; promotions'!$B$6:$B$8)/100,0),2),J1073)</f>
        <v>6.9</v>
      </c>
      <c r="I1073" s="6">
        <f>ROUND((E1073*G1073-H1073)/(1+'Settings'!$B$6/100),2)</f>
        <v>51.32</v>
      </c>
      <c r="J1073" s="8">
        <v>6.9</v>
      </c>
      <c r="K1073" s="3" t="inlineStr">
        <is>
          <t xml:space="preserve">TRUE</t>
        </is>
      </c>
      <c r="L1073" s="3" t="inlineStr">
        <is>
          <t xml:space="preserve">WELCOME10</t>
        </is>
      </c>
    </row>
    <row r="1074">
      <c r="A1074" s="3" t="inlineStr">
        <is>
          <t xml:space="preserve">#1791</t>
        </is>
      </c>
      <c r="B1074" s="3" t="inlineStr">
        <is>
          <t xml:space="preserve">2026-09-29</t>
        </is>
      </c>
      <c r="C1074" s="3" t="inlineStr">
        <is>
          <t xml:space="preserve">SKU-G</t>
        </is>
      </c>
      <c r="D1074" s="3" t="inlineStr">
        <is>
          <t xml:space="preserve">Daily Reset Set</t>
        </is>
      </c>
      <c r="E1074" s="6">
        <f>IF('Settings'!$B$11="Scenario",IFERROR(INDEX('Catalogue'!$E$3:$E$100,MATCH(C1074,'Catalogue'!$B$3:$B$100,0)),F1074),F1074)</f>
        <v>69</v>
      </c>
      <c r="F1074" s="8">
        <v>69</v>
      </c>
      <c r="G1074" s="3">
        <v>1</v>
      </c>
      <c r="H1074" s="6">
        <f>IF('Settings'!$B$11="Scenario",ROUND(E1074*G1074*IFERROR(SUMIF('Pricing &amp; promotions'!$A$6:$A$8,L1074,'Pricing &amp; promotions'!$B$6:$B$8)/100,0),2),J1074)</f>
        <v>6.9</v>
      </c>
      <c r="I1074" s="6">
        <f>ROUND((E1074*G1074-H1074)/(1+'Settings'!$B$6/100),2)</f>
        <v>51.32</v>
      </c>
      <c r="J1074" s="8">
        <v>6.9</v>
      </c>
      <c r="K1074" s="3" t="inlineStr">
        <is>
          <t xml:space="preserve">TRUE</t>
        </is>
      </c>
      <c r="L1074" s="3" t="inlineStr">
        <is>
          <t xml:space="preserve">WELCOME10</t>
        </is>
      </c>
    </row>
    <row r="1075">
      <c r="A1075" s="3" t="inlineStr">
        <is>
          <t xml:space="preserve">#1792</t>
        </is>
      </c>
      <c r="B1075" s="3" t="inlineStr">
        <is>
          <t xml:space="preserve">2026-09-29</t>
        </is>
      </c>
      <c r="C1075" s="3" t="inlineStr">
        <is>
          <t xml:space="preserve">SKU-C</t>
        </is>
      </c>
      <c r="D1075" s="3" t="inlineStr">
        <is>
          <t xml:space="preserve">Contour Stone</t>
        </is>
      </c>
      <c r="E1075" s="6">
        <f>IF('Settings'!$B$11="Scenario",IFERROR(INDEX('Catalogue'!$E$3:$E$100,MATCH(C1075,'Catalogue'!$B$3:$B$100,0)),F1075),F1075)</f>
        <v>29</v>
      </c>
      <c r="F1075" s="8">
        <v>29</v>
      </c>
      <c r="G1075" s="3">
        <v>1</v>
      </c>
      <c r="H1075" s="6">
        <f>IF('Settings'!$B$11="Scenario",ROUND(E1075*G1075*IFERROR(SUMIF('Pricing &amp; promotions'!$A$6:$A$8,L1075,'Pricing &amp; promotions'!$B$6:$B$8)/100,0),2),J1075)</f>
        <v>0.0</v>
      </c>
      <c r="I1075" s="6">
        <f>ROUND((E1075*G1075-H1075)/(1+'Settings'!$B$6/100),2)</f>
        <v>23.97</v>
      </c>
      <c r="J1075" s="8">
        <v>0.0</v>
      </c>
      <c r="K1075" s="3" t="inlineStr">
        <is>
          <t xml:space="preserve">TRUE</t>
        </is>
      </c>
      <c r="L1075" s="3"/>
    </row>
    <row r="1076">
      <c r="A1076" s="3" t="inlineStr">
        <is>
          <t xml:space="preserve">#1793</t>
        </is>
      </c>
      <c r="B1076" s="3" t="inlineStr">
        <is>
          <t xml:space="preserve">2026-09-29</t>
        </is>
      </c>
      <c r="C1076" s="3" t="inlineStr">
        <is>
          <t xml:space="preserve">SKU-C</t>
        </is>
      </c>
      <c r="D1076" s="3" t="inlineStr">
        <is>
          <t xml:space="preserve">Contour Stone</t>
        </is>
      </c>
      <c r="E1076" s="6">
        <f>IF('Settings'!$B$11="Scenario",IFERROR(INDEX('Catalogue'!$E$3:$E$100,MATCH(C1076,'Catalogue'!$B$3:$B$100,0)),F1076),F1076)</f>
        <v>29</v>
      </c>
      <c r="F1076" s="8">
        <v>29</v>
      </c>
      <c r="G1076" s="3">
        <v>1</v>
      </c>
      <c r="H1076" s="6">
        <f>IF('Settings'!$B$11="Scenario",ROUND(E1076*G1076*IFERROR(SUMIF('Pricing &amp; promotions'!$A$6:$A$8,L1076,'Pricing &amp; promotions'!$B$6:$B$8)/100,0),2),J1076)</f>
        <v>0.0</v>
      </c>
      <c r="I1076" s="6">
        <f>ROUND((E1076*G1076-H1076)/(1+'Settings'!$B$6/100),2)</f>
        <v>23.97</v>
      </c>
      <c r="J1076" s="8">
        <v>0.0</v>
      </c>
      <c r="K1076" s="3" t="inlineStr">
        <is>
          <t xml:space="preserve">TRUE</t>
        </is>
      </c>
      <c r="L1076" s="3"/>
    </row>
    <row r="1077">
      <c r="A1077" s="3" t="inlineStr">
        <is>
          <t xml:space="preserve">#1793</t>
        </is>
      </c>
      <c r="B1077" s="3" t="inlineStr">
        <is>
          <t xml:space="preserve">2026-09-29</t>
        </is>
      </c>
      <c r="C1077" s="3" t="inlineStr">
        <is>
          <t xml:space="preserve">SKU-E</t>
        </is>
      </c>
      <c r="D1077" s="3" t="inlineStr">
        <is>
          <t xml:space="preserve">Complete Ritual</t>
        </is>
      </c>
      <c r="E1077" s="6">
        <f>IF('Settings'!$B$11="Scenario",IFERROR(INDEX('Catalogue'!$E$3:$E$100,MATCH(C1077,'Catalogue'!$B$3:$B$100,0)),F1077),F1077)</f>
        <v>89</v>
      </c>
      <c r="F1077" s="8">
        <v>89</v>
      </c>
      <c r="G1077" s="3">
        <v>1</v>
      </c>
      <c r="H1077" s="6">
        <f>IF('Settings'!$B$11="Scenario",ROUND(E1077*G1077*IFERROR(SUMIF('Pricing &amp; promotions'!$A$6:$A$8,L1077,'Pricing &amp; promotions'!$B$6:$B$8)/100,0),2),J1077)</f>
        <v>0.0</v>
      </c>
      <c r="I1077" s="6">
        <f>ROUND((E1077*G1077-H1077)/(1+'Settings'!$B$6/100),2)</f>
        <v>73.55</v>
      </c>
      <c r="J1077" s="8">
        <v>0.0</v>
      </c>
      <c r="K1077" s="3" t="inlineStr">
        <is>
          <t xml:space="preserve">TRUE</t>
        </is>
      </c>
      <c r="L1077" s="3"/>
    </row>
    <row r="1078">
      <c r="A1078" s="3" t="inlineStr">
        <is>
          <t xml:space="preserve">#1794</t>
        </is>
      </c>
      <c r="B1078" s="3" t="inlineStr">
        <is>
          <t xml:space="preserve">2026-09-29</t>
        </is>
      </c>
      <c r="C1078" s="3" t="inlineStr">
        <is>
          <t xml:space="preserve">SKU-A</t>
        </is>
      </c>
      <c r="D1078" s="3" t="inlineStr">
        <is>
          <t xml:space="preserve">Renewal Serum</t>
        </is>
      </c>
      <c r="E1078" s="6">
        <f>IF('Settings'!$B$11="Scenario",IFERROR(INDEX('Catalogue'!$E$3:$E$100,MATCH(C1078,'Catalogue'!$B$3:$B$100,0)),F1078),F1078)</f>
        <v>69.9</v>
      </c>
      <c r="F1078" s="8">
        <v>69.9</v>
      </c>
      <c r="G1078" s="3">
        <v>1</v>
      </c>
      <c r="H1078" s="6">
        <f>IF('Settings'!$B$11="Scenario",ROUND(E1078*G1078*IFERROR(SUMIF('Pricing &amp; promotions'!$A$6:$A$8,L1078,'Pricing &amp; promotions'!$B$6:$B$8)/100,0),2),J1078)</f>
        <v>10.49</v>
      </c>
      <c r="I1078" s="6">
        <f>ROUND((E1078*G1078-H1078)/(1+'Settings'!$B$6/100),2)</f>
        <v>49.1</v>
      </c>
      <c r="J1078" s="8">
        <v>10.49</v>
      </c>
      <c r="K1078" s="3" t="inlineStr">
        <is>
          <t xml:space="preserve">TRUE</t>
        </is>
      </c>
      <c r="L1078" s="3" t="inlineStr">
        <is>
          <t xml:space="preserve">SUMMER15</t>
        </is>
      </c>
    </row>
    <row r="1079">
      <c r="A1079" s="3" t="inlineStr">
        <is>
          <t xml:space="preserve">#1794</t>
        </is>
      </c>
      <c r="B1079" s="3" t="inlineStr">
        <is>
          <t xml:space="preserve">2026-09-29</t>
        </is>
      </c>
      <c r="C1079" s="3" t="inlineStr">
        <is>
          <t xml:space="preserve">SKU-D</t>
        </is>
      </c>
      <c r="D1079" s="3" t="inlineStr">
        <is>
          <t xml:space="preserve">Daily Duo</t>
        </is>
      </c>
      <c r="E1079" s="6">
        <f>IF('Settings'!$B$11="Scenario",IFERROR(INDEX('Catalogue'!$E$3:$E$100,MATCH(C1079,'Catalogue'!$B$3:$B$100,0)),F1079),F1079)</f>
        <v>79</v>
      </c>
      <c r="F1079" s="8">
        <v>79</v>
      </c>
      <c r="G1079" s="3">
        <v>1</v>
      </c>
      <c r="H1079" s="6">
        <f>IF('Settings'!$B$11="Scenario",ROUND(E1079*G1079*IFERROR(SUMIF('Pricing &amp; promotions'!$A$6:$A$8,L1079,'Pricing &amp; promotions'!$B$6:$B$8)/100,0),2),J1079)</f>
        <v>11.85</v>
      </c>
      <c r="I1079" s="6">
        <f>ROUND((E1079*G1079-H1079)/(1+'Settings'!$B$6/100),2)</f>
        <v>55.5</v>
      </c>
      <c r="J1079" s="8">
        <v>11.85</v>
      </c>
      <c r="K1079" s="3" t="inlineStr">
        <is>
          <t xml:space="preserve">TRUE</t>
        </is>
      </c>
      <c r="L1079" s="3" t="inlineStr">
        <is>
          <t xml:space="preserve">SUMMER15</t>
        </is>
      </c>
    </row>
    <row r="1080">
      <c r="A1080" s="3" t="inlineStr">
        <is>
          <t xml:space="preserve">#1795</t>
        </is>
      </c>
      <c r="B1080" s="3" t="inlineStr">
        <is>
          <t xml:space="preserve">2026-09-30</t>
        </is>
      </c>
      <c r="C1080" s="3" t="inlineStr">
        <is>
          <t xml:space="preserve">SKU-E</t>
        </is>
      </c>
      <c r="D1080" s="3" t="inlineStr">
        <is>
          <t xml:space="preserve">Complete Ritual</t>
        </is>
      </c>
      <c r="E1080" s="6">
        <f>IF('Settings'!$B$11="Scenario",IFERROR(INDEX('Catalogue'!$E$3:$E$100,MATCH(C1080,'Catalogue'!$B$3:$B$100,0)),F1080),F1080)</f>
        <v>89</v>
      </c>
      <c r="F1080" s="8">
        <v>89</v>
      </c>
      <c r="G1080" s="3">
        <v>1</v>
      </c>
      <c r="H1080" s="6">
        <f>IF('Settings'!$B$11="Scenario",ROUND(E1080*G1080*IFERROR(SUMIF('Pricing &amp; promotions'!$A$6:$A$8,L1080,'Pricing &amp; promotions'!$B$6:$B$8)/100,0),2),J1080)</f>
        <v>13.35</v>
      </c>
      <c r="I1080" s="6">
        <f>ROUND((E1080*G1080-H1080)/(1+'Settings'!$B$6/100),2)</f>
        <v>62.52</v>
      </c>
      <c r="J1080" s="8">
        <v>13.35</v>
      </c>
      <c r="K1080" s="3" t="inlineStr">
        <is>
          <t xml:space="preserve">TRUE</t>
        </is>
      </c>
      <c r="L1080" s="3" t="inlineStr">
        <is>
          <t xml:space="preserve">SUMMER15</t>
        </is>
      </c>
    </row>
    <row r="1081">
      <c r="A1081" s="3" t="inlineStr">
        <is>
          <t xml:space="preserve">#1796</t>
        </is>
      </c>
      <c r="B1081" s="3" t="inlineStr">
        <is>
          <t xml:space="preserve">2026-09-30</t>
        </is>
      </c>
      <c r="C1081" s="3" t="inlineStr">
        <is>
          <t xml:space="preserve">SKU-G</t>
        </is>
      </c>
      <c r="D1081" s="3" t="inlineStr">
        <is>
          <t xml:space="preserve">Daily Reset Set</t>
        </is>
      </c>
      <c r="E1081" s="6">
        <f>IF('Settings'!$B$11="Scenario",IFERROR(INDEX('Catalogue'!$E$3:$E$100,MATCH(C1081,'Catalogue'!$B$3:$B$100,0)),F1081),F1081)</f>
        <v>69</v>
      </c>
      <c r="F1081" s="8">
        <v>69</v>
      </c>
      <c r="G1081" s="3">
        <v>1</v>
      </c>
      <c r="H1081" s="6">
        <f>IF('Settings'!$B$11="Scenario",ROUND(E1081*G1081*IFERROR(SUMIF('Pricing &amp; promotions'!$A$6:$A$8,L1081,'Pricing &amp; promotions'!$B$6:$B$8)/100,0),2),J1081)</f>
        <v>0.0</v>
      </c>
      <c r="I1081" s="6">
        <f>ROUND((E1081*G1081-H1081)/(1+'Settings'!$B$6/100),2)</f>
        <v>57.02</v>
      </c>
      <c r="J1081" s="8">
        <v>0.0</v>
      </c>
      <c r="K1081" s="3" t="inlineStr">
        <is>
          <t xml:space="preserve">TRUE</t>
        </is>
      </c>
      <c r="L1081" s="3"/>
    </row>
    <row r="1082">
      <c r="A1082" s="3" t="inlineStr">
        <is>
          <t xml:space="preserve">#1797</t>
        </is>
      </c>
      <c r="B1082" s="3" t="inlineStr">
        <is>
          <t xml:space="preserve">2026-10-01</t>
        </is>
      </c>
      <c r="C1082" s="3" t="inlineStr">
        <is>
          <t xml:space="preserve">SKU-D</t>
        </is>
      </c>
      <c r="D1082" s="3" t="inlineStr">
        <is>
          <t xml:space="preserve">Daily Duo</t>
        </is>
      </c>
      <c r="E1082" s="6">
        <f>IF('Settings'!$B$11="Scenario",IFERROR(INDEX('Catalogue'!$E$3:$E$100,MATCH(C1082,'Catalogue'!$B$3:$B$100,0)),F1082),F1082)</f>
        <v>79</v>
      </c>
      <c r="F1082" s="8">
        <v>79</v>
      </c>
      <c r="G1082" s="3">
        <v>2</v>
      </c>
      <c r="H1082" s="6">
        <f>IF('Settings'!$B$11="Scenario",ROUND(E1082*G1082*IFERROR(SUMIF('Pricing &amp; promotions'!$A$6:$A$8,L1082,'Pricing &amp; promotions'!$B$6:$B$8)/100,0),2),J1082)</f>
        <v>0.0</v>
      </c>
      <c r="I1082" s="6">
        <f>ROUND((E1082*G1082-H1082)/(1+'Settings'!$B$6/100),2)</f>
        <v>130.58</v>
      </c>
      <c r="J1082" s="8">
        <v>0.0</v>
      </c>
      <c r="K1082" s="3" t="inlineStr">
        <is>
          <t xml:space="preserve">TRUE</t>
        </is>
      </c>
      <c r="L1082" s="3"/>
    </row>
    <row r="1083">
      <c r="A1083" s="3" t="inlineStr">
        <is>
          <t xml:space="preserve">#1798</t>
        </is>
      </c>
      <c r="B1083" s="3" t="inlineStr">
        <is>
          <t xml:space="preserve">2026-10-02</t>
        </is>
      </c>
      <c r="C1083" s="3" t="inlineStr">
        <is>
          <t xml:space="preserve">SKU-B</t>
        </is>
      </c>
      <c r="D1083" s="3" t="inlineStr">
        <is>
          <t xml:space="preserve">Barrier Balm</t>
        </is>
      </c>
      <c r="E1083" s="6">
        <f>IF('Settings'!$B$11="Scenario",IFERROR(INDEX('Catalogue'!$E$3:$E$100,MATCH(C1083,'Catalogue'!$B$3:$B$100,0)),F1083),F1083)</f>
        <v>19</v>
      </c>
      <c r="F1083" s="8">
        <v>19</v>
      </c>
      <c r="G1083" s="3">
        <v>2</v>
      </c>
      <c r="H1083" s="6">
        <f>IF('Settings'!$B$11="Scenario",ROUND(E1083*G1083*IFERROR(SUMIF('Pricing &amp; promotions'!$A$6:$A$8,L1083,'Pricing &amp; promotions'!$B$6:$B$8)/100,0),2),J1083)</f>
        <v>0.0</v>
      </c>
      <c r="I1083" s="6">
        <f>ROUND((E1083*G1083-H1083)/(1+'Settings'!$B$6/100),2)</f>
        <v>31.4</v>
      </c>
      <c r="J1083" s="8">
        <v>0.0</v>
      </c>
      <c r="K1083" s="3" t="inlineStr">
        <is>
          <t xml:space="preserve">TRUE</t>
        </is>
      </c>
      <c r="L1083" s="3"/>
    </row>
    <row r="1084">
      <c r="A1084" s="3" t="inlineStr">
        <is>
          <t xml:space="preserve">#1798</t>
        </is>
      </c>
      <c r="B1084" s="3" t="inlineStr">
        <is>
          <t xml:space="preserve">2026-10-02</t>
        </is>
      </c>
      <c r="C1084" s="3" t="inlineStr">
        <is>
          <t xml:space="preserve">SKU-E</t>
        </is>
      </c>
      <c r="D1084" s="3" t="inlineStr">
        <is>
          <t xml:space="preserve">Complete Ritual</t>
        </is>
      </c>
      <c r="E1084" s="6">
        <f>IF('Settings'!$B$11="Scenario",IFERROR(INDEX('Catalogue'!$E$3:$E$100,MATCH(C1084,'Catalogue'!$B$3:$B$100,0)),F1084),F1084)</f>
        <v>89</v>
      </c>
      <c r="F1084" s="8">
        <v>89</v>
      </c>
      <c r="G1084" s="3">
        <v>1</v>
      </c>
      <c r="H1084" s="6">
        <f>IF('Settings'!$B$11="Scenario",ROUND(E1084*G1084*IFERROR(SUMIF('Pricing &amp; promotions'!$A$6:$A$8,L1084,'Pricing &amp; promotions'!$B$6:$B$8)/100,0),2),J1084)</f>
        <v>0.0</v>
      </c>
      <c r="I1084" s="6">
        <f>ROUND((E1084*G1084-H1084)/(1+'Settings'!$B$6/100),2)</f>
        <v>73.55</v>
      </c>
      <c r="J1084" s="8">
        <v>0.0</v>
      </c>
      <c r="K1084" s="3" t="inlineStr">
        <is>
          <t xml:space="preserve">TRUE</t>
        </is>
      </c>
      <c r="L1084" s="3"/>
    </row>
    <row r="1085">
      <c r="A1085" s="3" t="inlineStr">
        <is>
          <t xml:space="preserve">#1799</t>
        </is>
      </c>
      <c r="B1085" s="3" t="inlineStr">
        <is>
          <t xml:space="preserve">2026-10-03</t>
        </is>
      </c>
      <c r="C1085" s="3" t="inlineStr">
        <is>
          <t xml:space="preserve">SKU-A</t>
        </is>
      </c>
      <c r="D1085" s="3" t="inlineStr">
        <is>
          <t xml:space="preserve">Renewal Serum</t>
        </is>
      </c>
      <c r="E1085" s="6">
        <f>IF('Settings'!$B$11="Scenario",IFERROR(INDEX('Catalogue'!$E$3:$E$100,MATCH(C1085,'Catalogue'!$B$3:$B$100,0)),F1085),F1085)</f>
        <v>69.9</v>
      </c>
      <c r="F1085" s="8">
        <v>69.9</v>
      </c>
      <c r="G1085" s="3">
        <v>1</v>
      </c>
      <c r="H1085" s="6">
        <f>IF('Settings'!$B$11="Scenario",ROUND(E1085*G1085*IFERROR(SUMIF('Pricing &amp; promotions'!$A$6:$A$8,L1085,'Pricing &amp; promotions'!$B$6:$B$8)/100,0),2),J1085)</f>
        <v>0.0</v>
      </c>
      <c r="I1085" s="6">
        <f>ROUND((E1085*G1085-H1085)/(1+'Settings'!$B$6/100),2)</f>
        <v>57.77</v>
      </c>
      <c r="J1085" s="8">
        <v>0.0</v>
      </c>
      <c r="K1085" s="3" t="inlineStr">
        <is>
          <t xml:space="preserve">TRUE</t>
        </is>
      </c>
      <c r="L1085" s="3"/>
    </row>
    <row r="1086">
      <c r="A1086" s="3" t="inlineStr">
        <is>
          <t xml:space="preserve">#1799</t>
        </is>
      </c>
      <c r="B1086" s="3" t="inlineStr">
        <is>
          <t xml:space="preserve">2026-10-03</t>
        </is>
      </c>
      <c r="C1086" s="3" t="inlineStr">
        <is>
          <t xml:space="preserve">SKU-D</t>
        </is>
      </c>
      <c r="D1086" s="3" t="inlineStr">
        <is>
          <t xml:space="preserve">Daily Duo</t>
        </is>
      </c>
      <c r="E1086" s="6">
        <f>IF('Settings'!$B$11="Scenario",IFERROR(INDEX('Catalogue'!$E$3:$E$100,MATCH(C1086,'Catalogue'!$B$3:$B$100,0)),F1086),F1086)</f>
        <v>79</v>
      </c>
      <c r="F1086" s="8">
        <v>79</v>
      </c>
      <c r="G1086" s="3">
        <v>2</v>
      </c>
      <c r="H1086" s="6">
        <f>IF('Settings'!$B$11="Scenario",ROUND(E1086*G1086*IFERROR(SUMIF('Pricing &amp; promotions'!$A$6:$A$8,L1086,'Pricing &amp; promotions'!$B$6:$B$8)/100,0),2),J1086)</f>
        <v>0.0</v>
      </c>
      <c r="I1086" s="6">
        <f>ROUND((E1086*G1086-H1086)/(1+'Settings'!$B$6/100),2)</f>
        <v>130.58</v>
      </c>
      <c r="J1086" s="8">
        <v>0.0</v>
      </c>
      <c r="K1086" s="3" t="inlineStr">
        <is>
          <t xml:space="preserve">TRUE</t>
        </is>
      </c>
      <c r="L1086" s="3"/>
    </row>
    <row r="1087">
      <c r="A1087" s="3" t="inlineStr">
        <is>
          <t xml:space="preserve">#1799</t>
        </is>
      </c>
      <c r="B1087" s="3" t="inlineStr">
        <is>
          <t xml:space="preserve">2026-10-03</t>
        </is>
      </c>
      <c r="C1087" s="3" t="inlineStr">
        <is>
          <t xml:space="preserve">SKU-B</t>
        </is>
      </c>
      <c r="D1087" s="3" t="inlineStr">
        <is>
          <t xml:space="preserve">Barrier Balm</t>
        </is>
      </c>
      <c r="E1087" s="6">
        <f>IF('Settings'!$B$11="Scenario",IFERROR(INDEX('Catalogue'!$E$3:$E$100,MATCH(C1087,'Catalogue'!$B$3:$B$100,0)),F1087),F1087)</f>
        <v>19</v>
      </c>
      <c r="F1087" s="8">
        <v>19</v>
      </c>
      <c r="G1087" s="3">
        <v>2</v>
      </c>
      <c r="H1087" s="6">
        <f>IF('Settings'!$B$11="Scenario",ROUND(E1087*G1087*IFERROR(SUMIF('Pricing &amp; promotions'!$A$6:$A$8,L1087,'Pricing &amp; promotions'!$B$6:$B$8)/100,0),2),J1087)</f>
        <v>0.0</v>
      </c>
      <c r="I1087" s="6">
        <f>ROUND((E1087*G1087-H1087)/(1+'Settings'!$B$6/100),2)</f>
        <v>31.4</v>
      </c>
      <c r="J1087" s="8">
        <v>0.0</v>
      </c>
      <c r="K1087" s="3" t="inlineStr">
        <is>
          <t xml:space="preserve">TRUE</t>
        </is>
      </c>
      <c r="L1087" s="3"/>
    </row>
    <row r="1088">
      <c r="A1088" s="3" t="inlineStr">
        <is>
          <t xml:space="preserve">#1800</t>
        </is>
      </c>
      <c r="B1088" s="3" t="inlineStr">
        <is>
          <t xml:space="preserve">2026-10-03</t>
        </is>
      </c>
      <c r="C1088" s="3" t="inlineStr">
        <is>
          <t xml:space="preserve">SKU-F</t>
        </is>
      </c>
      <c r="D1088" s="3" t="inlineStr">
        <is>
          <t xml:space="preserve">Cloud Cleanser</t>
        </is>
      </c>
      <c r="E1088" s="6">
        <f>IF('Settings'!$B$11="Scenario",IFERROR(INDEX('Catalogue'!$E$3:$E$100,MATCH(C1088,'Catalogue'!$B$3:$B$100,0)),F1088),F1088)</f>
        <v>34</v>
      </c>
      <c r="F1088" s="8">
        <v>34</v>
      </c>
      <c r="G1088" s="3">
        <v>1</v>
      </c>
      <c r="H1088" s="6">
        <f>IF('Settings'!$B$11="Scenario",ROUND(E1088*G1088*IFERROR(SUMIF('Pricing &amp; promotions'!$A$6:$A$8,L1088,'Pricing &amp; promotions'!$B$6:$B$8)/100,0),2),J1088)</f>
        <v>5.1</v>
      </c>
      <c r="I1088" s="6">
        <f>ROUND((E1088*G1088-H1088)/(1+'Settings'!$B$6/100),2)</f>
        <v>23.88</v>
      </c>
      <c r="J1088" s="8">
        <v>5.1</v>
      </c>
      <c r="K1088" s="3" t="inlineStr">
        <is>
          <t xml:space="preserve">TRUE</t>
        </is>
      </c>
      <c r="L1088" s="3" t="inlineStr">
        <is>
          <t xml:space="preserve">SUMMER15</t>
        </is>
      </c>
    </row>
    <row r="1089">
      <c r="A1089" s="3" t="inlineStr">
        <is>
          <t xml:space="preserve">#1801</t>
        </is>
      </c>
      <c r="B1089" s="3" t="inlineStr">
        <is>
          <t xml:space="preserve">2026-10-03</t>
        </is>
      </c>
      <c r="C1089" s="3" t="inlineStr">
        <is>
          <t xml:space="preserve">SKU-A</t>
        </is>
      </c>
      <c r="D1089" s="3" t="inlineStr">
        <is>
          <t xml:space="preserve">Renewal Serum</t>
        </is>
      </c>
      <c r="E1089" s="6">
        <f>IF('Settings'!$B$11="Scenario",IFERROR(INDEX('Catalogue'!$E$3:$E$100,MATCH(C1089,'Catalogue'!$B$3:$B$100,0)),F1089),F1089)</f>
        <v>69.9</v>
      </c>
      <c r="F1089" s="8">
        <v>69.9</v>
      </c>
      <c r="G1089" s="3">
        <v>1</v>
      </c>
      <c r="H1089" s="6">
        <f>IF('Settings'!$B$11="Scenario",ROUND(E1089*G1089*IFERROR(SUMIF('Pricing &amp; promotions'!$A$6:$A$8,L1089,'Pricing &amp; promotions'!$B$6:$B$8)/100,0),2),J1089)</f>
        <v>0.0</v>
      </c>
      <c r="I1089" s="6">
        <f>ROUND((E1089*G1089-H1089)/(1+'Settings'!$B$6/100),2)</f>
        <v>57.77</v>
      </c>
      <c r="J1089" s="8">
        <v>0.0</v>
      </c>
      <c r="K1089" s="3" t="inlineStr">
        <is>
          <t xml:space="preserve">TRUE</t>
        </is>
      </c>
      <c r="L1089" s="3"/>
    </row>
    <row r="1090">
      <c r="A1090" s="3" t="inlineStr">
        <is>
          <t xml:space="preserve">#1802</t>
        </is>
      </c>
      <c r="B1090" s="3" t="inlineStr">
        <is>
          <t xml:space="preserve">2026-10-04</t>
        </is>
      </c>
      <c r="C1090" s="3" t="inlineStr">
        <is>
          <t xml:space="preserve">SKU-E</t>
        </is>
      </c>
      <c r="D1090" s="3" t="inlineStr">
        <is>
          <t xml:space="preserve">Complete Ritual</t>
        </is>
      </c>
      <c r="E1090" s="6">
        <f>IF('Settings'!$B$11="Scenario",IFERROR(INDEX('Catalogue'!$E$3:$E$100,MATCH(C1090,'Catalogue'!$B$3:$B$100,0)),F1090),F1090)</f>
        <v>89</v>
      </c>
      <c r="F1090" s="8">
        <v>89</v>
      </c>
      <c r="G1090" s="3">
        <v>1</v>
      </c>
      <c r="H1090" s="6">
        <f>IF('Settings'!$B$11="Scenario",ROUND(E1090*G1090*IFERROR(SUMIF('Pricing &amp; promotions'!$A$6:$A$8,L1090,'Pricing &amp; promotions'!$B$6:$B$8)/100,0),2),J1090)</f>
        <v>0.0</v>
      </c>
      <c r="I1090" s="6">
        <f>ROUND((E1090*G1090-H1090)/(1+'Settings'!$B$6/100),2)</f>
        <v>73.55</v>
      </c>
      <c r="J1090" s="8">
        <v>0.0</v>
      </c>
      <c r="K1090" s="3" t="inlineStr">
        <is>
          <t xml:space="preserve">TRUE</t>
        </is>
      </c>
      <c r="L1090" s="3"/>
    </row>
    <row r="1091">
      <c r="A1091" s="3" t="inlineStr">
        <is>
          <t xml:space="preserve">#1802</t>
        </is>
      </c>
      <c r="B1091" s="3" t="inlineStr">
        <is>
          <t xml:space="preserve">2026-10-04</t>
        </is>
      </c>
      <c r="C1091" s="3" t="inlineStr">
        <is>
          <t xml:space="preserve">SKU-G</t>
        </is>
      </c>
      <c r="D1091" s="3" t="inlineStr">
        <is>
          <t xml:space="preserve">Daily Reset Set</t>
        </is>
      </c>
      <c r="E1091" s="6">
        <f>IF('Settings'!$B$11="Scenario",IFERROR(INDEX('Catalogue'!$E$3:$E$100,MATCH(C1091,'Catalogue'!$B$3:$B$100,0)),F1091),F1091)</f>
        <v>69</v>
      </c>
      <c r="F1091" s="8">
        <v>69</v>
      </c>
      <c r="G1091" s="3">
        <v>1</v>
      </c>
      <c r="H1091" s="6">
        <f>IF('Settings'!$B$11="Scenario",ROUND(E1091*G1091*IFERROR(SUMIF('Pricing &amp; promotions'!$A$6:$A$8,L1091,'Pricing &amp; promotions'!$B$6:$B$8)/100,0),2),J1091)</f>
        <v>0.0</v>
      </c>
      <c r="I1091" s="6">
        <f>ROUND((E1091*G1091-H1091)/(1+'Settings'!$B$6/100),2)</f>
        <v>57.02</v>
      </c>
      <c r="J1091" s="8">
        <v>0.0</v>
      </c>
      <c r="K1091" s="3" t="inlineStr">
        <is>
          <t xml:space="preserve">TRUE</t>
        </is>
      </c>
      <c r="L1091" s="3"/>
    </row>
    <row r="1092">
      <c r="A1092" s="3" t="inlineStr">
        <is>
          <t xml:space="preserve">#1803</t>
        </is>
      </c>
      <c r="B1092" s="3" t="inlineStr">
        <is>
          <t xml:space="preserve">2026-10-04</t>
        </is>
      </c>
      <c r="C1092" s="3" t="inlineStr">
        <is>
          <t xml:space="preserve">SKU-A</t>
        </is>
      </c>
      <c r="D1092" s="3" t="inlineStr">
        <is>
          <t xml:space="preserve">Renewal Serum</t>
        </is>
      </c>
      <c r="E1092" s="6">
        <f>IF('Settings'!$B$11="Scenario",IFERROR(INDEX('Catalogue'!$E$3:$E$100,MATCH(C1092,'Catalogue'!$B$3:$B$100,0)),F1092),F1092)</f>
        <v>69.9</v>
      </c>
      <c r="F1092" s="8">
        <v>69.9</v>
      </c>
      <c r="G1092" s="3">
        <v>1</v>
      </c>
      <c r="H1092" s="6">
        <f>IF('Settings'!$B$11="Scenario",ROUND(E1092*G1092*IFERROR(SUMIF('Pricing &amp; promotions'!$A$6:$A$8,L1092,'Pricing &amp; promotions'!$B$6:$B$8)/100,0),2),J1092)</f>
        <v>10.49</v>
      </c>
      <c r="I1092" s="6">
        <f>ROUND((E1092*G1092-H1092)/(1+'Settings'!$B$6/100),2)</f>
        <v>49.1</v>
      </c>
      <c r="J1092" s="8">
        <v>10.49</v>
      </c>
      <c r="K1092" s="3" t="inlineStr">
        <is>
          <t xml:space="preserve">TRUE</t>
        </is>
      </c>
      <c r="L1092" s="3" t="inlineStr">
        <is>
          <t xml:space="preserve">SUMMER15</t>
        </is>
      </c>
    </row>
    <row r="1093">
      <c r="A1093" s="3" t="inlineStr">
        <is>
          <t xml:space="preserve">#1804</t>
        </is>
      </c>
      <c r="B1093" s="3" t="inlineStr">
        <is>
          <t xml:space="preserve">2026-10-04</t>
        </is>
      </c>
      <c r="C1093" s="3" t="inlineStr">
        <is>
          <t xml:space="preserve">SKU-A</t>
        </is>
      </c>
      <c r="D1093" s="3" t="inlineStr">
        <is>
          <t xml:space="preserve">Renewal Serum</t>
        </is>
      </c>
      <c r="E1093" s="6">
        <f>IF('Settings'!$B$11="Scenario",IFERROR(INDEX('Catalogue'!$E$3:$E$100,MATCH(C1093,'Catalogue'!$B$3:$B$100,0)),F1093),F1093)</f>
        <v>69.9</v>
      </c>
      <c r="F1093" s="8">
        <v>69.9</v>
      </c>
      <c r="G1093" s="3">
        <v>1</v>
      </c>
      <c r="H1093" s="6">
        <f>IF('Settings'!$B$11="Scenario",ROUND(E1093*G1093*IFERROR(SUMIF('Pricing &amp; promotions'!$A$6:$A$8,L1093,'Pricing &amp; promotions'!$B$6:$B$8)/100,0),2),J1093)</f>
        <v>0.0</v>
      </c>
      <c r="I1093" s="6">
        <f>ROUND((E1093*G1093-H1093)/(1+'Settings'!$B$6/100),2)</f>
        <v>57.77</v>
      </c>
      <c r="J1093" s="8">
        <v>0.0</v>
      </c>
      <c r="K1093" s="3" t="inlineStr">
        <is>
          <t xml:space="preserve">TRUE</t>
        </is>
      </c>
      <c r="L1093" s="3"/>
    </row>
    <row r="1094">
      <c r="A1094" s="3" t="inlineStr">
        <is>
          <t xml:space="preserve">#1805</t>
        </is>
      </c>
      <c r="B1094" s="3" t="inlineStr">
        <is>
          <t xml:space="preserve">2026-10-04</t>
        </is>
      </c>
      <c r="C1094" s="3" t="inlineStr">
        <is>
          <t xml:space="preserve">SKU-D</t>
        </is>
      </c>
      <c r="D1094" s="3" t="inlineStr">
        <is>
          <t xml:space="preserve">Daily Duo</t>
        </is>
      </c>
      <c r="E1094" s="6">
        <f>IF('Settings'!$B$11="Scenario",IFERROR(INDEX('Catalogue'!$E$3:$E$100,MATCH(C1094,'Catalogue'!$B$3:$B$100,0)),F1094),F1094)</f>
        <v>79</v>
      </c>
      <c r="F1094" s="8">
        <v>79</v>
      </c>
      <c r="G1094" s="3">
        <v>1</v>
      </c>
      <c r="H1094" s="6">
        <f>IF('Settings'!$B$11="Scenario",ROUND(E1094*G1094*IFERROR(SUMIF('Pricing &amp; promotions'!$A$6:$A$8,L1094,'Pricing &amp; promotions'!$B$6:$B$8)/100,0),2),J1094)</f>
        <v>0.0</v>
      </c>
      <c r="I1094" s="6">
        <f>ROUND((E1094*G1094-H1094)/(1+'Settings'!$B$6/100),2)</f>
        <v>65.29</v>
      </c>
      <c r="J1094" s="8">
        <v>0.0</v>
      </c>
      <c r="K1094" s="3" t="inlineStr">
        <is>
          <t xml:space="preserve">TRUE</t>
        </is>
      </c>
      <c r="L1094" s="3"/>
    </row>
    <row r="1095">
      <c r="A1095" s="3" t="inlineStr">
        <is>
          <t xml:space="preserve">#1806</t>
        </is>
      </c>
      <c r="B1095" s="3" t="inlineStr">
        <is>
          <t xml:space="preserve">2026-10-06</t>
        </is>
      </c>
      <c r="C1095" s="3" t="inlineStr">
        <is>
          <t xml:space="preserve">SKU-B</t>
        </is>
      </c>
      <c r="D1095" s="3" t="inlineStr">
        <is>
          <t xml:space="preserve">Barrier Balm</t>
        </is>
      </c>
      <c r="E1095" s="6">
        <f>IF('Settings'!$B$11="Scenario",IFERROR(INDEX('Catalogue'!$E$3:$E$100,MATCH(C1095,'Catalogue'!$B$3:$B$100,0)),F1095),F1095)</f>
        <v>19</v>
      </c>
      <c r="F1095" s="8">
        <v>19</v>
      </c>
      <c r="G1095" s="3">
        <v>1</v>
      </c>
      <c r="H1095" s="6">
        <f>IF('Settings'!$B$11="Scenario",ROUND(E1095*G1095*IFERROR(SUMIF('Pricing &amp; promotions'!$A$6:$A$8,L1095,'Pricing &amp; promotions'!$B$6:$B$8)/100,0),2),J1095)</f>
        <v>0.0</v>
      </c>
      <c r="I1095" s="6">
        <f>ROUND((E1095*G1095-H1095)/(1+'Settings'!$B$6/100),2)</f>
        <v>15.7</v>
      </c>
      <c r="J1095" s="8">
        <v>0.0</v>
      </c>
      <c r="K1095" s="3" t="inlineStr">
        <is>
          <t xml:space="preserve">TRUE</t>
        </is>
      </c>
      <c r="L1095" s="3"/>
    </row>
    <row r="1096">
      <c r="A1096" s="3" t="inlineStr">
        <is>
          <t xml:space="preserve">#1807</t>
        </is>
      </c>
      <c r="B1096" s="3" t="inlineStr">
        <is>
          <t xml:space="preserve">2026-10-06</t>
        </is>
      </c>
      <c r="C1096" s="3" t="inlineStr">
        <is>
          <t xml:space="preserve">SKU-D</t>
        </is>
      </c>
      <c r="D1096" s="3" t="inlineStr">
        <is>
          <t xml:space="preserve">Daily Duo</t>
        </is>
      </c>
      <c r="E1096" s="6">
        <f>IF('Settings'!$B$11="Scenario",IFERROR(INDEX('Catalogue'!$E$3:$E$100,MATCH(C1096,'Catalogue'!$B$3:$B$100,0)),F1096),F1096)</f>
        <v>79</v>
      </c>
      <c r="F1096" s="8">
        <v>79</v>
      </c>
      <c r="G1096" s="3">
        <v>1</v>
      </c>
      <c r="H1096" s="6">
        <f>IF('Settings'!$B$11="Scenario",ROUND(E1096*G1096*IFERROR(SUMIF('Pricing &amp; promotions'!$A$6:$A$8,L1096,'Pricing &amp; promotions'!$B$6:$B$8)/100,0),2),J1096)</f>
        <v>0.0</v>
      </c>
      <c r="I1096" s="6">
        <f>ROUND((E1096*G1096-H1096)/(1+'Settings'!$B$6/100),2)</f>
        <v>65.29</v>
      </c>
      <c r="J1096" s="8">
        <v>0.0</v>
      </c>
      <c r="K1096" s="3" t="inlineStr">
        <is>
          <t xml:space="preserve">TRUE</t>
        </is>
      </c>
      <c r="L1096" s="3"/>
    </row>
    <row r="1097">
      <c r="A1097" s="3" t="inlineStr">
        <is>
          <t xml:space="preserve">#1808</t>
        </is>
      </c>
      <c r="B1097" s="3" t="inlineStr">
        <is>
          <t xml:space="preserve">2026-10-06</t>
        </is>
      </c>
      <c r="C1097" s="3" t="inlineStr">
        <is>
          <t xml:space="preserve">SKU-E</t>
        </is>
      </c>
      <c r="D1097" s="3" t="inlineStr">
        <is>
          <t xml:space="preserve">Complete Ritual</t>
        </is>
      </c>
      <c r="E1097" s="6">
        <f>IF('Settings'!$B$11="Scenario",IFERROR(INDEX('Catalogue'!$E$3:$E$100,MATCH(C1097,'Catalogue'!$B$3:$B$100,0)),F1097),F1097)</f>
        <v>89</v>
      </c>
      <c r="F1097" s="8">
        <v>89</v>
      </c>
      <c r="G1097" s="3">
        <v>1</v>
      </c>
      <c r="H1097" s="6">
        <f>IF('Settings'!$B$11="Scenario",ROUND(E1097*G1097*IFERROR(SUMIF('Pricing &amp; promotions'!$A$6:$A$8,L1097,'Pricing &amp; promotions'!$B$6:$B$8)/100,0),2),J1097)</f>
        <v>0.0</v>
      </c>
      <c r="I1097" s="6">
        <f>ROUND((E1097*G1097-H1097)/(1+'Settings'!$B$6/100),2)</f>
        <v>73.55</v>
      </c>
      <c r="J1097" s="8">
        <v>0.0</v>
      </c>
      <c r="K1097" s="3" t="inlineStr">
        <is>
          <t xml:space="preserve">TRUE</t>
        </is>
      </c>
      <c r="L1097" s="3"/>
    </row>
    <row r="1098">
      <c r="A1098" s="3" t="inlineStr">
        <is>
          <t xml:space="preserve">#1809</t>
        </is>
      </c>
      <c r="B1098" s="3" t="inlineStr">
        <is>
          <t xml:space="preserve">2026-10-07</t>
        </is>
      </c>
      <c r="C1098" s="3" t="inlineStr">
        <is>
          <t xml:space="preserve">SKU-E</t>
        </is>
      </c>
      <c r="D1098" s="3" t="inlineStr">
        <is>
          <t xml:space="preserve">Complete Ritual</t>
        </is>
      </c>
      <c r="E1098" s="6">
        <f>IF('Settings'!$B$11="Scenario",IFERROR(INDEX('Catalogue'!$E$3:$E$100,MATCH(C1098,'Catalogue'!$B$3:$B$100,0)),F1098),F1098)</f>
        <v>89</v>
      </c>
      <c r="F1098" s="8">
        <v>89</v>
      </c>
      <c r="G1098" s="3">
        <v>1</v>
      </c>
      <c r="H1098" s="6">
        <f>IF('Settings'!$B$11="Scenario",ROUND(E1098*G1098*IFERROR(SUMIF('Pricing &amp; promotions'!$A$6:$A$8,L1098,'Pricing &amp; promotions'!$B$6:$B$8)/100,0),2),J1098)</f>
        <v>13.35</v>
      </c>
      <c r="I1098" s="6">
        <f>ROUND((E1098*G1098-H1098)/(1+'Settings'!$B$6/100),2)</f>
        <v>62.52</v>
      </c>
      <c r="J1098" s="8">
        <v>13.35</v>
      </c>
      <c r="K1098" s="3" t="inlineStr">
        <is>
          <t xml:space="preserve">TRUE</t>
        </is>
      </c>
      <c r="L1098" s="3" t="inlineStr">
        <is>
          <t xml:space="preserve">SUMMER15</t>
        </is>
      </c>
    </row>
    <row r="1099">
      <c r="A1099" s="3" t="inlineStr">
        <is>
          <t xml:space="preserve">#1809</t>
        </is>
      </c>
      <c r="B1099" s="3" t="inlineStr">
        <is>
          <t xml:space="preserve">2026-10-07</t>
        </is>
      </c>
      <c r="C1099" s="3" t="inlineStr">
        <is>
          <t xml:space="preserve">SKU-A</t>
        </is>
      </c>
      <c r="D1099" s="3" t="inlineStr">
        <is>
          <t xml:space="preserve">Renewal Serum</t>
        </is>
      </c>
      <c r="E1099" s="6">
        <f>IF('Settings'!$B$11="Scenario",IFERROR(INDEX('Catalogue'!$E$3:$E$100,MATCH(C1099,'Catalogue'!$B$3:$B$100,0)),F1099),F1099)</f>
        <v>69.9</v>
      </c>
      <c r="F1099" s="8">
        <v>69.9</v>
      </c>
      <c r="G1099" s="3">
        <v>1</v>
      </c>
      <c r="H1099" s="6">
        <f>IF('Settings'!$B$11="Scenario",ROUND(E1099*G1099*IFERROR(SUMIF('Pricing &amp; promotions'!$A$6:$A$8,L1099,'Pricing &amp; promotions'!$B$6:$B$8)/100,0),2),J1099)</f>
        <v>10.49</v>
      </c>
      <c r="I1099" s="6">
        <f>ROUND((E1099*G1099-H1099)/(1+'Settings'!$B$6/100),2)</f>
        <v>49.1</v>
      </c>
      <c r="J1099" s="8">
        <v>10.49</v>
      </c>
      <c r="K1099" s="3" t="inlineStr">
        <is>
          <t xml:space="preserve">TRUE</t>
        </is>
      </c>
      <c r="L1099" s="3" t="inlineStr">
        <is>
          <t xml:space="preserve">SUMMER15</t>
        </is>
      </c>
    </row>
    <row r="1100">
      <c r="A1100" s="3" t="inlineStr">
        <is>
          <t xml:space="preserve">#1810</t>
        </is>
      </c>
      <c r="B1100" s="3" t="inlineStr">
        <is>
          <t xml:space="preserve">2026-10-07</t>
        </is>
      </c>
      <c r="C1100" s="3" t="inlineStr">
        <is>
          <t xml:space="preserve">SKU-D</t>
        </is>
      </c>
      <c r="D1100" s="3" t="inlineStr">
        <is>
          <t xml:space="preserve">Daily Duo</t>
        </is>
      </c>
      <c r="E1100" s="6">
        <f>IF('Settings'!$B$11="Scenario",IFERROR(INDEX('Catalogue'!$E$3:$E$100,MATCH(C1100,'Catalogue'!$B$3:$B$100,0)),F1100),F1100)</f>
        <v>79</v>
      </c>
      <c r="F1100" s="8">
        <v>79</v>
      </c>
      <c r="G1100" s="3">
        <v>1</v>
      </c>
      <c r="H1100" s="6">
        <f>IF('Settings'!$B$11="Scenario",ROUND(E1100*G1100*IFERROR(SUMIF('Pricing &amp; promotions'!$A$6:$A$8,L1100,'Pricing &amp; promotions'!$B$6:$B$8)/100,0),2),J1100)</f>
        <v>7.9</v>
      </c>
      <c r="I1100" s="6">
        <f>ROUND((E1100*G1100-H1100)/(1+'Settings'!$B$6/100),2)</f>
        <v>58.76</v>
      </c>
      <c r="J1100" s="8">
        <v>7.9</v>
      </c>
      <c r="K1100" s="3" t="inlineStr">
        <is>
          <t xml:space="preserve">TRUE</t>
        </is>
      </c>
      <c r="L1100" s="3" t="inlineStr">
        <is>
          <t xml:space="preserve">WELCOME10</t>
        </is>
      </c>
    </row>
    <row r="1101">
      <c r="A1101" s="3" t="inlineStr">
        <is>
          <t xml:space="preserve">#1811</t>
        </is>
      </c>
      <c r="B1101" s="3" t="inlineStr">
        <is>
          <t xml:space="preserve">2026-10-07</t>
        </is>
      </c>
      <c r="C1101" s="3" t="inlineStr">
        <is>
          <t xml:space="preserve">SKU-E</t>
        </is>
      </c>
      <c r="D1101" s="3" t="inlineStr">
        <is>
          <t xml:space="preserve">Complete Ritual</t>
        </is>
      </c>
      <c r="E1101" s="6">
        <f>IF('Settings'!$B$11="Scenario",IFERROR(INDEX('Catalogue'!$E$3:$E$100,MATCH(C1101,'Catalogue'!$B$3:$B$100,0)),F1101),F1101)</f>
        <v>89</v>
      </c>
      <c r="F1101" s="8">
        <v>89</v>
      </c>
      <c r="G1101" s="3">
        <v>1</v>
      </c>
      <c r="H1101" s="6">
        <f>IF('Settings'!$B$11="Scenario",ROUND(E1101*G1101*IFERROR(SUMIF('Pricing &amp; promotions'!$A$6:$A$8,L1101,'Pricing &amp; promotions'!$B$6:$B$8)/100,0),2),J1101)</f>
        <v>0.0</v>
      </c>
      <c r="I1101" s="6">
        <f>ROUND((E1101*G1101-H1101)/(1+'Settings'!$B$6/100),2)</f>
        <v>73.55</v>
      </c>
      <c r="J1101" s="8">
        <v>0.0</v>
      </c>
      <c r="K1101" s="3" t="inlineStr">
        <is>
          <t xml:space="preserve">TRUE</t>
        </is>
      </c>
      <c r="L1101" s="3"/>
    </row>
    <row r="1102">
      <c r="A1102" s="3" t="inlineStr">
        <is>
          <t xml:space="preserve">#1812</t>
        </is>
      </c>
      <c r="B1102" s="3" t="inlineStr">
        <is>
          <t xml:space="preserve">2026-10-07</t>
        </is>
      </c>
      <c r="C1102" s="3" t="inlineStr">
        <is>
          <t xml:space="preserve">SKU-E</t>
        </is>
      </c>
      <c r="D1102" s="3" t="inlineStr">
        <is>
          <t xml:space="preserve">Complete Ritual</t>
        </is>
      </c>
      <c r="E1102" s="6">
        <f>IF('Settings'!$B$11="Scenario",IFERROR(INDEX('Catalogue'!$E$3:$E$100,MATCH(C1102,'Catalogue'!$B$3:$B$100,0)),F1102),F1102)</f>
        <v>89</v>
      </c>
      <c r="F1102" s="8">
        <v>89</v>
      </c>
      <c r="G1102" s="3">
        <v>1</v>
      </c>
      <c r="H1102" s="6">
        <f>IF('Settings'!$B$11="Scenario",ROUND(E1102*G1102*IFERROR(SUMIF('Pricing &amp; promotions'!$A$6:$A$8,L1102,'Pricing &amp; promotions'!$B$6:$B$8)/100,0),2),J1102)</f>
        <v>0.0</v>
      </c>
      <c r="I1102" s="6">
        <f>ROUND((E1102*G1102-H1102)/(1+'Settings'!$B$6/100),2)</f>
        <v>73.55</v>
      </c>
      <c r="J1102" s="8">
        <v>0.0</v>
      </c>
      <c r="K1102" s="3" t="inlineStr">
        <is>
          <t xml:space="preserve">TRUE</t>
        </is>
      </c>
      <c r="L1102" s="3"/>
    </row>
    <row r="1103">
      <c r="A1103" s="3" t="inlineStr">
        <is>
          <t xml:space="preserve">#1812</t>
        </is>
      </c>
      <c r="B1103" s="3" t="inlineStr">
        <is>
          <t xml:space="preserve">2026-10-07</t>
        </is>
      </c>
      <c r="C1103" s="3" t="inlineStr">
        <is>
          <t xml:space="preserve">SKU-D</t>
        </is>
      </c>
      <c r="D1103" s="3" t="inlineStr">
        <is>
          <t xml:space="preserve">Daily Duo</t>
        </is>
      </c>
      <c r="E1103" s="6">
        <f>IF('Settings'!$B$11="Scenario",IFERROR(INDEX('Catalogue'!$E$3:$E$100,MATCH(C1103,'Catalogue'!$B$3:$B$100,0)),F1103),F1103)</f>
        <v>79</v>
      </c>
      <c r="F1103" s="8">
        <v>79</v>
      </c>
      <c r="G1103" s="3">
        <v>1</v>
      </c>
      <c r="H1103" s="6">
        <f>IF('Settings'!$B$11="Scenario",ROUND(E1103*G1103*IFERROR(SUMIF('Pricing &amp; promotions'!$A$6:$A$8,L1103,'Pricing &amp; promotions'!$B$6:$B$8)/100,0),2),J1103)</f>
        <v>0.0</v>
      </c>
      <c r="I1103" s="6">
        <f>ROUND((E1103*G1103-H1103)/(1+'Settings'!$B$6/100),2)</f>
        <v>65.29</v>
      </c>
      <c r="J1103" s="8">
        <v>0.0</v>
      </c>
      <c r="K1103" s="3" t="inlineStr">
        <is>
          <t xml:space="preserve">TRUE</t>
        </is>
      </c>
      <c r="L1103" s="3"/>
    </row>
    <row r="1104">
      <c r="A1104" s="3" t="inlineStr">
        <is>
          <t xml:space="preserve">#1813</t>
        </is>
      </c>
      <c r="B1104" s="3" t="inlineStr">
        <is>
          <t xml:space="preserve">2026-10-08</t>
        </is>
      </c>
      <c r="C1104" s="3" t="inlineStr">
        <is>
          <t xml:space="preserve">SKU-A</t>
        </is>
      </c>
      <c r="D1104" s="3" t="inlineStr">
        <is>
          <t xml:space="preserve">Renewal Serum</t>
        </is>
      </c>
      <c r="E1104" s="6">
        <f>IF('Settings'!$B$11="Scenario",IFERROR(INDEX('Catalogue'!$E$3:$E$100,MATCH(C1104,'Catalogue'!$B$3:$B$100,0)),F1104),F1104)</f>
        <v>69.9</v>
      </c>
      <c r="F1104" s="8">
        <v>69.9</v>
      </c>
      <c r="G1104" s="3">
        <v>1</v>
      </c>
      <c r="H1104" s="6">
        <f>IF('Settings'!$B$11="Scenario",ROUND(E1104*G1104*IFERROR(SUMIF('Pricing &amp; promotions'!$A$6:$A$8,L1104,'Pricing &amp; promotions'!$B$6:$B$8)/100,0),2),J1104)</f>
        <v>10.49</v>
      </c>
      <c r="I1104" s="6">
        <f>ROUND((E1104*G1104-H1104)/(1+'Settings'!$B$6/100),2)</f>
        <v>49.1</v>
      </c>
      <c r="J1104" s="8">
        <v>10.49</v>
      </c>
      <c r="K1104" s="3" t="inlineStr">
        <is>
          <t xml:space="preserve">TRUE</t>
        </is>
      </c>
      <c r="L1104" s="3" t="inlineStr">
        <is>
          <t xml:space="preserve">SUMMER15</t>
        </is>
      </c>
    </row>
    <row r="1105">
      <c r="A1105" s="3" t="inlineStr">
        <is>
          <t xml:space="preserve">#1813</t>
        </is>
      </c>
      <c r="B1105" s="3" t="inlineStr">
        <is>
          <t xml:space="preserve">2026-10-08</t>
        </is>
      </c>
      <c r="C1105" s="3" t="inlineStr">
        <is>
          <t xml:space="preserve">SKU-D</t>
        </is>
      </c>
      <c r="D1105" s="3" t="inlineStr">
        <is>
          <t xml:space="preserve">Daily Duo</t>
        </is>
      </c>
      <c r="E1105" s="6">
        <f>IF('Settings'!$B$11="Scenario",IFERROR(INDEX('Catalogue'!$E$3:$E$100,MATCH(C1105,'Catalogue'!$B$3:$B$100,0)),F1105),F1105)</f>
        <v>79</v>
      </c>
      <c r="F1105" s="8">
        <v>79</v>
      </c>
      <c r="G1105" s="3">
        <v>1</v>
      </c>
      <c r="H1105" s="6">
        <f>IF('Settings'!$B$11="Scenario",ROUND(E1105*G1105*IFERROR(SUMIF('Pricing &amp; promotions'!$A$6:$A$8,L1105,'Pricing &amp; promotions'!$B$6:$B$8)/100,0),2),J1105)</f>
        <v>11.85</v>
      </c>
      <c r="I1105" s="6">
        <f>ROUND((E1105*G1105-H1105)/(1+'Settings'!$B$6/100),2)</f>
        <v>55.5</v>
      </c>
      <c r="J1105" s="8">
        <v>11.85</v>
      </c>
      <c r="K1105" s="3" t="inlineStr">
        <is>
          <t xml:space="preserve">TRUE</t>
        </is>
      </c>
      <c r="L1105" s="3" t="inlineStr">
        <is>
          <t xml:space="preserve">SUMMER15</t>
        </is>
      </c>
    </row>
    <row r="1106">
      <c r="A1106" s="3" t="inlineStr">
        <is>
          <t xml:space="preserve">#1813</t>
        </is>
      </c>
      <c r="B1106" s="3" t="inlineStr">
        <is>
          <t xml:space="preserve">2026-10-08</t>
        </is>
      </c>
      <c r="C1106" s="3" t="inlineStr">
        <is>
          <t xml:space="preserve">SKU-E</t>
        </is>
      </c>
      <c r="D1106" s="3" t="inlineStr">
        <is>
          <t xml:space="preserve">Complete Ritual</t>
        </is>
      </c>
      <c r="E1106" s="6">
        <f>IF('Settings'!$B$11="Scenario",IFERROR(INDEX('Catalogue'!$E$3:$E$100,MATCH(C1106,'Catalogue'!$B$3:$B$100,0)),F1106),F1106)</f>
        <v>89</v>
      </c>
      <c r="F1106" s="8">
        <v>89</v>
      </c>
      <c r="G1106" s="3">
        <v>2</v>
      </c>
      <c r="H1106" s="6">
        <f>IF('Settings'!$B$11="Scenario",ROUND(E1106*G1106*IFERROR(SUMIF('Pricing &amp; promotions'!$A$6:$A$8,L1106,'Pricing &amp; promotions'!$B$6:$B$8)/100,0),2),J1106)</f>
        <v>26.7</v>
      </c>
      <c r="I1106" s="6">
        <f>ROUND((E1106*G1106-H1106)/(1+'Settings'!$B$6/100),2)</f>
        <v>125.04</v>
      </c>
      <c r="J1106" s="8">
        <v>26.7</v>
      </c>
      <c r="K1106" s="3" t="inlineStr">
        <is>
          <t xml:space="preserve">TRUE</t>
        </is>
      </c>
      <c r="L1106" s="3" t="inlineStr">
        <is>
          <t xml:space="preserve">SUMMER15</t>
        </is>
      </c>
    </row>
    <row r="1107">
      <c r="A1107" s="3" t="inlineStr">
        <is>
          <t xml:space="preserve">#1814</t>
        </is>
      </c>
      <c r="B1107" s="3" t="inlineStr">
        <is>
          <t xml:space="preserve">2026-10-08</t>
        </is>
      </c>
      <c r="C1107" s="3" t="inlineStr">
        <is>
          <t xml:space="preserve">SKU-A</t>
        </is>
      </c>
      <c r="D1107" s="3" t="inlineStr">
        <is>
          <t xml:space="preserve">Renewal Serum</t>
        </is>
      </c>
      <c r="E1107" s="6">
        <f>IF('Settings'!$B$11="Scenario",IFERROR(INDEX('Catalogue'!$E$3:$E$100,MATCH(C1107,'Catalogue'!$B$3:$B$100,0)),F1107),F1107)</f>
        <v>69.9</v>
      </c>
      <c r="F1107" s="8">
        <v>69.9</v>
      </c>
      <c r="G1107" s="3">
        <v>1</v>
      </c>
      <c r="H1107" s="6">
        <f>IF('Settings'!$B$11="Scenario",ROUND(E1107*G1107*IFERROR(SUMIF('Pricing &amp; promotions'!$A$6:$A$8,L1107,'Pricing &amp; promotions'!$B$6:$B$8)/100,0),2),J1107)</f>
        <v>0.0</v>
      </c>
      <c r="I1107" s="6">
        <f>ROUND((E1107*G1107-H1107)/(1+'Settings'!$B$6/100),2)</f>
        <v>57.77</v>
      </c>
      <c r="J1107" s="8">
        <v>0.0</v>
      </c>
      <c r="K1107" s="3" t="inlineStr">
        <is>
          <t xml:space="preserve">TRUE</t>
        </is>
      </c>
      <c r="L1107" s="3"/>
    </row>
    <row r="1108">
      <c r="A1108" s="3" t="inlineStr">
        <is>
          <t xml:space="preserve">#1815</t>
        </is>
      </c>
      <c r="B1108" s="3" t="inlineStr">
        <is>
          <t xml:space="preserve">2026-10-08</t>
        </is>
      </c>
      <c r="C1108" s="3" t="inlineStr">
        <is>
          <t xml:space="preserve">SKU-A</t>
        </is>
      </c>
      <c r="D1108" s="3" t="inlineStr">
        <is>
          <t xml:space="preserve">Renewal Serum</t>
        </is>
      </c>
      <c r="E1108" s="6">
        <f>IF('Settings'!$B$11="Scenario",IFERROR(INDEX('Catalogue'!$E$3:$E$100,MATCH(C1108,'Catalogue'!$B$3:$B$100,0)),F1108),F1108)</f>
        <v>69.9</v>
      </c>
      <c r="F1108" s="8">
        <v>69.9</v>
      </c>
      <c r="G1108" s="3">
        <v>1</v>
      </c>
      <c r="H1108" s="6">
        <f>IF('Settings'!$B$11="Scenario",ROUND(E1108*G1108*IFERROR(SUMIF('Pricing &amp; promotions'!$A$6:$A$8,L1108,'Pricing &amp; promotions'!$B$6:$B$8)/100,0),2),J1108)</f>
        <v>6.99</v>
      </c>
      <c r="I1108" s="6">
        <f>ROUND((E1108*G1108-H1108)/(1+'Settings'!$B$6/100),2)</f>
        <v>51.99</v>
      </c>
      <c r="J1108" s="8">
        <v>6.99</v>
      </c>
      <c r="K1108" s="3" t="inlineStr">
        <is>
          <t xml:space="preserve">TRUE</t>
        </is>
      </c>
      <c r="L1108" s="3" t="inlineStr">
        <is>
          <t xml:space="preserve">WELCOME10</t>
        </is>
      </c>
    </row>
    <row r="1109">
      <c r="A1109" s="3" t="inlineStr">
        <is>
          <t xml:space="preserve">#1815</t>
        </is>
      </c>
      <c r="B1109" s="3" t="inlineStr">
        <is>
          <t xml:space="preserve">2026-10-08</t>
        </is>
      </c>
      <c r="C1109" s="3" t="inlineStr">
        <is>
          <t xml:space="preserve">SKU-E</t>
        </is>
      </c>
      <c r="D1109" s="3" t="inlineStr">
        <is>
          <t xml:space="preserve">Complete Ritual</t>
        </is>
      </c>
      <c r="E1109" s="6">
        <f>IF('Settings'!$B$11="Scenario",IFERROR(INDEX('Catalogue'!$E$3:$E$100,MATCH(C1109,'Catalogue'!$B$3:$B$100,0)),F1109),F1109)</f>
        <v>89</v>
      </c>
      <c r="F1109" s="8">
        <v>89</v>
      </c>
      <c r="G1109" s="3">
        <v>1</v>
      </c>
      <c r="H1109" s="6">
        <f>IF('Settings'!$B$11="Scenario",ROUND(E1109*G1109*IFERROR(SUMIF('Pricing &amp; promotions'!$A$6:$A$8,L1109,'Pricing &amp; promotions'!$B$6:$B$8)/100,0),2),J1109)</f>
        <v>8.9</v>
      </c>
      <c r="I1109" s="6">
        <f>ROUND((E1109*G1109-H1109)/(1+'Settings'!$B$6/100),2)</f>
        <v>66.2</v>
      </c>
      <c r="J1109" s="8">
        <v>8.9</v>
      </c>
      <c r="K1109" s="3" t="inlineStr">
        <is>
          <t xml:space="preserve">TRUE</t>
        </is>
      </c>
      <c r="L1109" s="3" t="inlineStr">
        <is>
          <t xml:space="preserve">WELCOME10</t>
        </is>
      </c>
    </row>
    <row r="1110">
      <c r="A1110" s="3" t="inlineStr">
        <is>
          <t xml:space="preserve">#1816</t>
        </is>
      </c>
      <c r="B1110" s="3" t="inlineStr">
        <is>
          <t xml:space="preserve">2026-10-08</t>
        </is>
      </c>
      <c r="C1110" s="3" t="inlineStr">
        <is>
          <t xml:space="preserve">SKU-E</t>
        </is>
      </c>
      <c r="D1110" s="3" t="inlineStr">
        <is>
          <t xml:space="preserve">Complete Ritual</t>
        </is>
      </c>
      <c r="E1110" s="6">
        <f>IF('Settings'!$B$11="Scenario",IFERROR(INDEX('Catalogue'!$E$3:$E$100,MATCH(C1110,'Catalogue'!$B$3:$B$100,0)),F1110),F1110)</f>
        <v>89</v>
      </c>
      <c r="F1110" s="8">
        <v>89</v>
      </c>
      <c r="G1110" s="3">
        <v>2</v>
      </c>
      <c r="H1110" s="6">
        <f>IF('Settings'!$B$11="Scenario",ROUND(E1110*G1110*IFERROR(SUMIF('Pricing &amp; promotions'!$A$6:$A$8,L1110,'Pricing &amp; promotions'!$B$6:$B$8)/100,0),2),J1110)</f>
        <v>0.0</v>
      </c>
      <c r="I1110" s="6">
        <f>ROUND((E1110*G1110-H1110)/(1+'Settings'!$B$6/100),2)</f>
        <v>147.11</v>
      </c>
      <c r="J1110" s="8">
        <v>0.0</v>
      </c>
      <c r="K1110" s="3" t="inlineStr">
        <is>
          <t xml:space="preserve">TRUE</t>
        </is>
      </c>
      <c r="L1110" s="3"/>
    </row>
    <row r="1111">
      <c r="A1111" s="3" t="inlineStr">
        <is>
          <t xml:space="preserve">#1817</t>
        </is>
      </c>
      <c r="B1111" s="3" t="inlineStr">
        <is>
          <t xml:space="preserve">2026-10-09</t>
        </is>
      </c>
      <c r="C1111" s="3" t="inlineStr">
        <is>
          <t xml:space="preserve">SKU-G</t>
        </is>
      </c>
      <c r="D1111" s="3" t="inlineStr">
        <is>
          <t xml:space="preserve">Daily Reset Set</t>
        </is>
      </c>
      <c r="E1111" s="6">
        <f>IF('Settings'!$B$11="Scenario",IFERROR(INDEX('Catalogue'!$E$3:$E$100,MATCH(C1111,'Catalogue'!$B$3:$B$100,0)),F1111),F1111)</f>
        <v>69</v>
      </c>
      <c r="F1111" s="8">
        <v>69</v>
      </c>
      <c r="G1111" s="3">
        <v>1</v>
      </c>
      <c r="H1111" s="6">
        <f>IF('Settings'!$B$11="Scenario",ROUND(E1111*G1111*IFERROR(SUMIF('Pricing &amp; promotions'!$A$6:$A$8,L1111,'Pricing &amp; promotions'!$B$6:$B$8)/100,0),2),J1111)</f>
        <v>6.9</v>
      </c>
      <c r="I1111" s="6">
        <f>ROUND((E1111*G1111-H1111)/(1+'Settings'!$B$6/100),2)</f>
        <v>51.32</v>
      </c>
      <c r="J1111" s="8">
        <v>6.9</v>
      </c>
      <c r="K1111" s="3" t="inlineStr">
        <is>
          <t xml:space="preserve">TRUE</t>
        </is>
      </c>
      <c r="L1111" s="3" t="inlineStr">
        <is>
          <t xml:space="preserve">WELCOME10</t>
        </is>
      </c>
    </row>
    <row r="1112">
      <c r="A1112" s="3" t="inlineStr">
        <is>
          <t xml:space="preserve">#1818</t>
        </is>
      </c>
      <c r="B1112" s="3" t="inlineStr">
        <is>
          <t xml:space="preserve">2026-10-09</t>
        </is>
      </c>
      <c r="C1112" s="3" t="inlineStr">
        <is>
          <t xml:space="preserve">SKU-B</t>
        </is>
      </c>
      <c r="D1112" s="3" t="inlineStr">
        <is>
          <t xml:space="preserve">Barrier Balm</t>
        </is>
      </c>
      <c r="E1112" s="6">
        <f>IF('Settings'!$B$11="Scenario",IFERROR(INDEX('Catalogue'!$E$3:$E$100,MATCH(C1112,'Catalogue'!$B$3:$B$100,0)),F1112),F1112)</f>
        <v>19</v>
      </c>
      <c r="F1112" s="8">
        <v>19</v>
      </c>
      <c r="G1112" s="3">
        <v>1</v>
      </c>
      <c r="H1112" s="6">
        <f>IF('Settings'!$B$11="Scenario",ROUND(E1112*G1112*IFERROR(SUMIF('Pricing &amp; promotions'!$A$6:$A$8,L1112,'Pricing &amp; promotions'!$B$6:$B$8)/100,0),2),J1112)</f>
        <v>0.0</v>
      </c>
      <c r="I1112" s="6">
        <f>ROUND((E1112*G1112-H1112)/(1+'Settings'!$B$6/100),2)</f>
        <v>15.7</v>
      </c>
      <c r="J1112" s="8">
        <v>0.0</v>
      </c>
      <c r="K1112" s="3" t="inlineStr">
        <is>
          <t xml:space="preserve">TRUE</t>
        </is>
      </c>
      <c r="L1112" s="3"/>
    </row>
    <row r="1113">
      <c r="A1113" s="3" t="inlineStr">
        <is>
          <t xml:space="preserve">#1819</t>
        </is>
      </c>
      <c r="B1113" s="3" t="inlineStr">
        <is>
          <t xml:space="preserve">2026-10-10</t>
        </is>
      </c>
      <c r="C1113" s="3" t="inlineStr">
        <is>
          <t xml:space="preserve">SKU-E</t>
        </is>
      </c>
      <c r="D1113" s="3" t="inlineStr">
        <is>
          <t xml:space="preserve">Complete Ritual</t>
        </is>
      </c>
      <c r="E1113" s="6">
        <f>IF('Settings'!$B$11="Scenario",IFERROR(INDEX('Catalogue'!$E$3:$E$100,MATCH(C1113,'Catalogue'!$B$3:$B$100,0)),F1113),F1113)</f>
        <v>89</v>
      </c>
      <c r="F1113" s="8">
        <v>89</v>
      </c>
      <c r="G1113" s="3">
        <v>1</v>
      </c>
      <c r="H1113" s="6">
        <f>IF('Settings'!$B$11="Scenario",ROUND(E1113*G1113*IFERROR(SUMIF('Pricing &amp; promotions'!$A$6:$A$8,L1113,'Pricing &amp; promotions'!$B$6:$B$8)/100,0),2),J1113)</f>
        <v>8.9</v>
      </c>
      <c r="I1113" s="6">
        <f>ROUND((E1113*G1113-H1113)/(1+'Settings'!$B$6/100),2)</f>
        <v>66.2</v>
      </c>
      <c r="J1113" s="8">
        <v>8.9</v>
      </c>
      <c r="K1113" s="3" t="inlineStr">
        <is>
          <t xml:space="preserve">TRUE</t>
        </is>
      </c>
      <c r="L1113" s="3" t="inlineStr">
        <is>
          <t xml:space="preserve">WELCOME10</t>
        </is>
      </c>
    </row>
    <row r="1114">
      <c r="A1114" s="3" t="inlineStr">
        <is>
          <t xml:space="preserve">#1820</t>
        </is>
      </c>
      <c r="B1114" s="3" t="inlineStr">
        <is>
          <t xml:space="preserve">2026-10-10</t>
        </is>
      </c>
      <c r="C1114" s="3" t="inlineStr">
        <is>
          <t xml:space="preserve">SKU-D</t>
        </is>
      </c>
      <c r="D1114" s="3" t="inlineStr">
        <is>
          <t xml:space="preserve">Daily Duo</t>
        </is>
      </c>
      <c r="E1114" s="6">
        <f>IF('Settings'!$B$11="Scenario",IFERROR(INDEX('Catalogue'!$E$3:$E$100,MATCH(C1114,'Catalogue'!$B$3:$B$100,0)),F1114),F1114)</f>
        <v>79</v>
      </c>
      <c r="F1114" s="8">
        <v>79</v>
      </c>
      <c r="G1114" s="3">
        <v>1</v>
      </c>
      <c r="H1114" s="6">
        <f>IF('Settings'!$B$11="Scenario",ROUND(E1114*G1114*IFERROR(SUMIF('Pricing &amp; promotions'!$A$6:$A$8,L1114,'Pricing &amp; promotions'!$B$6:$B$8)/100,0),2),J1114)</f>
        <v>7.9</v>
      </c>
      <c r="I1114" s="6">
        <f>ROUND((E1114*G1114-H1114)/(1+'Settings'!$B$6/100),2)</f>
        <v>58.76</v>
      </c>
      <c r="J1114" s="8">
        <v>7.9</v>
      </c>
      <c r="K1114" s="3" t="inlineStr">
        <is>
          <t xml:space="preserve">TRUE</t>
        </is>
      </c>
      <c r="L1114" s="3" t="inlineStr">
        <is>
          <t xml:space="preserve">WELCOME10</t>
        </is>
      </c>
    </row>
    <row r="1115">
      <c r="A1115" s="3" t="inlineStr">
        <is>
          <t xml:space="preserve">#1821</t>
        </is>
      </c>
      <c r="B1115" s="3" t="inlineStr">
        <is>
          <t xml:space="preserve">2026-10-10</t>
        </is>
      </c>
      <c r="C1115" s="3" t="inlineStr">
        <is>
          <t xml:space="preserve">SKU-E</t>
        </is>
      </c>
      <c r="D1115" s="3" t="inlineStr">
        <is>
          <t xml:space="preserve">Complete Ritual</t>
        </is>
      </c>
      <c r="E1115" s="6">
        <f>IF('Settings'!$B$11="Scenario",IFERROR(INDEX('Catalogue'!$E$3:$E$100,MATCH(C1115,'Catalogue'!$B$3:$B$100,0)),F1115),F1115)</f>
        <v>89</v>
      </c>
      <c r="F1115" s="8">
        <v>89</v>
      </c>
      <c r="G1115" s="3">
        <v>1</v>
      </c>
      <c r="H1115" s="6">
        <f>IF('Settings'!$B$11="Scenario",ROUND(E1115*G1115*IFERROR(SUMIF('Pricing &amp; promotions'!$A$6:$A$8,L1115,'Pricing &amp; promotions'!$B$6:$B$8)/100,0),2),J1115)</f>
        <v>8.9</v>
      </c>
      <c r="I1115" s="6">
        <f>ROUND((E1115*G1115-H1115)/(1+'Settings'!$B$6/100),2)</f>
        <v>66.2</v>
      </c>
      <c r="J1115" s="8">
        <v>8.9</v>
      </c>
      <c r="K1115" s="3" t="inlineStr">
        <is>
          <t xml:space="preserve">TRUE</t>
        </is>
      </c>
      <c r="L1115" s="3" t="inlineStr">
        <is>
          <t xml:space="preserve">WELCOME10</t>
        </is>
      </c>
    </row>
    <row r="1116">
      <c r="A1116" s="3" t="inlineStr">
        <is>
          <t xml:space="preserve">#1822</t>
        </is>
      </c>
      <c r="B1116" s="3" t="inlineStr">
        <is>
          <t xml:space="preserve">2026-10-10</t>
        </is>
      </c>
      <c r="C1116" s="3" t="inlineStr">
        <is>
          <t xml:space="preserve">SKU-B</t>
        </is>
      </c>
      <c r="D1116" s="3" t="inlineStr">
        <is>
          <t xml:space="preserve">Barrier Balm</t>
        </is>
      </c>
      <c r="E1116" s="6">
        <f>IF('Settings'!$B$11="Scenario",IFERROR(INDEX('Catalogue'!$E$3:$E$100,MATCH(C1116,'Catalogue'!$B$3:$B$100,0)),F1116),F1116)</f>
        <v>19</v>
      </c>
      <c r="F1116" s="8">
        <v>19</v>
      </c>
      <c r="G1116" s="3">
        <v>2</v>
      </c>
      <c r="H1116" s="6">
        <f>IF('Settings'!$B$11="Scenario",ROUND(E1116*G1116*IFERROR(SUMIF('Pricing &amp; promotions'!$A$6:$A$8,L1116,'Pricing &amp; promotions'!$B$6:$B$8)/100,0),2),J1116)</f>
        <v>0.0</v>
      </c>
      <c r="I1116" s="6">
        <f>ROUND((E1116*G1116-H1116)/(1+'Settings'!$B$6/100),2)</f>
        <v>31.4</v>
      </c>
      <c r="J1116" s="8">
        <v>0.0</v>
      </c>
      <c r="K1116" s="3" t="inlineStr">
        <is>
          <t xml:space="preserve">TRUE</t>
        </is>
      </c>
      <c r="L1116" s="3"/>
    </row>
    <row r="1117">
      <c r="A1117" s="3" t="inlineStr">
        <is>
          <t xml:space="preserve">#1823</t>
        </is>
      </c>
      <c r="B1117" s="3" t="inlineStr">
        <is>
          <t xml:space="preserve">2026-10-11</t>
        </is>
      </c>
      <c r="C1117" s="3" t="inlineStr">
        <is>
          <t xml:space="preserve">SKU-D</t>
        </is>
      </c>
      <c r="D1117" s="3" t="inlineStr">
        <is>
          <t xml:space="preserve">Daily Duo</t>
        </is>
      </c>
      <c r="E1117" s="6">
        <f>IF('Settings'!$B$11="Scenario",IFERROR(INDEX('Catalogue'!$E$3:$E$100,MATCH(C1117,'Catalogue'!$B$3:$B$100,0)),F1117),F1117)</f>
        <v>79</v>
      </c>
      <c r="F1117" s="8">
        <v>79</v>
      </c>
      <c r="G1117" s="3">
        <v>1</v>
      </c>
      <c r="H1117" s="6">
        <f>IF('Settings'!$B$11="Scenario",ROUND(E1117*G1117*IFERROR(SUMIF('Pricing &amp; promotions'!$A$6:$A$8,L1117,'Pricing &amp; promotions'!$B$6:$B$8)/100,0),2),J1117)</f>
        <v>0.0</v>
      </c>
      <c r="I1117" s="6">
        <f>ROUND((E1117*G1117-H1117)/(1+'Settings'!$B$6/100),2)</f>
        <v>65.29</v>
      </c>
      <c r="J1117" s="8">
        <v>0.0</v>
      </c>
      <c r="K1117" s="3" t="inlineStr">
        <is>
          <t xml:space="preserve">TRUE</t>
        </is>
      </c>
      <c r="L1117" s="3"/>
    </row>
    <row r="1118">
      <c r="A1118" s="3" t="inlineStr">
        <is>
          <t xml:space="preserve">#1824</t>
        </is>
      </c>
      <c r="B1118" s="3" t="inlineStr">
        <is>
          <t xml:space="preserve">2026-10-11</t>
        </is>
      </c>
      <c r="C1118" s="3" t="inlineStr">
        <is>
          <t xml:space="preserve">SKU-A</t>
        </is>
      </c>
      <c r="D1118" s="3" t="inlineStr">
        <is>
          <t xml:space="preserve">Renewal Serum</t>
        </is>
      </c>
      <c r="E1118" s="6">
        <f>IF('Settings'!$B$11="Scenario",IFERROR(INDEX('Catalogue'!$E$3:$E$100,MATCH(C1118,'Catalogue'!$B$3:$B$100,0)),F1118),F1118)</f>
        <v>69.9</v>
      </c>
      <c r="F1118" s="8">
        <v>69.9</v>
      </c>
      <c r="G1118" s="3">
        <v>1</v>
      </c>
      <c r="H1118" s="6">
        <f>IF('Settings'!$B$11="Scenario",ROUND(E1118*G1118*IFERROR(SUMIF('Pricing &amp; promotions'!$A$6:$A$8,L1118,'Pricing &amp; promotions'!$B$6:$B$8)/100,0),2),J1118)</f>
        <v>0.0</v>
      </c>
      <c r="I1118" s="6">
        <f>ROUND((E1118*G1118-H1118)/(1+'Settings'!$B$6/100),2)</f>
        <v>57.77</v>
      </c>
      <c r="J1118" s="8">
        <v>0.0</v>
      </c>
      <c r="K1118" s="3" t="inlineStr">
        <is>
          <t xml:space="preserve">TRUE</t>
        </is>
      </c>
      <c r="L1118" s="3"/>
    </row>
    <row r="1119">
      <c r="A1119" s="3" t="inlineStr">
        <is>
          <t xml:space="preserve">#1824</t>
        </is>
      </c>
      <c r="B1119" s="3" t="inlineStr">
        <is>
          <t xml:space="preserve">2026-10-11</t>
        </is>
      </c>
      <c r="C1119" s="3" t="inlineStr">
        <is>
          <t xml:space="preserve">SKU-D</t>
        </is>
      </c>
      <c r="D1119" s="3" t="inlineStr">
        <is>
          <t xml:space="preserve">Daily Duo</t>
        </is>
      </c>
      <c r="E1119" s="6">
        <f>IF('Settings'!$B$11="Scenario",IFERROR(INDEX('Catalogue'!$E$3:$E$100,MATCH(C1119,'Catalogue'!$B$3:$B$100,0)),F1119),F1119)</f>
        <v>79</v>
      </c>
      <c r="F1119" s="8">
        <v>79</v>
      </c>
      <c r="G1119" s="3">
        <v>1</v>
      </c>
      <c r="H1119" s="6">
        <f>IF('Settings'!$B$11="Scenario",ROUND(E1119*G1119*IFERROR(SUMIF('Pricing &amp; promotions'!$A$6:$A$8,L1119,'Pricing &amp; promotions'!$B$6:$B$8)/100,0),2),J1119)</f>
        <v>0.0</v>
      </c>
      <c r="I1119" s="6">
        <f>ROUND((E1119*G1119-H1119)/(1+'Settings'!$B$6/100),2)</f>
        <v>65.29</v>
      </c>
      <c r="J1119" s="8">
        <v>0.0</v>
      </c>
      <c r="K1119" s="3" t="inlineStr">
        <is>
          <t xml:space="preserve">TRUE</t>
        </is>
      </c>
      <c r="L1119" s="3"/>
    </row>
    <row r="1120">
      <c r="A1120" s="3" t="inlineStr">
        <is>
          <t xml:space="preserve">#1825</t>
        </is>
      </c>
      <c r="B1120" s="3" t="inlineStr">
        <is>
          <t xml:space="preserve">2026-10-11</t>
        </is>
      </c>
      <c r="C1120" s="3" t="inlineStr">
        <is>
          <t xml:space="preserve">SKU-B</t>
        </is>
      </c>
      <c r="D1120" s="3" t="inlineStr">
        <is>
          <t xml:space="preserve">Barrier Balm</t>
        </is>
      </c>
      <c r="E1120" s="6">
        <f>IF('Settings'!$B$11="Scenario",IFERROR(INDEX('Catalogue'!$E$3:$E$100,MATCH(C1120,'Catalogue'!$B$3:$B$100,0)),F1120),F1120)</f>
        <v>19</v>
      </c>
      <c r="F1120" s="8">
        <v>19</v>
      </c>
      <c r="G1120" s="3">
        <v>1</v>
      </c>
      <c r="H1120" s="6">
        <f>IF('Settings'!$B$11="Scenario",ROUND(E1120*G1120*IFERROR(SUMIF('Pricing &amp; promotions'!$A$6:$A$8,L1120,'Pricing &amp; promotions'!$B$6:$B$8)/100,0),2),J1120)</f>
        <v>1.9</v>
      </c>
      <c r="I1120" s="6">
        <f>ROUND((E1120*G1120-H1120)/(1+'Settings'!$B$6/100),2)</f>
        <v>14.13</v>
      </c>
      <c r="J1120" s="8">
        <v>1.9</v>
      </c>
      <c r="K1120" s="3" t="inlineStr">
        <is>
          <t xml:space="preserve">TRUE</t>
        </is>
      </c>
      <c r="L1120" s="3" t="inlineStr">
        <is>
          <t xml:space="preserve">WELCOME10</t>
        </is>
      </c>
    </row>
    <row r="1121">
      <c r="A1121" s="3" t="inlineStr">
        <is>
          <t xml:space="preserve">#1826</t>
        </is>
      </c>
      <c r="B1121" s="3" t="inlineStr">
        <is>
          <t xml:space="preserve">2026-10-11</t>
        </is>
      </c>
      <c r="C1121" s="3" t="inlineStr">
        <is>
          <t xml:space="preserve">SKU-D</t>
        </is>
      </c>
      <c r="D1121" s="3" t="inlineStr">
        <is>
          <t xml:space="preserve">Daily Duo</t>
        </is>
      </c>
      <c r="E1121" s="6">
        <f>IF('Settings'!$B$11="Scenario",IFERROR(INDEX('Catalogue'!$E$3:$E$100,MATCH(C1121,'Catalogue'!$B$3:$B$100,0)),F1121),F1121)</f>
        <v>79</v>
      </c>
      <c r="F1121" s="8">
        <v>79</v>
      </c>
      <c r="G1121" s="3">
        <v>1</v>
      </c>
      <c r="H1121" s="6">
        <f>IF('Settings'!$B$11="Scenario",ROUND(E1121*G1121*IFERROR(SUMIF('Pricing &amp; promotions'!$A$6:$A$8,L1121,'Pricing &amp; promotions'!$B$6:$B$8)/100,0),2),J1121)</f>
        <v>15.8</v>
      </c>
      <c r="I1121" s="6">
        <f>ROUND((E1121*G1121-H1121)/(1+'Settings'!$B$6/100),2)</f>
        <v>52.23</v>
      </c>
      <c r="J1121" s="8">
        <v>15.8</v>
      </c>
      <c r="K1121" s="3" t="inlineStr">
        <is>
          <t xml:space="preserve">TRUE</t>
        </is>
      </c>
      <c r="L1121" s="3" t="inlineStr">
        <is>
          <t xml:space="preserve">VIP20</t>
        </is>
      </c>
    </row>
    <row r="1122">
      <c r="A1122" s="3" t="inlineStr">
        <is>
          <t xml:space="preserve">#1826</t>
        </is>
      </c>
      <c r="B1122" s="3" t="inlineStr">
        <is>
          <t xml:space="preserve">2026-10-11</t>
        </is>
      </c>
      <c r="C1122" s="3" t="inlineStr">
        <is>
          <t xml:space="preserve">SKU-A</t>
        </is>
      </c>
      <c r="D1122" s="3" t="inlineStr">
        <is>
          <t xml:space="preserve">Renewal Serum</t>
        </is>
      </c>
      <c r="E1122" s="6">
        <f>IF('Settings'!$B$11="Scenario",IFERROR(INDEX('Catalogue'!$E$3:$E$100,MATCH(C1122,'Catalogue'!$B$3:$B$100,0)),F1122),F1122)</f>
        <v>69.9</v>
      </c>
      <c r="F1122" s="8">
        <v>69.9</v>
      </c>
      <c r="G1122" s="3">
        <v>1</v>
      </c>
      <c r="H1122" s="6">
        <f>IF('Settings'!$B$11="Scenario",ROUND(E1122*G1122*IFERROR(SUMIF('Pricing &amp; promotions'!$A$6:$A$8,L1122,'Pricing &amp; promotions'!$B$6:$B$8)/100,0),2),J1122)</f>
        <v>13.98</v>
      </c>
      <c r="I1122" s="6">
        <f>ROUND((E1122*G1122-H1122)/(1+'Settings'!$B$6/100),2)</f>
        <v>46.21</v>
      </c>
      <c r="J1122" s="8">
        <v>13.98</v>
      </c>
      <c r="K1122" s="3" t="inlineStr">
        <is>
          <t xml:space="preserve">TRUE</t>
        </is>
      </c>
      <c r="L1122" s="3" t="inlineStr">
        <is>
          <t xml:space="preserve">VIP20</t>
        </is>
      </c>
    </row>
    <row r="1123">
      <c r="A1123" s="3" t="inlineStr">
        <is>
          <t xml:space="preserve">#1827</t>
        </is>
      </c>
      <c r="B1123" s="3" t="inlineStr">
        <is>
          <t xml:space="preserve">2026-10-12</t>
        </is>
      </c>
      <c r="C1123" s="3" t="inlineStr">
        <is>
          <t xml:space="preserve">SKU-F</t>
        </is>
      </c>
      <c r="D1123" s="3" t="inlineStr">
        <is>
          <t xml:space="preserve">Cloud Cleanser</t>
        </is>
      </c>
      <c r="E1123" s="6">
        <f>IF('Settings'!$B$11="Scenario",IFERROR(INDEX('Catalogue'!$E$3:$E$100,MATCH(C1123,'Catalogue'!$B$3:$B$100,0)),F1123),F1123)</f>
        <v>34</v>
      </c>
      <c r="F1123" s="8">
        <v>34</v>
      </c>
      <c r="G1123" s="3">
        <v>1</v>
      </c>
      <c r="H1123" s="6">
        <f>IF('Settings'!$B$11="Scenario",ROUND(E1123*G1123*IFERROR(SUMIF('Pricing &amp; promotions'!$A$6:$A$8,L1123,'Pricing &amp; promotions'!$B$6:$B$8)/100,0),2),J1123)</f>
        <v>0.0</v>
      </c>
      <c r="I1123" s="6">
        <f>ROUND((E1123*G1123-H1123)/(1+'Settings'!$B$6/100),2)</f>
        <v>28.1</v>
      </c>
      <c r="J1123" s="8">
        <v>0.0</v>
      </c>
      <c r="K1123" s="3" t="inlineStr">
        <is>
          <t xml:space="preserve">TRUE</t>
        </is>
      </c>
      <c r="L1123" s="3"/>
    </row>
    <row r="1124">
      <c r="A1124" s="3" t="inlineStr">
        <is>
          <t xml:space="preserve">#1828</t>
        </is>
      </c>
      <c r="B1124" s="3" t="inlineStr">
        <is>
          <t xml:space="preserve">2026-10-12</t>
        </is>
      </c>
      <c r="C1124" s="3" t="inlineStr">
        <is>
          <t xml:space="preserve">SKU-A</t>
        </is>
      </c>
      <c r="D1124" s="3" t="inlineStr">
        <is>
          <t xml:space="preserve">Renewal Serum</t>
        </is>
      </c>
      <c r="E1124" s="6">
        <f>IF('Settings'!$B$11="Scenario",IFERROR(INDEX('Catalogue'!$E$3:$E$100,MATCH(C1124,'Catalogue'!$B$3:$B$100,0)),F1124),F1124)</f>
        <v>69.9</v>
      </c>
      <c r="F1124" s="8">
        <v>69.9</v>
      </c>
      <c r="G1124" s="3">
        <v>1</v>
      </c>
      <c r="H1124" s="6">
        <f>IF('Settings'!$B$11="Scenario",ROUND(E1124*G1124*IFERROR(SUMIF('Pricing &amp; promotions'!$A$6:$A$8,L1124,'Pricing &amp; promotions'!$B$6:$B$8)/100,0),2),J1124)</f>
        <v>0.0</v>
      </c>
      <c r="I1124" s="6">
        <f>ROUND((E1124*G1124-H1124)/(1+'Settings'!$B$6/100),2)</f>
        <v>57.77</v>
      </c>
      <c r="J1124" s="8">
        <v>0.0</v>
      </c>
      <c r="K1124" s="3" t="inlineStr">
        <is>
          <t xml:space="preserve">TRUE</t>
        </is>
      </c>
      <c r="L1124" s="3"/>
    </row>
    <row r="1125">
      <c r="A1125" s="3" t="inlineStr">
        <is>
          <t xml:space="preserve">#1829</t>
        </is>
      </c>
      <c r="B1125" s="3" t="inlineStr">
        <is>
          <t xml:space="preserve">2026-10-12</t>
        </is>
      </c>
      <c r="C1125" s="3" t="inlineStr">
        <is>
          <t xml:space="preserve">SKU-B</t>
        </is>
      </c>
      <c r="D1125" s="3" t="inlineStr">
        <is>
          <t xml:space="preserve">Barrier Balm</t>
        </is>
      </c>
      <c r="E1125" s="6">
        <f>IF('Settings'!$B$11="Scenario",IFERROR(INDEX('Catalogue'!$E$3:$E$100,MATCH(C1125,'Catalogue'!$B$3:$B$100,0)),F1125),F1125)</f>
        <v>19</v>
      </c>
      <c r="F1125" s="8">
        <v>19</v>
      </c>
      <c r="G1125" s="3">
        <v>1</v>
      </c>
      <c r="H1125" s="6">
        <f>IF('Settings'!$B$11="Scenario",ROUND(E1125*G1125*IFERROR(SUMIF('Pricing &amp; promotions'!$A$6:$A$8,L1125,'Pricing &amp; promotions'!$B$6:$B$8)/100,0),2),J1125)</f>
        <v>0.0</v>
      </c>
      <c r="I1125" s="6">
        <f>ROUND((E1125*G1125-H1125)/(1+'Settings'!$B$6/100),2)</f>
        <v>15.7</v>
      </c>
      <c r="J1125" s="8">
        <v>0.0</v>
      </c>
      <c r="K1125" s="3" t="inlineStr">
        <is>
          <t xml:space="preserve">TRUE</t>
        </is>
      </c>
      <c r="L1125" s="3"/>
    </row>
    <row r="1126">
      <c r="A1126" s="3" t="inlineStr">
        <is>
          <t xml:space="preserve">#1829</t>
        </is>
      </c>
      <c r="B1126" s="3" t="inlineStr">
        <is>
          <t xml:space="preserve">2026-10-12</t>
        </is>
      </c>
      <c r="C1126" s="3" t="inlineStr">
        <is>
          <t xml:space="preserve">SKU-A</t>
        </is>
      </c>
      <c r="D1126" s="3" t="inlineStr">
        <is>
          <t xml:space="preserve">Renewal Serum</t>
        </is>
      </c>
      <c r="E1126" s="6">
        <f>IF('Settings'!$B$11="Scenario",IFERROR(INDEX('Catalogue'!$E$3:$E$100,MATCH(C1126,'Catalogue'!$B$3:$B$100,0)),F1126),F1126)</f>
        <v>69.9</v>
      </c>
      <c r="F1126" s="8">
        <v>69.9</v>
      </c>
      <c r="G1126" s="3">
        <v>1</v>
      </c>
      <c r="H1126" s="6">
        <f>IF('Settings'!$B$11="Scenario",ROUND(E1126*G1126*IFERROR(SUMIF('Pricing &amp; promotions'!$A$6:$A$8,L1126,'Pricing &amp; promotions'!$B$6:$B$8)/100,0),2),J1126)</f>
        <v>0.0</v>
      </c>
      <c r="I1126" s="6">
        <f>ROUND((E1126*G1126-H1126)/(1+'Settings'!$B$6/100),2)</f>
        <v>57.77</v>
      </c>
      <c r="J1126" s="8">
        <v>0.0</v>
      </c>
      <c r="K1126" s="3" t="inlineStr">
        <is>
          <t xml:space="preserve">TRUE</t>
        </is>
      </c>
      <c r="L1126" s="3"/>
    </row>
    <row r="1127">
      <c r="A1127" s="3" t="inlineStr">
        <is>
          <t xml:space="preserve">#1829</t>
        </is>
      </c>
      <c r="B1127" s="3" t="inlineStr">
        <is>
          <t xml:space="preserve">2026-10-12</t>
        </is>
      </c>
      <c r="C1127" s="3" t="inlineStr">
        <is>
          <t xml:space="preserve">SKU-F</t>
        </is>
      </c>
      <c r="D1127" s="3" t="inlineStr">
        <is>
          <t xml:space="preserve">Cloud Cleanser</t>
        </is>
      </c>
      <c r="E1127" s="6">
        <f>IF('Settings'!$B$11="Scenario",IFERROR(INDEX('Catalogue'!$E$3:$E$100,MATCH(C1127,'Catalogue'!$B$3:$B$100,0)),F1127),F1127)</f>
        <v>34</v>
      </c>
      <c r="F1127" s="8">
        <v>34</v>
      </c>
      <c r="G1127" s="3">
        <v>2</v>
      </c>
      <c r="H1127" s="6">
        <f>IF('Settings'!$B$11="Scenario",ROUND(E1127*G1127*IFERROR(SUMIF('Pricing &amp; promotions'!$A$6:$A$8,L1127,'Pricing &amp; promotions'!$B$6:$B$8)/100,0),2),J1127)</f>
        <v>0.0</v>
      </c>
      <c r="I1127" s="6">
        <f>ROUND((E1127*G1127-H1127)/(1+'Settings'!$B$6/100),2)</f>
        <v>56.2</v>
      </c>
      <c r="J1127" s="8">
        <v>0.0</v>
      </c>
      <c r="K1127" s="3" t="inlineStr">
        <is>
          <t xml:space="preserve">TRUE</t>
        </is>
      </c>
      <c r="L1127" s="3"/>
    </row>
    <row r="1128">
      <c r="A1128" s="3" t="inlineStr">
        <is>
          <t xml:space="preserve">#1830</t>
        </is>
      </c>
      <c r="B1128" s="3" t="inlineStr">
        <is>
          <t xml:space="preserve">2026-10-12</t>
        </is>
      </c>
      <c r="C1128" s="3" t="inlineStr">
        <is>
          <t xml:space="preserve">SKU-E</t>
        </is>
      </c>
      <c r="D1128" s="3" t="inlineStr">
        <is>
          <t xml:space="preserve">Complete Ritual</t>
        </is>
      </c>
      <c r="E1128" s="6">
        <f>IF('Settings'!$B$11="Scenario",IFERROR(INDEX('Catalogue'!$E$3:$E$100,MATCH(C1128,'Catalogue'!$B$3:$B$100,0)),F1128),F1128)</f>
        <v>89</v>
      </c>
      <c r="F1128" s="8">
        <v>89</v>
      </c>
      <c r="G1128" s="3">
        <v>1</v>
      </c>
      <c r="H1128" s="6">
        <f>IF('Settings'!$B$11="Scenario",ROUND(E1128*G1128*IFERROR(SUMIF('Pricing &amp; promotions'!$A$6:$A$8,L1128,'Pricing &amp; promotions'!$B$6:$B$8)/100,0),2),J1128)</f>
        <v>0.0</v>
      </c>
      <c r="I1128" s="6">
        <f>ROUND((E1128*G1128-H1128)/(1+'Settings'!$B$6/100),2)</f>
        <v>73.55</v>
      </c>
      <c r="J1128" s="8">
        <v>0.0</v>
      </c>
      <c r="K1128" s="3" t="inlineStr">
        <is>
          <t xml:space="preserve">TRUE</t>
        </is>
      </c>
      <c r="L1128" s="3"/>
    </row>
    <row r="1129">
      <c r="A1129" s="3" t="inlineStr">
        <is>
          <t xml:space="preserve">#1830</t>
        </is>
      </c>
      <c r="B1129" s="3" t="inlineStr">
        <is>
          <t xml:space="preserve">2026-10-12</t>
        </is>
      </c>
      <c r="C1129" s="3" t="inlineStr">
        <is>
          <t xml:space="preserve">SKU-A</t>
        </is>
      </c>
      <c r="D1129" s="3" t="inlineStr">
        <is>
          <t xml:space="preserve">Renewal Serum</t>
        </is>
      </c>
      <c r="E1129" s="6">
        <f>IF('Settings'!$B$11="Scenario",IFERROR(INDEX('Catalogue'!$E$3:$E$100,MATCH(C1129,'Catalogue'!$B$3:$B$100,0)),F1129),F1129)</f>
        <v>69.9</v>
      </c>
      <c r="F1129" s="8">
        <v>69.9</v>
      </c>
      <c r="G1129" s="3">
        <v>1</v>
      </c>
      <c r="H1129" s="6">
        <f>IF('Settings'!$B$11="Scenario",ROUND(E1129*G1129*IFERROR(SUMIF('Pricing &amp; promotions'!$A$6:$A$8,L1129,'Pricing &amp; promotions'!$B$6:$B$8)/100,0),2),J1129)</f>
        <v>0.0</v>
      </c>
      <c r="I1129" s="6">
        <f>ROUND((E1129*G1129-H1129)/(1+'Settings'!$B$6/100),2)</f>
        <v>57.77</v>
      </c>
      <c r="J1129" s="8">
        <v>0.0</v>
      </c>
      <c r="K1129" s="3" t="inlineStr">
        <is>
          <t xml:space="preserve">TRUE</t>
        </is>
      </c>
      <c r="L1129" s="3"/>
    </row>
    <row r="1130">
      <c r="A1130" s="3" t="inlineStr">
        <is>
          <t xml:space="preserve">#1831</t>
        </is>
      </c>
      <c r="B1130" s="3" t="inlineStr">
        <is>
          <t xml:space="preserve">2026-10-13</t>
        </is>
      </c>
      <c r="C1130" s="3" t="inlineStr">
        <is>
          <t xml:space="preserve">SKU-C</t>
        </is>
      </c>
      <c r="D1130" s="3" t="inlineStr">
        <is>
          <t xml:space="preserve">Contour Stone</t>
        </is>
      </c>
      <c r="E1130" s="6">
        <f>IF('Settings'!$B$11="Scenario",IFERROR(INDEX('Catalogue'!$E$3:$E$100,MATCH(C1130,'Catalogue'!$B$3:$B$100,0)),F1130),F1130)</f>
        <v>29</v>
      </c>
      <c r="F1130" s="8">
        <v>29</v>
      </c>
      <c r="G1130" s="3">
        <v>1</v>
      </c>
      <c r="H1130" s="6">
        <f>IF('Settings'!$B$11="Scenario",ROUND(E1130*G1130*IFERROR(SUMIF('Pricing &amp; promotions'!$A$6:$A$8,L1130,'Pricing &amp; promotions'!$B$6:$B$8)/100,0),2),J1130)</f>
        <v>0.0</v>
      </c>
      <c r="I1130" s="6">
        <f>ROUND((E1130*G1130-H1130)/(1+'Settings'!$B$6/100),2)</f>
        <v>23.97</v>
      </c>
      <c r="J1130" s="8">
        <v>0.0</v>
      </c>
      <c r="K1130" s="3" t="inlineStr">
        <is>
          <t xml:space="preserve">TRUE</t>
        </is>
      </c>
      <c r="L1130" s="3"/>
    </row>
    <row r="1131">
      <c r="A1131" s="3" t="inlineStr">
        <is>
          <t xml:space="preserve">#1832</t>
        </is>
      </c>
      <c r="B1131" s="3" t="inlineStr">
        <is>
          <t xml:space="preserve">2026-10-14</t>
        </is>
      </c>
      <c r="C1131" s="3" t="inlineStr">
        <is>
          <t xml:space="preserve">SKU-D</t>
        </is>
      </c>
      <c r="D1131" s="3" t="inlineStr">
        <is>
          <t xml:space="preserve">Daily Duo</t>
        </is>
      </c>
      <c r="E1131" s="6">
        <f>IF('Settings'!$B$11="Scenario",IFERROR(INDEX('Catalogue'!$E$3:$E$100,MATCH(C1131,'Catalogue'!$B$3:$B$100,0)),F1131),F1131)</f>
        <v>79</v>
      </c>
      <c r="F1131" s="8">
        <v>79</v>
      </c>
      <c r="G1131" s="3">
        <v>2</v>
      </c>
      <c r="H1131" s="6">
        <f>IF('Settings'!$B$11="Scenario",ROUND(E1131*G1131*IFERROR(SUMIF('Pricing &amp; promotions'!$A$6:$A$8,L1131,'Pricing &amp; promotions'!$B$6:$B$8)/100,0),2),J1131)</f>
        <v>15.8</v>
      </c>
      <c r="I1131" s="6">
        <f>ROUND((E1131*G1131-H1131)/(1+'Settings'!$B$6/100),2)</f>
        <v>117.52</v>
      </c>
      <c r="J1131" s="8">
        <v>15.8</v>
      </c>
      <c r="K1131" s="3" t="inlineStr">
        <is>
          <t xml:space="preserve">TRUE</t>
        </is>
      </c>
      <c r="L1131" s="3" t="inlineStr">
        <is>
          <t xml:space="preserve">WELCOME10</t>
        </is>
      </c>
    </row>
    <row r="1132">
      <c r="A1132" s="3" t="inlineStr">
        <is>
          <t xml:space="preserve">#1832</t>
        </is>
      </c>
      <c r="B1132" s="3" t="inlineStr">
        <is>
          <t xml:space="preserve">2026-10-14</t>
        </is>
      </c>
      <c r="C1132" s="3" t="inlineStr">
        <is>
          <t xml:space="preserve">SKU-A</t>
        </is>
      </c>
      <c r="D1132" s="3" t="inlineStr">
        <is>
          <t xml:space="preserve">Renewal Serum</t>
        </is>
      </c>
      <c r="E1132" s="6">
        <f>IF('Settings'!$B$11="Scenario",IFERROR(INDEX('Catalogue'!$E$3:$E$100,MATCH(C1132,'Catalogue'!$B$3:$B$100,0)),F1132),F1132)</f>
        <v>69.9</v>
      </c>
      <c r="F1132" s="8">
        <v>69.9</v>
      </c>
      <c r="G1132" s="3">
        <v>1</v>
      </c>
      <c r="H1132" s="6">
        <f>IF('Settings'!$B$11="Scenario",ROUND(E1132*G1132*IFERROR(SUMIF('Pricing &amp; promotions'!$A$6:$A$8,L1132,'Pricing &amp; promotions'!$B$6:$B$8)/100,0),2),J1132)</f>
        <v>6.99</v>
      </c>
      <c r="I1132" s="6">
        <f>ROUND((E1132*G1132-H1132)/(1+'Settings'!$B$6/100),2)</f>
        <v>51.99</v>
      </c>
      <c r="J1132" s="8">
        <v>6.99</v>
      </c>
      <c r="K1132" s="3" t="inlineStr">
        <is>
          <t xml:space="preserve">TRUE</t>
        </is>
      </c>
      <c r="L1132" s="3" t="inlineStr">
        <is>
          <t xml:space="preserve">WELCOME10</t>
        </is>
      </c>
    </row>
    <row r="1133">
      <c r="A1133" s="3" t="inlineStr">
        <is>
          <t xml:space="preserve">#1833</t>
        </is>
      </c>
      <c r="B1133" s="3" t="inlineStr">
        <is>
          <t xml:space="preserve">2026-10-14</t>
        </is>
      </c>
      <c r="C1133" s="3" t="inlineStr">
        <is>
          <t xml:space="preserve">SKU-A</t>
        </is>
      </c>
      <c r="D1133" s="3" t="inlineStr">
        <is>
          <t xml:space="preserve">Renewal Serum</t>
        </is>
      </c>
      <c r="E1133" s="6">
        <f>IF('Settings'!$B$11="Scenario",IFERROR(INDEX('Catalogue'!$E$3:$E$100,MATCH(C1133,'Catalogue'!$B$3:$B$100,0)),F1133),F1133)</f>
        <v>69.9</v>
      </c>
      <c r="F1133" s="8">
        <v>69.9</v>
      </c>
      <c r="G1133" s="3">
        <v>1</v>
      </c>
      <c r="H1133" s="6">
        <f>IF('Settings'!$B$11="Scenario",ROUND(E1133*G1133*IFERROR(SUMIF('Pricing &amp; promotions'!$A$6:$A$8,L1133,'Pricing &amp; promotions'!$B$6:$B$8)/100,0),2),J1133)</f>
        <v>10.49</v>
      </c>
      <c r="I1133" s="6">
        <f>ROUND((E1133*G1133-H1133)/(1+'Settings'!$B$6/100),2)</f>
        <v>49.1</v>
      </c>
      <c r="J1133" s="8">
        <v>10.49</v>
      </c>
      <c r="K1133" s="3" t="inlineStr">
        <is>
          <t xml:space="preserve">TRUE</t>
        </is>
      </c>
      <c r="L1133" s="3" t="inlineStr">
        <is>
          <t xml:space="preserve">SUMMER15</t>
        </is>
      </c>
    </row>
    <row r="1134">
      <c r="A1134" s="3" t="inlineStr">
        <is>
          <t xml:space="preserve">#1834</t>
        </is>
      </c>
      <c r="B1134" s="3" t="inlineStr">
        <is>
          <t xml:space="preserve">2026-10-14</t>
        </is>
      </c>
      <c r="C1134" s="3" t="inlineStr">
        <is>
          <t xml:space="preserve">SKU-D</t>
        </is>
      </c>
      <c r="D1134" s="3" t="inlineStr">
        <is>
          <t xml:space="preserve">Daily Duo</t>
        </is>
      </c>
      <c r="E1134" s="6">
        <f>IF('Settings'!$B$11="Scenario",IFERROR(INDEX('Catalogue'!$E$3:$E$100,MATCH(C1134,'Catalogue'!$B$3:$B$100,0)),F1134),F1134)</f>
        <v>79</v>
      </c>
      <c r="F1134" s="8">
        <v>79</v>
      </c>
      <c r="G1134" s="3">
        <v>1</v>
      </c>
      <c r="H1134" s="6">
        <f>IF('Settings'!$B$11="Scenario",ROUND(E1134*G1134*IFERROR(SUMIF('Pricing &amp; promotions'!$A$6:$A$8,L1134,'Pricing &amp; promotions'!$B$6:$B$8)/100,0),2),J1134)</f>
        <v>0.0</v>
      </c>
      <c r="I1134" s="6">
        <f>ROUND((E1134*G1134-H1134)/(1+'Settings'!$B$6/100),2)</f>
        <v>65.29</v>
      </c>
      <c r="J1134" s="8">
        <v>0.0</v>
      </c>
      <c r="K1134" s="3" t="inlineStr">
        <is>
          <t xml:space="preserve">TRUE</t>
        </is>
      </c>
      <c r="L1134" s="3"/>
    </row>
    <row r="1135">
      <c r="A1135" s="3" t="inlineStr">
        <is>
          <t xml:space="preserve">#1835</t>
        </is>
      </c>
      <c r="B1135" s="3" t="inlineStr">
        <is>
          <t xml:space="preserve">2026-10-15</t>
        </is>
      </c>
      <c r="C1135" s="3" t="inlineStr">
        <is>
          <t xml:space="preserve">SKU-F</t>
        </is>
      </c>
      <c r="D1135" s="3" t="inlineStr">
        <is>
          <t xml:space="preserve">Cloud Cleanser</t>
        </is>
      </c>
      <c r="E1135" s="6">
        <f>IF('Settings'!$B$11="Scenario",IFERROR(INDEX('Catalogue'!$E$3:$E$100,MATCH(C1135,'Catalogue'!$B$3:$B$100,0)),F1135),F1135)</f>
        <v>34</v>
      </c>
      <c r="F1135" s="8">
        <v>34</v>
      </c>
      <c r="G1135" s="3">
        <v>1</v>
      </c>
      <c r="H1135" s="6">
        <f>IF('Settings'!$B$11="Scenario",ROUND(E1135*G1135*IFERROR(SUMIF('Pricing &amp; promotions'!$A$6:$A$8,L1135,'Pricing &amp; promotions'!$B$6:$B$8)/100,0),2),J1135)</f>
        <v>0.0</v>
      </c>
      <c r="I1135" s="6">
        <f>ROUND((E1135*G1135-H1135)/(1+'Settings'!$B$6/100),2)</f>
        <v>28.1</v>
      </c>
      <c r="J1135" s="8">
        <v>0.0</v>
      </c>
      <c r="K1135" s="3" t="inlineStr">
        <is>
          <t xml:space="preserve">TRUE</t>
        </is>
      </c>
      <c r="L1135" s="3"/>
    </row>
    <row r="1136">
      <c r="A1136" s="3" t="inlineStr">
        <is>
          <t xml:space="preserve">#1835</t>
        </is>
      </c>
      <c r="B1136" s="3" t="inlineStr">
        <is>
          <t xml:space="preserve">2026-10-15</t>
        </is>
      </c>
      <c r="C1136" s="3" t="inlineStr">
        <is>
          <t xml:space="preserve">SKU-A</t>
        </is>
      </c>
      <c r="D1136" s="3" t="inlineStr">
        <is>
          <t xml:space="preserve">Renewal Serum</t>
        </is>
      </c>
      <c r="E1136" s="6">
        <f>IF('Settings'!$B$11="Scenario",IFERROR(INDEX('Catalogue'!$E$3:$E$100,MATCH(C1136,'Catalogue'!$B$3:$B$100,0)),F1136),F1136)</f>
        <v>69.9</v>
      </c>
      <c r="F1136" s="8">
        <v>69.9</v>
      </c>
      <c r="G1136" s="3">
        <v>2</v>
      </c>
      <c r="H1136" s="6">
        <f>IF('Settings'!$B$11="Scenario",ROUND(E1136*G1136*IFERROR(SUMIF('Pricing &amp; promotions'!$A$6:$A$8,L1136,'Pricing &amp; promotions'!$B$6:$B$8)/100,0),2),J1136)</f>
        <v>0.0</v>
      </c>
      <c r="I1136" s="6">
        <f>ROUND((E1136*G1136-H1136)/(1+'Settings'!$B$6/100),2)</f>
        <v>115.54</v>
      </c>
      <c r="J1136" s="8">
        <v>0.0</v>
      </c>
      <c r="K1136" s="3" t="inlineStr">
        <is>
          <t xml:space="preserve">TRUE</t>
        </is>
      </c>
      <c r="L1136" s="3"/>
    </row>
    <row r="1137">
      <c r="A1137" s="3" t="inlineStr">
        <is>
          <t xml:space="preserve">#1836</t>
        </is>
      </c>
      <c r="B1137" s="3" t="inlineStr">
        <is>
          <t xml:space="preserve">2026-10-16</t>
        </is>
      </c>
      <c r="C1137" s="3" t="inlineStr">
        <is>
          <t xml:space="preserve">SKU-A</t>
        </is>
      </c>
      <c r="D1137" s="3" t="inlineStr">
        <is>
          <t xml:space="preserve">Renewal Serum</t>
        </is>
      </c>
      <c r="E1137" s="6">
        <f>IF('Settings'!$B$11="Scenario",IFERROR(INDEX('Catalogue'!$E$3:$E$100,MATCH(C1137,'Catalogue'!$B$3:$B$100,0)),F1137),F1137)</f>
        <v>69.9</v>
      </c>
      <c r="F1137" s="8">
        <v>69.9</v>
      </c>
      <c r="G1137" s="3">
        <v>2</v>
      </c>
      <c r="H1137" s="6">
        <f>IF('Settings'!$B$11="Scenario",ROUND(E1137*G1137*IFERROR(SUMIF('Pricing &amp; promotions'!$A$6:$A$8,L1137,'Pricing &amp; promotions'!$B$6:$B$8)/100,0),2),J1137)</f>
        <v>0.0</v>
      </c>
      <c r="I1137" s="6">
        <f>ROUND((E1137*G1137-H1137)/(1+'Settings'!$B$6/100),2)</f>
        <v>115.54</v>
      </c>
      <c r="J1137" s="8">
        <v>0.0</v>
      </c>
      <c r="K1137" s="3" t="inlineStr">
        <is>
          <t xml:space="preserve">TRUE</t>
        </is>
      </c>
      <c r="L1137" s="3"/>
    </row>
    <row r="1138">
      <c r="A1138" s="3" t="inlineStr">
        <is>
          <t xml:space="preserve">#1837</t>
        </is>
      </c>
      <c r="B1138" s="3" t="inlineStr">
        <is>
          <t xml:space="preserve">2026-10-16</t>
        </is>
      </c>
      <c r="C1138" s="3" t="inlineStr">
        <is>
          <t xml:space="preserve">SKU-B</t>
        </is>
      </c>
      <c r="D1138" s="3" t="inlineStr">
        <is>
          <t xml:space="preserve">Barrier Balm</t>
        </is>
      </c>
      <c r="E1138" s="6">
        <f>IF('Settings'!$B$11="Scenario",IFERROR(INDEX('Catalogue'!$E$3:$E$100,MATCH(C1138,'Catalogue'!$B$3:$B$100,0)),F1138),F1138)</f>
        <v>19</v>
      </c>
      <c r="F1138" s="8">
        <v>19</v>
      </c>
      <c r="G1138" s="3">
        <v>1</v>
      </c>
      <c r="H1138" s="6">
        <f>IF('Settings'!$B$11="Scenario",ROUND(E1138*G1138*IFERROR(SUMIF('Pricing &amp; promotions'!$A$6:$A$8,L1138,'Pricing &amp; promotions'!$B$6:$B$8)/100,0),2),J1138)</f>
        <v>0.0</v>
      </c>
      <c r="I1138" s="6">
        <f>ROUND((E1138*G1138-H1138)/(1+'Settings'!$B$6/100),2)</f>
        <v>15.7</v>
      </c>
      <c r="J1138" s="8">
        <v>0.0</v>
      </c>
      <c r="K1138" s="3" t="inlineStr">
        <is>
          <t xml:space="preserve">TRUE</t>
        </is>
      </c>
      <c r="L1138" s="3"/>
    </row>
    <row r="1139">
      <c r="A1139" s="3" t="inlineStr">
        <is>
          <t xml:space="preserve">#1838</t>
        </is>
      </c>
      <c r="B1139" s="3" t="inlineStr">
        <is>
          <t xml:space="preserve">2026-10-16</t>
        </is>
      </c>
      <c r="C1139" s="3" t="inlineStr">
        <is>
          <t xml:space="preserve">SKU-E</t>
        </is>
      </c>
      <c r="D1139" s="3" t="inlineStr">
        <is>
          <t xml:space="preserve">Complete Ritual</t>
        </is>
      </c>
      <c r="E1139" s="6">
        <f>IF('Settings'!$B$11="Scenario",IFERROR(INDEX('Catalogue'!$E$3:$E$100,MATCH(C1139,'Catalogue'!$B$3:$B$100,0)),F1139),F1139)</f>
        <v>89</v>
      </c>
      <c r="F1139" s="8">
        <v>89</v>
      </c>
      <c r="G1139" s="3">
        <v>1</v>
      </c>
      <c r="H1139" s="6">
        <f>IF('Settings'!$B$11="Scenario",ROUND(E1139*G1139*IFERROR(SUMIF('Pricing &amp; promotions'!$A$6:$A$8,L1139,'Pricing &amp; promotions'!$B$6:$B$8)/100,0),2),J1139)</f>
        <v>13.35</v>
      </c>
      <c r="I1139" s="6">
        <f>ROUND((E1139*G1139-H1139)/(1+'Settings'!$B$6/100),2)</f>
        <v>62.52</v>
      </c>
      <c r="J1139" s="8">
        <v>13.35</v>
      </c>
      <c r="K1139" s="3" t="inlineStr">
        <is>
          <t xml:space="preserve">TRUE</t>
        </is>
      </c>
      <c r="L1139" s="3" t="inlineStr">
        <is>
          <t xml:space="preserve">SUMMER15</t>
        </is>
      </c>
    </row>
    <row r="1140">
      <c r="A1140" s="3" t="inlineStr">
        <is>
          <t xml:space="preserve">#1838</t>
        </is>
      </c>
      <c r="B1140" s="3" t="inlineStr">
        <is>
          <t xml:space="preserve">2026-10-16</t>
        </is>
      </c>
      <c r="C1140" s="3" t="inlineStr">
        <is>
          <t xml:space="preserve">SKU-D</t>
        </is>
      </c>
      <c r="D1140" s="3" t="inlineStr">
        <is>
          <t xml:space="preserve">Daily Duo</t>
        </is>
      </c>
      <c r="E1140" s="6">
        <f>IF('Settings'!$B$11="Scenario",IFERROR(INDEX('Catalogue'!$E$3:$E$100,MATCH(C1140,'Catalogue'!$B$3:$B$100,0)),F1140),F1140)</f>
        <v>79</v>
      </c>
      <c r="F1140" s="8">
        <v>79</v>
      </c>
      <c r="G1140" s="3">
        <v>2</v>
      </c>
      <c r="H1140" s="6">
        <f>IF('Settings'!$B$11="Scenario",ROUND(E1140*G1140*IFERROR(SUMIF('Pricing &amp; promotions'!$A$6:$A$8,L1140,'Pricing &amp; promotions'!$B$6:$B$8)/100,0),2),J1140)</f>
        <v>23.7</v>
      </c>
      <c r="I1140" s="6">
        <f>ROUND((E1140*G1140-H1140)/(1+'Settings'!$B$6/100),2)</f>
        <v>110.99</v>
      </c>
      <c r="J1140" s="8">
        <v>23.7</v>
      </c>
      <c r="K1140" s="3" t="inlineStr">
        <is>
          <t xml:space="preserve">TRUE</t>
        </is>
      </c>
      <c r="L1140" s="3" t="inlineStr">
        <is>
          <t xml:space="preserve">SUMMER15</t>
        </is>
      </c>
    </row>
    <row r="1141">
      <c r="A1141" s="3" t="inlineStr">
        <is>
          <t xml:space="preserve">#1839</t>
        </is>
      </c>
      <c r="B1141" s="3" t="inlineStr">
        <is>
          <t xml:space="preserve">2026-10-16</t>
        </is>
      </c>
      <c r="C1141" s="3" t="inlineStr">
        <is>
          <t xml:space="preserve">SKU-E</t>
        </is>
      </c>
      <c r="D1141" s="3" t="inlineStr">
        <is>
          <t xml:space="preserve">Complete Ritual</t>
        </is>
      </c>
      <c r="E1141" s="6">
        <f>IF('Settings'!$B$11="Scenario",IFERROR(INDEX('Catalogue'!$E$3:$E$100,MATCH(C1141,'Catalogue'!$B$3:$B$100,0)),F1141),F1141)</f>
        <v>89</v>
      </c>
      <c r="F1141" s="8">
        <v>89</v>
      </c>
      <c r="G1141" s="3">
        <v>1</v>
      </c>
      <c r="H1141" s="6">
        <f>IF('Settings'!$B$11="Scenario",ROUND(E1141*G1141*IFERROR(SUMIF('Pricing &amp; promotions'!$A$6:$A$8,L1141,'Pricing &amp; promotions'!$B$6:$B$8)/100,0),2),J1141)</f>
        <v>0.0</v>
      </c>
      <c r="I1141" s="6">
        <f>ROUND((E1141*G1141-H1141)/(1+'Settings'!$B$6/100),2)</f>
        <v>73.55</v>
      </c>
      <c r="J1141" s="8">
        <v>0.0</v>
      </c>
      <c r="K1141" s="3" t="inlineStr">
        <is>
          <t xml:space="preserve">TRUE</t>
        </is>
      </c>
      <c r="L1141" s="3"/>
    </row>
    <row r="1142">
      <c r="A1142" s="3" t="inlineStr">
        <is>
          <t xml:space="preserve">#1840</t>
        </is>
      </c>
      <c r="B1142" s="3" t="inlineStr">
        <is>
          <t xml:space="preserve">2026-10-17</t>
        </is>
      </c>
      <c r="C1142" s="3" t="inlineStr">
        <is>
          <t xml:space="preserve">SKU-D</t>
        </is>
      </c>
      <c r="D1142" s="3" t="inlineStr">
        <is>
          <t xml:space="preserve">Daily Duo</t>
        </is>
      </c>
      <c r="E1142" s="6">
        <f>IF('Settings'!$B$11="Scenario",IFERROR(INDEX('Catalogue'!$E$3:$E$100,MATCH(C1142,'Catalogue'!$B$3:$B$100,0)),F1142),F1142)</f>
        <v>79</v>
      </c>
      <c r="F1142" s="8">
        <v>79</v>
      </c>
      <c r="G1142" s="3">
        <v>1</v>
      </c>
      <c r="H1142" s="6">
        <f>IF('Settings'!$B$11="Scenario",ROUND(E1142*G1142*IFERROR(SUMIF('Pricing &amp; promotions'!$A$6:$A$8,L1142,'Pricing &amp; promotions'!$B$6:$B$8)/100,0),2),J1142)</f>
        <v>11.85</v>
      </c>
      <c r="I1142" s="6">
        <f>ROUND((E1142*G1142-H1142)/(1+'Settings'!$B$6/100),2)</f>
        <v>55.5</v>
      </c>
      <c r="J1142" s="8">
        <v>11.85</v>
      </c>
      <c r="K1142" s="3" t="inlineStr">
        <is>
          <t xml:space="preserve">TRUE</t>
        </is>
      </c>
      <c r="L1142" s="3" t="inlineStr">
        <is>
          <t xml:space="preserve">SUMMER15</t>
        </is>
      </c>
    </row>
    <row r="1143">
      <c r="A1143" s="3" t="inlineStr">
        <is>
          <t xml:space="preserve">#1840</t>
        </is>
      </c>
      <c r="B1143" s="3" t="inlineStr">
        <is>
          <t xml:space="preserve">2026-10-17</t>
        </is>
      </c>
      <c r="C1143" s="3" t="inlineStr">
        <is>
          <t xml:space="preserve">SKU-B</t>
        </is>
      </c>
      <c r="D1143" s="3" t="inlineStr">
        <is>
          <t xml:space="preserve">Barrier Balm</t>
        </is>
      </c>
      <c r="E1143" s="6">
        <f>IF('Settings'!$B$11="Scenario",IFERROR(INDEX('Catalogue'!$E$3:$E$100,MATCH(C1143,'Catalogue'!$B$3:$B$100,0)),F1143),F1143)</f>
        <v>19</v>
      </c>
      <c r="F1143" s="8">
        <v>19</v>
      </c>
      <c r="G1143" s="3">
        <v>1</v>
      </c>
      <c r="H1143" s="6">
        <f>IF('Settings'!$B$11="Scenario",ROUND(E1143*G1143*IFERROR(SUMIF('Pricing &amp; promotions'!$A$6:$A$8,L1143,'Pricing &amp; promotions'!$B$6:$B$8)/100,0),2),J1143)</f>
        <v>2.85</v>
      </c>
      <c r="I1143" s="6">
        <f>ROUND((E1143*G1143-H1143)/(1+'Settings'!$B$6/100),2)</f>
        <v>13.35</v>
      </c>
      <c r="J1143" s="8">
        <v>2.85</v>
      </c>
      <c r="K1143" s="3" t="inlineStr">
        <is>
          <t xml:space="preserve">TRUE</t>
        </is>
      </c>
      <c r="L1143" s="3" t="inlineStr">
        <is>
          <t xml:space="preserve">SUMMER15</t>
        </is>
      </c>
    </row>
    <row r="1144">
      <c r="A1144" s="3" t="inlineStr">
        <is>
          <t xml:space="preserve">#1841</t>
        </is>
      </c>
      <c r="B1144" s="3" t="inlineStr">
        <is>
          <t xml:space="preserve">2026-10-17</t>
        </is>
      </c>
      <c r="C1144" s="3" t="inlineStr">
        <is>
          <t xml:space="preserve">SKU-B</t>
        </is>
      </c>
      <c r="D1144" s="3" t="inlineStr">
        <is>
          <t xml:space="preserve">Barrier Balm</t>
        </is>
      </c>
      <c r="E1144" s="6">
        <f>IF('Settings'!$B$11="Scenario",IFERROR(INDEX('Catalogue'!$E$3:$E$100,MATCH(C1144,'Catalogue'!$B$3:$B$100,0)),F1144),F1144)</f>
        <v>19</v>
      </c>
      <c r="F1144" s="8">
        <v>19</v>
      </c>
      <c r="G1144" s="3">
        <v>1</v>
      </c>
      <c r="H1144" s="6">
        <f>IF('Settings'!$B$11="Scenario",ROUND(E1144*G1144*IFERROR(SUMIF('Pricing &amp; promotions'!$A$6:$A$8,L1144,'Pricing &amp; promotions'!$B$6:$B$8)/100,0),2),J1144)</f>
        <v>1.9</v>
      </c>
      <c r="I1144" s="6">
        <f>ROUND((E1144*G1144-H1144)/(1+'Settings'!$B$6/100),2)</f>
        <v>14.13</v>
      </c>
      <c r="J1144" s="8">
        <v>1.9</v>
      </c>
      <c r="K1144" s="3" t="inlineStr">
        <is>
          <t xml:space="preserve">TRUE</t>
        </is>
      </c>
      <c r="L1144" s="3" t="inlineStr">
        <is>
          <t xml:space="preserve">WELCOME10</t>
        </is>
      </c>
    </row>
    <row r="1145">
      <c r="A1145" s="3" t="inlineStr">
        <is>
          <t xml:space="preserve">#1841</t>
        </is>
      </c>
      <c r="B1145" s="3" t="inlineStr">
        <is>
          <t xml:space="preserve">2026-10-17</t>
        </is>
      </c>
      <c r="C1145" s="3" t="inlineStr">
        <is>
          <t xml:space="preserve">SKU-A</t>
        </is>
      </c>
      <c r="D1145" s="3" t="inlineStr">
        <is>
          <t xml:space="preserve">Renewal Serum</t>
        </is>
      </c>
      <c r="E1145" s="6">
        <f>IF('Settings'!$B$11="Scenario",IFERROR(INDEX('Catalogue'!$E$3:$E$100,MATCH(C1145,'Catalogue'!$B$3:$B$100,0)),F1145),F1145)</f>
        <v>69.9</v>
      </c>
      <c r="F1145" s="8">
        <v>69.9</v>
      </c>
      <c r="G1145" s="3">
        <v>1</v>
      </c>
      <c r="H1145" s="6">
        <f>IF('Settings'!$B$11="Scenario",ROUND(E1145*G1145*IFERROR(SUMIF('Pricing &amp; promotions'!$A$6:$A$8,L1145,'Pricing &amp; promotions'!$B$6:$B$8)/100,0),2),J1145)</f>
        <v>6.99</v>
      </c>
      <c r="I1145" s="6">
        <f>ROUND((E1145*G1145-H1145)/(1+'Settings'!$B$6/100),2)</f>
        <v>51.99</v>
      </c>
      <c r="J1145" s="8">
        <v>6.99</v>
      </c>
      <c r="K1145" s="3" t="inlineStr">
        <is>
          <t xml:space="preserve">TRUE</t>
        </is>
      </c>
      <c r="L1145" s="3" t="inlineStr">
        <is>
          <t xml:space="preserve">WELCOME10</t>
        </is>
      </c>
    </row>
    <row r="1146">
      <c r="A1146" s="3" t="inlineStr">
        <is>
          <t xml:space="preserve">#1842</t>
        </is>
      </c>
      <c r="B1146" s="3" t="inlineStr">
        <is>
          <t xml:space="preserve">2026-10-17</t>
        </is>
      </c>
      <c r="C1146" s="3" t="inlineStr">
        <is>
          <t xml:space="preserve">SKU-B</t>
        </is>
      </c>
      <c r="D1146" s="3" t="inlineStr">
        <is>
          <t xml:space="preserve">Barrier Balm</t>
        </is>
      </c>
      <c r="E1146" s="6">
        <f>IF('Settings'!$B$11="Scenario",IFERROR(INDEX('Catalogue'!$E$3:$E$100,MATCH(C1146,'Catalogue'!$B$3:$B$100,0)),F1146),F1146)</f>
        <v>19</v>
      </c>
      <c r="F1146" s="8">
        <v>19</v>
      </c>
      <c r="G1146" s="3">
        <v>1</v>
      </c>
      <c r="H1146" s="6">
        <f>IF('Settings'!$B$11="Scenario",ROUND(E1146*G1146*IFERROR(SUMIF('Pricing &amp; promotions'!$A$6:$A$8,L1146,'Pricing &amp; promotions'!$B$6:$B$8)/100,0),2),J1146)</f>
        <v>0.0</v>
      </c>
      <c r="I1146" s="6">
        <f>ROUND((E1146*G1146-H1146)/(1+'Settings'!$B$6/100),2)</f>
        <v>15.7</v>
      </c>
      <c r="J1146" s="8">
        <v>0.0</v>
      </c>
      <c r="K1146" s="3" t="inlineStr">
        <is>
          <t xml:space="preserve">TRUE</t>
        </is>
      </c>
      <c r="L1146" s="3"/>
    </row>
    <row r="1147">
      <c r="A1147" s="3" t="inlineStr">
        <is>
          <t xml:space="preserve">#1842</t>
        </is>
      </c>
      <c r="B1147" s="3" t="inlineStr">
        <is>
          <t xml:space="preserve">2026-10-17</t>
        </is>
      </c>
      <c r="C1147" s="3" t="inlineStr">
        <is>
          <t xml:space="preserve">SKU-F</t>
        </is>
      </c>
      <c r="D1147" s="3" t="inlineStr">
        <is>
          <t xml:space="preserve">Cloud Cleanser</t>
        </is>
      </c>
      <c r="E1147" s="6">
        <f>IF('Settings'!$B$11="Scenario",IFERROR(INDEX('Catalogue'!$E$3:$E$100,MATCH(C1147,'Catalogue'!$B$3:$B$100,0)),F1147),F1147)</f>
        <v>34</v>
      </c>
      <c r="F1147" s="8">
        <v>34</v>
      </c>
      <c r="G1147" s="3">
        <v>1</v>
      </c>
      <c r="H1147" s="6">
        <f>IF('Settings'!$B$11="Scenario",ROUND(E1147*G1147*IFERROR(SUMIF('Pricing &amp; promotions'!$A$6:$A$8,L1147,'Pricing &amp; promotions'!$B$6:$B$8)/100,0),2),J1147)</f>
        <v>0.0</v>
      </c>
      <c r="I1147" s="6">
        <f>ROUND((E1147*G1147-H1147)/(1+'Settings'!$B$6/100),2)</f>
        <v>28.1</v>
      </c>
      <c r="J1147" s="8">
        <v>0.0</v>
      </c>
      <c r="K1147" s="3" t="inlineStr">
        <is>
          <t xml:space="preserve">TRUE</t>
        </is>
      </c>
      <c r="L1147" s="3"/>
    </row>
    <row r="1148">
      <c r="A1148" s="3" t="inlineStr">
        <is>
          <t xml:space="preserve">#1842</t>
        </is>
      </c>
      <c r="B1148" s="3" t="inlineStr">
        <is>
          <t xml:space="preserve">2026-10-17</t>
        </is>
      </c>
      <c r="C1148" s="3" t="inlineStr">
        <is>
          <t xml:space="preserve">SKU-G</t>
        </is>
      </c>
      <c r="D1148" s="3" t="inlineStr">
        <is>
          <t xml:space="preserve">Daily Reset Set</t>
        </is>
      </c>
      <c r="E1148" s="6">
        <f>IF('Settings'!$B$11="Scenario",IFERROR(INDEX('Catalogue'!$E$3:$E$100,MATCH(C1148,'Catalogue'!$B$3:$B$100,0)),F1148),F1148)</f>
        <v>69</v>
      </c>
      <c r="F1148" s="8">
        <v>69</v>
      </c>
      <c r="G1148" s="3">
        <v>1</v>
      </c>
      <c r="H1148" s="6">
        <f>IF('Settings'!$B$11="Scenario",ROUND(E1148*G1148*IFERROR(SUMIF('Pricing &amp; promotions'!$A$6:$A$8,L1148,'Pricing &amp; promotions'!$B$6:$B$8)/100,0),2),J1148)</f>
        <v>0.0</v>
      </c>
      <c r="I1148" s="6">
        <f>ROUND((E1148*G1148-H1148)/(1+'Settings'!$B$6/100),2)</f>
        <v>57.02</v>
      </c>
      <c r="J1148" s="8">
        <v>0.0</v>
      </c>
      <c r="K1148" s="3" t="inlineStr">
        <is>
          <t xml:space="preserve">TRUE</t>
        </is>
      </c>
      <c r="L1148" s="3"/>
    </row>
    <row r="1149">
      <c r="A1149" s="3" t="inlineStr">
        <is>
          <t xml:space="preserve">#1843</t>
        </is>
      </c>
      <c r="B1149" s="3" t="inlineStr">
        <is>
          <t xml:space="preserve">2026-10-17</t>
        </is>
      </c>
      <c r="C1149" s="3" t="inlineStr">
        <is>
          <t xml:space="preserve">SKU-C</t>
        </is>
      </c>
      <c r="D1149" s="3" t="inlineStr">
        <is>
          <t xml:space="preserve">Contour Stone</t>
        </is>
      </c>
      <c r="E1149" s="6">
        <f>IF('Settings'!$B$11="Scenario",IFERROR(INDEX('Catalogue'!$E$3:$E$100,MATCH(C1149,'Catalogue'!$B$3:$B$100,0)),F1149),F1149)</f>
        <v>29</v>
      </c>
      <c r="F1149" s="8">
        <v>29</v>
      </c>
      <c r="G1149" s="3">
        <v>1</v>
      </c>
      <c r="H1149" s="6">
        <f>IF('Settings'!$B$11="Scenario",ROUND(E1149*G1149*IFERROR(SUMIF('Pricing &amp; promotions'!$A$6:$A$8,L1149,'Pricing &amp; promotions'!$B$6:$B$8)/100,0),2),J1149)</f>
        <v>2.9</v>
      </c>
      <c r="I1149" s="6">
        <f>ROUND((E1149*G1149-H1149)/(1+'Settings'!$B$6/100),2)</f>
        <v>21.57</v>
      </c>
      <c r="J1149" s="8">
        <v>2.9</v>
      </c>
      <c r="K1149" s="3" t="inlineStr">
        <is>
          <t xml:space="preserve">TRUE</t>
        </is>
      </c>
      <c r="L1149" s="3" t="inlineStr">
        <is>
          <t xml:space="preserve">WELCOME10</t>
        </is>
      </c>
    </row>
    <row r="1150">
      <c r="A1150" s="3" t="inlineStr">
        <is>
          <t xml:space="preserve">#1844</t>
        </is>
      </c>
      <c r="B1150" s="3" t="inlineStr">
        <is>
          <t xml:space="preserve">2026-10-17</t>
        </is>
      </c>
      <c r="C1150" s="3" t="inlineStr">
        <is>
          <t xml:space="preserve">SKU-D</t>
        </is>
      </c>
      <c r="D1150" s="3" t="inlineStr">
        <is>
          <t xml:space="preserve">Daily Duo</t>
        </is>
      </c>
      <c r="E1150" s="6">
        <f>IF('Settings'!$B$11="Scenario",IFERROR(INDEX('Catalogue'!$E$3:$E$100,MATCH(C1150,'Catalogue'!$B$3:$B$100,0)),F1150),F1150)</f>
        <v>79</v>
      </c>
      <c r="F1150" s="8">
        <v>79</v>
      </c>
      <c r="G1150" s="3">
        <v>1</v>
      </c>
      <c r="H1150" s="6">
        <f>IF('Settings'!$B$11="Scenario",ROUND(E1150*G1150*IFERROR(SUMIF('Pricing &amp; promotions'!$A$6:$A$8,L1150,'Pricing &amp; promotions'!$B$6:$B$8)/100,0),2),J1150)</f>
        <v>0.0</v>
      </c>
      <c r="I1150" s="6">
        <f>ROUND((E1150*G1150-H1150)/(1+'Settings'!$B$6/100),2)</f>
        <v>65.29</v>
      </c>
      <c r="J1150" s="8">
        <v>0.0</v>
      </c>
      <c r="K1150" s="3" t="inlineStr">
        <is>
          <t xml:space="preserve">TRUE</t>
        </is>
      </c>
      <c r="L1150" s="3"/>
    </row>
    <row r="1151">
      <c r="A1151" s="3" t="inlineStr">
        <is>
          <t xml:space="preserve">#1845</t>
        </is>
      </c>
      <c r="B1151" s="3" t="inlineStr">
        <is>
          <t xml:space="preserve">2026-10-17</t>
        </is>
      </c>
      <c r="C1151" s="3" t="inlineStr">
        <is>
          <t xml:space="preserve">SKU-A</t>
        </is>
      </c>
      <c r="D1151" s="3" t="inlineStr">
        <is>
          <t xml:space="preserve">Renewal Serum</t>
        </is>
      </c>
      <c r="E1151" s="6">
        <f>IF('Settings'!$B$11="Scenario",IFERROR(INDEX('Catalogue'!$E$3:$E$100,MATCH(C1151,'Catalogue'!$B$3:$B$100,0)),F1151),F1151)</f>
        <v>69.9</v>
      </c>
      <c r="F1151" s="8">
        <v>69.9</v>
      </c>
      <c r="G1151" s="3">
        <v>1</v>
      </c>
      <c r="H1151" s="6">
        <f>IF('Settings'!$B$11="Scenario",ROUND(E1151*G1151*IFERROR(SUMIF('Pricing &amp; promotions'!$A$6:$A$8,L1151,'Pricing &amp; promotions'!$B$6:$B$8)/100,0),2),J1151)</f>
        <v>10.49</v>
      </c>
      <c r="I1151" s="6">
        <f>ROUND((E1151*G1151-H1151)/(1+'Settings'!$B$6/100),2)</f>
        <v>49.1</v>
      </c>
      <c r="J1151" s="8">
        <v>10.49</v>
      </c>
      <c r="K1151" s="3" t="inlineStr">
        <is>
          <t xml:space="preserve">TRUE</t>
        </is>
      </c>
      <c r="L1151" s="3" t="inlineStr">
        <is>
          <t xml:space="preserve">SUMMER15</t>
        </is>
      </c>
    </row>
    <row r="1152">
      <c r="A1152" s="3" t="inlineStr">
        <is>
          <t xml:space="preserve">#1846</t>
        </is>
      </c>
      <c r="B1152" s="3" t="inlineStr">
        <is>
          <t xml:space="preserve">2026-10-18</t>
        </is>
      </c>
      <c r="C1152" s="3" t="inlineStr">
        <is>
          <t xml:space="preserve">SKU-D</t>
        </is>
      </c>
      <c r="D1152" s="3" t="inlineStr">
        <is>
          <t xml:space="preserve">Daily Duo</t>
        </is>
      </c>
      <c r="E1152" s="6">
        <f>IF('Settings'!$B$11="Scenario",IFERROR(INDEX('Catalogue'!$E$3:$E$100,MATCH(C1152,'Catalogue'!$B$3:$B$100,0)),F1152),F1152)</f>
        <v>79</v>
      </c>
      <c r="F1152" s="8">
        <v>79</v>
      </c>
      <c r="G1152" s="3">
        <v>1</v>
      </c>
      <c r="H1152" s="6">
        <f>IF('Settings'!$B$11="Scenario",ROUND(E1152*G1152*IFERROR(SUMIF('Pricing &amp; promotions'!$A$6:$A$8,L1152,'Pricing &amp; promotions'!$B$6:$B$8)/100,0),2),J1152)</f>
        <v>15.8</v>
      </c>
      <c r="I1152" s="6">
        <f>ROUND((E1152*G1152-H1152)/(1+'Settings'!$B$6/100),2)</f>
        <v>52.23</v>
      </c>
      <c r="J1152" s="8">
        <v>15.8</v>
      </c>
      <c r="K1152" s="3" t="inlineStr">
        <is>
          <t xml:space="preserve">TRUE</t>
        </is>
      </c>
      <c r="L1152" s="3" t="inlineStr">
        <is>
          <t xml:space="preserve">VIP20</t>
        </is>
      </c>
    </row>
    <row r="1153">
      <c r="A1153" s="3" t="inlineStr">
        <is>
          <t xml:space="preserve">#1847</t>
        </is>
      </c>
      <c r="B1153" s="3" t="inlineStr">
        <is>
          <t xml:space="preserve">2026-10-18</t>
        </is>
      </c>
      <c r="C1153" s="3" t="inlineStr">
        <is>
          <t xml:space="preserve">SKU-G</t>
        </is>
      </c>
      <c r="D1153" s="3" t="inlineStr">
        <is>
          <t xml:space="preserve">Daily Reset Set</t>
        </is>
      </c>
      <c r="E1153" s="6">
        <f>IF('Settings'!$B$11="Scenario",IFERROR(INDEX('Catalogue'!$E$3:$E$100,MATCH(C1153,'Catalogue'!$B$3:$B$100,0)),F1153),F1153)</f>
        <v>69</v>
      </c>
      <c r="F1153" s="8">
        <v>69</v>
      </c>
      <c r="G1153" s="3">
        <v>1</v>
      </c>
      <c r="H1153" s="6">
        <f>IF('Settings'!$B$11="Scenario",ROUND(E1153*G1153*IFERROR(SUMIF('Pricing &amp; promotions'!$A$6:$A$8,L1153,'Pricing &amp; promotions'!$B$6:$B$8)/100,0),2),J1153)</f>
        <v>6.9</v>
      </c>
      <c r="I1153" s="6">
        <f>ROUND((E1153*G1153-H1153)/(1+'Settings'!$B$6/100),2)</f>
        <v>51.32</v>
      </c>
      <c r="J1153" s="8">
        <v>6.9</v>
      </c>
      <c r="K1153" s="3" t="inlineStr">
        <is>
          <t xml:space="preserve">TRUE</t>
        </is>
      </c>
      <c r="L1153" s="3" t="inlineStr">
        <is>
          <t xml:space="preserve">WELCOME10</t>
        </is>
      </c>
    </row>
    <row r="1154">
      <c r="A1154" s="3" t="inlineStr">
        <is>
          <t xml:space="preserve">#1848</t>
        </is>
      </c>
      <c r="B1154" s="3" t="inlineStr">
        <is>
          <t xml:space="preserve">2026-10-18</t>
        </is>
      </c>
      <c r="C1154" s="3" t="inlineStr">
        <is>
          <t xml:space="preserve">SKU-G</t>
        </is>
      </c>
      <c r="D1154" s="3" t="inlineStr">
        <is>
          <t xml:space="preserve">Daily Reset Set</t>
        </is>
      </c>
      <c r="E1154" s="6">
        <f>IF('Settings'!$B$11="Scenario",IFERROR(INDEX('Catalogue'!$E$3:$E$100,MATCH(C1154,'Catalogue'!$B$3:$B$100,0)),F1154),F1154)</f>
        <v>69</v>
      </c>
      <c r="F1154" s="8">
        <v>69</v>
      </c>
      <c r="G1154" s="3">
        <v>1</v>
      </c>
      <c r="H1154" s="6">
        <f>IF('Settings'!$B$11="Scenario",ROUND(E1154*G1154*IFERROR(SUMIF('Pricing &amp; promotions'!$A$6:$A$8,L1154,'Pricing &amp; promotions'!$B$6:$B$8)/100,0),2),J1154)</f>
        <v>10.35</v>
      </c>
      <c r="I1154" s="6">
        <f>ROUND((E1154*G1154-H1154)/(1+'Settings'!$B$6/100),2)</f>
        <v>48.47</v>
      </c>
      <c r="J1154" s="8">
        <v>10.35</v>
      </c>
      <c r="K1154" s="3" t="inlineStr">
        <is>
          <t xml:space="preserve">TRUE</t>
        </is>
      </c>
      <c r="L1154" s="3" t="inlineStr">
        <is>
          <t xml:space="preserve">SUMMER15</t>
        </is>
      </c>
    </row>
    <row r="1155">
      <c r="A1155" s="3" t="inlineStr">
        <is>
          <t xml:space="preserve">#1849</t>
        </is>
      </c>
      <c r="B1155" s="3" t="inlineStr">
        <is>
          <t xml:space="preserve">2026-10-19</t>
        </is>
      </c>
      <c r="C1155" s="3" t="inlineStr">
        <is>
          <t xml:space="preserve">SKU-E</t>
        </is>
      </c>
      <c r="D1155" s="3" t="inlineStr">
        <is>
          <t xml:space="preserve">Complete Ritual</t>
        </is>
      </c>
      <c r="E1155" s="6">
        <f>IF('Settings'!$B$11="Scenario",IFERROR(INDEX('Catalogue'!$E$3:$E$100,MATCH(C1155,'Catalogue'!$B$3:$B$100,0)),F1155),F1155)</f>
        <v>89</v>
      </c>
      <c r="F1155" s="8">
        <v>89</v>
      </c>
      <c r="G1155" s="3">
        <v>1</v>
      </c>
      <c r="H1155" s="6">
        <f>IF('Settings'!$B$11="Scenario",ROUND(E1155*G1155*IFERROR(SUMIF('Pricing &amp; promotions'!$A$6:$A$8,L1155,'Pricing &amp; promotions'!$B$6:$B$8)/100,0),2),J1155)</f>
        <v>8.9</v>
      </c>
      <c r="I1155" s="6">
        <f>ROUND((E1155*G1155-H1155)/(1+'Settings'!$B$6/100),2)</f>
        <v>66.2</v>
      </c>
      <c r="J1155" s="8">
        <v>8.9</v>
      </c>
      <c r="K1155" s="3" t="inlineStr">
        <is>
          <t xml:space="preserve">TRUE</t>
        </is>
      </c>
      <c r="L1155" s="3" t="inlineStr">
        <is>
          <t xml:space="preserve">WELCOME10</t>
        </is>
      </c>
    </row>
    <row r="1156">
      <c r="A1156" s="3" t="inlineStr">
        <is>
          <t xml:space="preserve">#1850</t>
        </is>
      </c>
      <c r="B1156" s="3" t="inlineStr">
        <is>
          <t xml:space="preserve">2026-10-19</t>
        </is>
      </c>
      <c r="C1156" s="3" t="inlineStr">
        <is>
          <t xml:space="preserve">SKU-D</t>
        </is>
      </c>
      <c r="D1156" s="3" t="inlineStr">
        <is>
          <t xml:space="preserve">Daily Duo</t>
        </is>
      </c>
      <c r="E1156" s="6">
        <f>IF('Settings'!$B$11="Scenario",IFERROR(INDEX('Catalogue'!$E$3:$E$100,MATCH(C1156,'Catalogue'!$B$3:$B$100,0)),F1156),F1156)</f>
        <v>79</v>
      </c>
      <c r="F1156" s="8">
        <v>79</v>
      </c>
      <c r="G1156" s="3">
        <v>2</v>
      </c>
      <c r="H1156" s="6">
        <f>IF('Settings'!$B$11="Scenario",ROUND(E1156*G1156*IFERROR(SUMIF('Pricing &amp; promotions'!$A$6:$A$8,L1156,'Pricing &amp; promotions'!$B$6:$B$8)/100,0),2),J1156)</f>
        <v>15.8</v>
      </c>
      <c r="I1156" s="6">
        <f>ROUND((E1156*G1156-H1156)/(1+'Settings'!$B$6/100),2)</f>
        <v>117.52</v>
      </c>
      <c r="J1156" s="8">
        <v>15.8</v>
      </c>
      <c r="K1156" s="3" t="inlineStr">
        <is>
          <t xml:space="preserve">TRUE</t>
        </is>
      </c>
      <c r="L1156" s="3" t="inlineStr">
        <is>
          <t xml:space="preserve">WELCOME10</t>
        </is>
      </c>
    </row>
    <row r="1157">
      <c r="A1157" s="3" t="inlineStr">
        <is>
          <t xml:space="preserve">#1851</t>
        </is>
      </c>
      <c r="B1157" s="3" t="inlineStr">
        <is>
          <t xml:space="preserve">2026-10-20</t>
        </is>
      </c>
      <c r="C1157" s="3" t="inlineStr">
        <is>
          <t xml:space="preserve">SKU-A</t>
        </is>
      </c>
      <c r="D1157" s="3" t="inlineStr">
        <is>
          <t xml:space="preserve">Renewal Serum</t>
        </is>
      </c>
      <c r="E1157" s="6">
        <f>IF('Settings'!$B$11="Scenario",IFERROR(INDEX('Catalogue'!$E$3:$E$100,MATCH(C1157,'Catalogue'!$B$3:$B$100,0)),F1157),F1157)</f>
        <v>69.9</v>
      </c>
      <c r="F1157" s="8">
        <v>69.9</v>
      </c>
      <c r="G1157" s="3">
        <v>1</v>
      </c>
      <c r="H1157" s="6">
        <f>IF('Settings'!$B$11="Scenario",ROUND(E1157*G1157*IFERROR(SUMIF('Pricing &amp; promotions'!$A$6:$A$8,L1157,'Pricing &amp; promotions'!$B$6:$B$8)/100,0),2),J1157)</f>
        <v>0.0</v>
      </c>
      <c r="I1157" s="6">
        <f>ROUND((E1157*G1157-H1157)/(1+'Settings'!$B$6/100),2)</f>
        <v>57.77</v>
      </c>
      <c r="J1157" s="8">
        <v>0.0</v>
      </c>
      <c r="K1157" s="3" t="inlineStr">
        <is>
          <t xml:space="preserve">TRUE</t>
        </is>
      </c>
      <c r="L1157" s="3"/>
    </row>
    <row r="1158">
      <c r="A1158" s="3" t="inlineStr">
        <is>
          <t xml:space="preserve">#1852</t>
        </is>
      </c>
      <c r="B1158" s="3" t="inlineStr">
        <is>
          <t xml:space="preserve">2026-10-20</t>
        </is>
      </c>
      <c r="C1158" s="3" t="inlineStr">
        <is>
          <t xml:space="preserve">SKU-A</t>
        </is>
      </c>
      <c r="D1158" s="3" t="inlineStr">
        <is>
          <t xml:space="preserve">Renewal Serum</t>
        </is>
      </c>
      <c r="E1158" s="6">
        <f>IF('Settings'!$B$11="Scenario",IFERROR(INDEX('Catalogue'!$E$3:$E$100,MATCH(C1158,'Catalogue'!$B$3:$B$100,0)),F1158),F1158)</f>
        <v>69.9</v>
      </c>
      <c r="F1158" s="8">
        <v>69.9</v>
      </c>
      <c r="G1158" s="3">
        <v>2</v>
      </c>
      <c r="H1158" s="6">
        <f>IF('Settings'!$B$11="Scenario",ROUND(E1158*G1158*IFERROR(SUMIF('Pricing &amp; promotions'!$A$6:$A$8,L1158,'Pricing &amp; promotions'!$B$6:$B$8)/100,0),2),J1158)</f>
        <v>0.0</v>
      </c>
      <c r="I1158" s="6">
        <f>ROUND((E1158*G1158-H1158)/(1+'Settings'!$B$6/100),2)</f>
        <v>115.54</v>
      </c>
      <c r="J1158" s="8">
        <v>0.0</v>
      </c>
      <c r="K1158" s="3" t="inlineStr">
        <is>
          <t xml:space="preserve">TRUE</t>
        </is>
      </c>
      <c r="L1158" s="3"/>
    </row>
    <row r="1159">
      <c r="A1159" s="3" t="inlineStr">
        <is>
          <t xml:space="preserve">#1853</t>
        </is>
      </c>
      <c r="B1159" s="3" t="inlineStr">
        <is>
          <t xml:space="preserve">2026-10-20</t>
        </is>
      </c>
      <c r="C1159" s="3" t="inlineStr">
        <is>
          <t xml:space="preserve">SKU-B</t>
        </is>
      </c>
      <c r="D1159" s="3" t="inlineStr">
        <is>
          <t xml:space="preserve">Barrier Balm</t>
        </is>
      </c>
      <c r="E1159" s="6">
        <f>IF('Settings'!$B$11="Scenario",IFERROR(INDEX('Catalogue'!$E$3:$E$100,MATCH(C1159,'Catalogue'!$B$3:$B$100,0)),F1159),F1159)</f>
        <v>19</v>
      </c>
      <c r="F1159" s="8">
        <v>19</v>
      </c>
      <c r="G1159" s="3">
        <v>2</v>
      </c>
      <c r="H1159" s="6">
        <f>IF('Settings'!$B$11="Scenario",ROUND(E1159*G1159*IFERROR(SUMIF('Pricing &amp; promotions'!$A$6:$A$8,L1159,'Pricing &amp; promotions'!$B$6:$B$8)/100,0),2),J1159)</f>
        <v>7.6</v>
      </c>
      <c r="I1159" s="6">
        <f>ROUND((E1159*G1159-H1159)/(1+'Settings'!$B$6/100),2)</f>
        <v>25.12</v>
      </c>
      <c r="J1159" s="8">
        <v>7.6</v>
      </c>
      <c r="K1159" s="3" t="inlineStr">
        <is>
          <t xml:space="preserve">TRUE</t>
        </is>
      </c>
      <c r="L1159" s="3" t="inlineStr">
        <is>
          <t xml:space="preserve">VIP20</t>
        </is>
      </c>
    </row>
    <row r="1160">
      <c r="A1160" s="3" t="inlineStr">
        <is>
          <t xml:space="preserve">#1853</t>
        </is>
      </c>
      <c r="B1160" s="3" t="inlineStr">
        <is>
          <t xml:space="preserve">2026-10-20</t>
        </is>
      </c>
      <c r="C1160" s="3" t="inlineStr">
        <is>
          <t xml:space="preserve">SKU-A</t>
        </is>
      </c>
      <c r="D1160" s="3" t="inlineStr">
        <is>
          <t xml:space="preserve">Renewal Serum</t>
        </is>
      </c>
      <c r="E1160" s="6">
        <f>IF('Settings'!$B$11="Scenario",IFERROR(INDEX('Catalogue'!$E$3:$E$100,MATCH(C1160,'Catalogue'!$B$3:$B$100,0)),F1160),F1160)</f>
        <v>69.9</v>
      </c>
      <c r="F1160" s="8">
        <v>69.9</v>
      </c>
      <c r="G1160" s="3">
        <v>1</v>
      </c>
      <c r="H1160" s="6">
        <f>IF('Settings'!$B$11="Scenario",ROUND(E1160*G1160*IFERROR(SUMIF('Pricing &amp; promotions'!$A$6:$A$8,L1160,'Pricing &amp; promotions'!$B$6:$B$8)/100,0),2),J1160)</f>
        <v>13.98</v>
      </c>
      <c r="I1160" s="6">
        <f>ROUND((E1160*G1160-H1160)/(1+'Settings'!$B$6/100),2)</f>
        <v>46.21</v>
      </c>
      <c r="J1160" s="8">
        <v>13.98</v>
      </c>
      <c r="K1160" s="3" t="inlineStr">
        <is>
          <t xml:space="preserve">TRUE</t>
        </is>
      </c>
      <c r="L1160" s="3" t="inlineStr">
        <is>
          <t xml:space="preserve">VIP20</t>
        </is>
      </c>
    </row>
    <row r="1161">
      <c r="A1161" s="3" t="inlineStr">
        <is>
          <t xml:space="preserve">#1854</t>
        </is>
      </c>
      <c r="B1161" s="3" t="inlineStr">
        <is>
          <t xml:space="preserve">2026-10-20</t>
        </is>
      </c>
      <c r="C1161" s="3" t="inlineStr">
        <is>
          <t xml:space="preserve">SKU-D</t>
        </is>
      </c>
      <c r="D1161" s="3" t="inlineStr">
        <is>
          <t xml:space="preserve">Daily Duo</t>
        </is>
      </c>
      <c r="E1161" s="6">
        <f>IF('Settings'!$B$11="Scenario",IFERROR(INDEX('Catalogue'!$E$3:$E$100,MATCH(C1161,'Catalogue'!$B$3:$B$100,0)),F1161),F1161)</f>
        <v>79</v>
      </c>
      <c r="F1161" s="8">
        <v>79</v>
      </c>
      <c r="G1161" s="3">
        <v>1</v>
      </c>
      <c r="H1161" s="6">
        <f>IF('Settings'!$B$11="Scenario",ROUND(E1161*G1161*IFERROR(SUMIF('Pricing &amp; promotions'!$A$6:$A$8,L1161,'Pricing &amp; promotions'!$B$6:$B$8)/100,0),2),J1161)</f>
        <v>7.9</v>
      </c>
      <c r="I1161" s="6">
        <f>ROUND((E1161*G1161-H1161)/(1+'Settings'!$B$6/100),2)</f>
        <v>58.76</v>
      </c>
      <c r="J1161" s="8">
        <v>7.9</v>
      </c>
      <c r="K1161" s="3" t="inlineStr">
        <is>
          <t xml:space="preserve">TRUE</t>
        </is>
      </c>
      <c r="L1161" s="3" t="inlineStr">
        <is>
          <t xml:space="preserve">WELCOME10</t>
        </is>
      </c>
    </row>
    <row r="1162">
      <c r="A1162" s="3" t="inlineStr">
        <is>
          <t xml:space="preserve">#1855</t>
        </is>
      </c>
      <c r="B1162" s="3" t="inlineStr">
        <is>
          <t xml:space="preserve">2026-10-20</t>
        </is>
      </c>
      <c r="C1162" s="3" t="inlineStr">
        <is>
          <t xml:space="preserve">SKU-E</t>
        </is>
      </c>
      <c r="D1162" s="3" t="inlineStr">
        <is>
          <t xml:space="preserve">Complete Ritual</t>
        </is>
      </c>
      <c r="E1162" s="6">
        <f>IF('Settings'!$B$11="Scenario",IFERROR(INDEX('Catalogue'!$E$3:$E$100,MATCH(C1162,'Catalogue'!$B$3:$B$100,0)),F1162),F1162)</f>
        <v>89</v>
      </c>
      <c r="F1162" s="8">
        <v>89</v>
      </c>
      <c r="G1162" s="3">
        <v>2</v>
      </c>
      <c r="H1162" s="6">
        <f>IF('Settings'!$B$11="Scenario",ROUND(E1162*G1162*IFERROR(SUMIF('Pricing &amp; promotions'!$A$6:$A$8,L1162,'Pricing &amp; promotions'!$B$6:$B$8)/100,0),2),J1162)</f>
        <v>0.0</v>
      </c>
      <c r="I1162" s="6">
        <f>ROUND((E1162*G1162-H1162)/(1+'Settings'!$B$6/100),2)</f>
        <v>147.11</v>
      </c>
      <c r="J1162" s="8">
        <v>0.0</v>
      </c>
      <c r="K1162" s="3" t="inlineStr">
        <is>
          <t xml:space="preserve">TRUE</t>
        </is>
      </c>
      <c r="L1162" s="3"/>
    </row>
    <row r="1163">
      <c r="A1163" s="3" t="inlineStr">
        <is>
          <t xml:space="preserve">#1856</t>
        </is>
      </c>
      <c r="B1163" s="3" t="inlineStr">
        <is>
          <t xml:space="preserve">2026-10-20</t>
        </is>
      </c>
      <c r="C1163" s="3" t="inlineStr">
        <is>
          <t xml:space="preserve">SKU-A</t>
        </is>
      </c>
      <c r="D1163" s="3" t="inlineStr">
        <is>
          <t xml:space="preserve">Renewal Serum</t>
        </is>
      </c>
      <c r="E1163" s="6">
        <f>IF('Settings'!$B$11="Scenario",IFERROR(INDEX('Catalogue'!$E$3:$E$100,MATCH(C1163,'Catalogue'!$B$3:$B$100,0)),F1163),F1163)</f>
        <v>69.9</v>
      </c>
      <c r="F1163" s="8">
        <v>69.9</v>
      </c>
      <c r="G1163" s="3">
        <v>2</v>
      </c>
      <c r="H1163" s="6">
        <f>IF('Settings'!$B$11="Scenario",ROUND(E1163*G1163*IFERROR(SUMIF('Pricing &amp; promotions'!$A$6:$A$8,L1163,'Pricing &amp; promotions'!$B$6:$B$8)/100,0),2),J1163)</f>
        <v>13.98</v>
      </c>
      <c r="I1163" s="6">
        <f>ROUND((E1163*G1163-H1163)/(1+'Settings'!$B$6/100),2)</f>
        <v>103.98</v>
      </c>
      <c r="J1163" s="8">
        <v>13.98</v>
      </c>
      <c r="K1163" s="3" t="inlineStr">
        <is>
          <t xml:space="preserve">TRUE</t>
        </is>
      </c>
      <c r="L1163" s="3" t="inlineStr">
        <is>
          <t xml:space="preserve">WELCOME10</t>
        </is>
      </c>
    </row>
    <row r="1164">
      <c r="A1164" s="3" t="inlineStr">
        <is>
          <t xml:space="preserve">#1857</t>
        </is>
      </c>
      <c r="B1164" s="3" t="inlineStr">
        <is>
          <t xml:space="preserve">2026-10-22</t>
        </is>
      </c>
      <c r="C1164" s="3" t="inlineStr">
        <is>
          <t xml:space="preserve">SKU-D</t>
        </is>
      </c>
      <c r="D1164" s="3" t="inlineStr">
        <is>
          <t xml:space="preserve">Daily Duo</t>
        </is>
      </c>
      <c r="E1164" s="6">
        <f>IF('Settings'!$B$11="Scenario",IFERROR(INDEX('Catalogue'!$E$3:$E$100,MATCH(C1164,'Catalogue'!$B$3:$B$100,0)),F1164),F1164)</f>
        <v>79</v>
      </c>
      <c r="F1164" s="8">
        <v>79</v>
      </c>
      <c r="G1164" s="3">
        <v>1</v>
      </c>
      <c r="H1164" s="6">
        <f>IF('Settings'!$B$11="Scenario",ROUND(E1164*G1164*IFERROR(SUMIF('Pricing &amp; promotions'!$A$6:$A$8,L1164,'Pricing &amp; promotions'!$B$6:$B$8)/100,0),2),J1164)</f>
        <v>0.0</v>
      </c>
      <c r="I1164" s="6">
        <f>ROUND((E1164*G1164-H1164)/(1+'Settings'!$B$6/100),2)</f>
        <v>65.29</v>
      </c>
      <c r="J1164" s="8">
        <v>0.0</v>
      </c>
      <c r="K1164" s="3" t="inlineStr">
        <is>
          <t xml:space="preserve">TRUE</t>
        </is>
      </c>
      <c r="L1164" s="3"/>
    </row>
    <row r="1165">
      <c r="A1165" s="3" t="inlineStr">
        <is>
          <t xml:space="preserve">#1858</t>
        </is>
      </c>
      <c r="B1165" s="3" t="inlineStr">
        <is>
          <t xml:space="preserve">2026-10-22</t>
        </is>
      </c>
      <c r="C1165" s="3" t="inlineStr">
        <is>
          <t xml:space="preserve">SKU-E</t>
        </is>
      </c>
      <c r="D1165" s="3" t="inlineStr">
        <is>
          <t xml:space="preserve">Complete Ritual</t>
        </is>
      </c>
      <c r="E1165" s="6">
        <f>IF('Settings'!$B$11="Scenario",IFERROR(INDEX('Catalogue'!$E$3:$E$100,MATCH(C1165,'Catalogue'!$B$3:$B$100,0)),F1165),F1165)</f>
        <v>89</v>
      </c>
      <c r="F1165" s="8">
        <v>89</v>
      </c>
      <c r="G1165" s="3">
        <v>1</v>
      </c>
      <c r="H1165" s="6">
        <f>IF('Settings'!$B$11="Scenario",ROUND(E1165*G1165*IFERROR(SUMIF('Pricing &amp; promotions'!$A$6:$A$8,L1165,'Pricing &amp; promotions'!$B$6:$B$8)/100,0),2),J1165)</f>
        <v>17.8</v>
      </c>
      <c r="I1165" s="6">
        <f>ROUND((E1165*G1165-H1165)/(1+'Settings'!$B$6/100),2)</f>
        <v>58.84</v>
      </c>
      <c r="J1165" s="8">
        <v>17.8</v>
      </c>
      <c r="K1165" s="3" t="inlineStr">
        <is>
          <t xml:space="preserve">TRUE</t>
        </is>
      </c>
      <c r="L1165" s="3" t="inlineStr">
        <is>
          <t xml:space="preserve">VIP20</t>
        </is>
      </c>
    </row>
    <row r="1166">
      <c r="A1166" s="3" t="inlineStr">
        <is>
          <t xml:space="preserve">#1858</t>
        </is>
      </c>
      <c r="B1166" s="3" t="inlineStr">
        <is>
          <t xml:space="preserve">2026-10-22</t>
        </is>
      </c>
      <c r="C1166" s="3" t="inlineStr">
        <is>
          <t xml:space="preserve">SKU-A</t>
        </is>
      </c>
      <c r="D1166" s="3" t="inlineStr">
        <is>
          <t xml:space="preserve">Renewal Serum</t>
        </is>
      </c>
      <c r="E1166" s="6">
        <f>IF('Settings'!$B$11="Scenario",IFERROR(INDEX('Catalogue'!$E$3:$E$100,MATCH(C1166,'Catalogue'!$B$3:$B$100,0)),F1166),F1166)</f>
        <v>69.9</v>
      </c>
      <c r="F1166" s="8">
        <v>69.9</v>
      </c>
      <c r="G1166" s="3">
        <v>1</v>
      </c>
      <c r="H1166" s="6">
        <f>IF('Settings'!$B$11="Scenario",ROUND(E1166*G1166*IFERROR(SUMIF('Pricing &amp; promotions'!$A$6:$A$8,L1166,'Pricing &amp; promotions'!$B$6:$B$8)/100,0),2),J1166)</f>
        <v>13.98</v>
      </c>
      <c r="I1166" s="6">
        <f>ROUND((E1166*G1166-H1166)/(1+'Settings'!$B$6/100),2)</f>
        <v>46.21</v>
      </c>
      <c r="J1166" s="8">
        <v>13.98</v>
      </c>
      <c r="K1166" s="3" t="inlineStr">
        <is>
          <t xml:space="preserve">TRUE</t>
        </is>
      </c>
      <c r="L1166" s="3" t="inlineStr">
        <is>
          <t xml:space="preserve">VIP20</t>
        </is>
      </c>
    </row>
    <row r="1167">
      <c r="A1167" s="3" t="inlineStr">
        <is>
          <t xml:space="preserve">#1859</t>
        </is>
      </c>
      <c r="B1167" s="3" t="inlineStr">
        <is>
          <t xml:space="preserve">2026-10-22</t>
        </is>
      </c>
      <c r="C1167" s="3" t="inlineStr">
        <is>
          <t xml:space="preserve">SKU-G</t>
        </is>
      </c>
      <c r="D1167" s="3" t="inlineStr">
        <is>
          <t xml:space="preserve">Daily Reset Set</t>
        </is>
      </c>
      <c r="E1167" s="6">
        <f>IF('Settings'!$B$11="Scenario",IFERROR(INDEX('Catalogue'!$E$3:$E$100,MATCH(C1167,'Catalogue'!$B$3:$B$100,0)),F1167),F1167)</f>
        <v>69</v>
      </c>
      <c r="F1167" s="8">
        <v>69</v>
      </c>
      <c r="G1167" s="3">
        <v>1</v>
      </c>
      <c r="H1167" s="6">
        <f>IF('Settings'!$B$11="Scenario",ROUND(E1167*G1167*IFERROR(SUMIF('Pricing &amp; promotions'!$A$6:$A$8,L1167,'Pricing &amp; promotions'!$B$6:$B$8)/100,0),2),J1167)</f>
        <v>0.0</v>
      </c>
      <c r="I1167" s="6">
        <f>ROUND((E1167*G1167-H1167)/(1+'Settings'!$B$6/100),2)</f>
        <v>57.02</v>
      </c>
      <c r="J1167" s="8">
        <v>0.0</v>
      </c>
      <c r="K1167" s="3" t="inlineStr">
        <is>
          <t xml:space="preserve">TRUE</t>
        </is>
      </c>
      <c r="L1167" s="3"/>
    </row>
    <row r="1168">
      <c r="A1168" s="3" t="inlineStr">
        <is>
          <t xml:space="preserve">#1859</t>
        </is>
      </c>
      <c r="B1168" s="3" t="inlineStr">
        <is>
          <t xml:space="preserve">2026-10-22</t>
        </is>
      </c>
      <c r="C1168" s="3" t="inlineStr">
        <is>
          <t xml:space="preserve">SKU-D</t>
        </is>
      </c>
      <c r="D1168" s="3" t="inlineStr">
        <is>
          <t xml:space="preserve">Daily Duo</t>
        </is>
      </c>
      <c r="E1168" s="6">
        <f>IF('Settings'!$B$11="Scenario",IFERROR(INDEX('Catalogue'!$E$3:$E$100,MATCH(C1168,'Catalogue'!$B$3:$B$100,0)),F1168),F1168)</f>
        <v>79</v>
      </c>
      <c r="F1168" s="8">
        <v>79</v>
      </c>
      <c r="G1168" s="3">
        <v>1</v>
      </c>
      <c r="H1168" s="6">
        <f>IF('Settings'!$B$11="Scenario",ROUND(E1168*G1168*IFERROR(SUMIF('Pricing &amp; promotions'!$A$6:$A$8,L1168,'Pricing &amp; promotions'!$B$6:$B$8)/100,0),2),J1168)</f>
        <v>0.0</v>
      </c>
      <c r="I1168" s="6">
        <f>ROUND((E1168*G1168-H1168)/(1+'Settings'!$B$6/100),2)</f>
        <v>65.29</v>
      </c>
      <c r="J1168" s="8">
        <v>0.0</v>
      </c>
      <c r="K1168" s="3" t="inlineStr">
        <is>
          <t xml:space="preserve">TRUE</t>
        </is>
      </c>
      <c r="L1168" s="3"/>
    </row>
    <row r="1169">
      <c r="A1169" s="3" t="inlineStr">
        <is>
          <t xml:space="preserve">#1860</t>
        </is>
      </c>
      <c r="B1169" s="3" t="inlineStr">
        <is>
          <t xml:space="preserve">2026-10-22</t>
        </is>
      </c>
      <c r="C1169" s="3" t="inlineStr">
        <is>
          <t xml:space="preserve">SKU-A</t>
        </is>
      </c>
      <c r="D1169" s="3" t="inlineStr">
        <is>
          <t xml:space="preserve">Renewal Serum</t>
        </is>
      </c>
      <c r="E1169" s="6">
        <f>IF('Settings'!$B$11="Scenario",IFERROR(INDEX('Catalogue'!$E$3:$E$100,MATCH(C1169,'Catalogue'!$B$3:$B$100,0)),F1169),F1169)</f>
        <v>69.9</v>
      </c>
      <c r="F1169" s="8">
        <v>69.9</v>
      </c>
      <c r="G1169" s="3">
        <v>1</v>
      </c>
      <c r="H1169" s="6">
        <f>IF('Settings'!$B$11="Scenario",ROUND(E1169*G1169*IFERROR(SUMIF('Pricing &amp; promotions'!$A$6:$A$8,L1169,'Pricing &amp; promotions'!$B$6:$B$8)/100,0),2),J1169)</f>
        <v>0.0</v>
      </c>
      <c r="I1169" s="6">
        <f>ROUND((E1169*G1169-H1169)/(1+'Settings'!$B$6/100),2)</f>
        <v>57.77</v>
      </c>
      <c r="J1169" s="8">
        <v>0.0</v>
      </c>
      <c r="K1169" s="3" t="inlineStr">
        <is>
          <t xml:space="preserve">TRUE</t>
        </is>
      </c>
      <c r="L1169" s="3"/>
    </row>
    <row r="1170">
      <c r="A1170" s="3" t="inlineStr">
        <is>
          <t xml:space="preserve">#1861</t>
        </is>
      </c>
      <c r="B1170" s="3" t="inlineStr">
        <is>
          <t xml:space="preserve">2026-10-15</t>
        </is>
      </c>
      <c r="C1170" s="3" t="inlineStr">
        <is>
          <t xml:space="preserve">SKU-A</t>
        </is>
      </c>
      <c r="D1170" s="3" t="inlineStr">
        <is>
          <t xml:space="preserve">Renewal Serum</t>
        </is>
      </c>
      <c r="E1170" s="6">
        <f>IF('Settings'!$B$11="Scenario",IFERROR(INDEX('Catalogue'!$E$3:$E$100,MATCH(C1170,'Catalogue'!$B$3:$B$100,0)),F1170),F1170)</f>
        <v>69.9</v>
      </c>
      <c r="F1170" s="8">
        <v>69.9</v>
      </c>
      <c r="G1170" s="3">
        <v>1</v>
      </c>
      <c r="H1170" s="6">
        <f>IF('Settings'!$B$11="Scenario",ROUND(E1170*G1170*IFERROR(SUMIF('Pricing &amp; promotions'!$A$6:$A$8,L1170,'Pricing &amp; promotions'!$B$6:$B$8)/100,0),2),J1170)</f>
        <v>0.0</v>
      </c>
      <c r="I1170" s="6">
        <f>ROUND((E1170*G1170-H1170)/(1+'Settings'!$B$6/100),2)</f>
        <v>57.77</v>
      </c>
      <c r="J1170" s="8">
        <v>0.0</v>
      </c>
      <c r="K1170" s="3" t="inlineStr">
        <is>
          <t xml:space="preserve">TRUE</t>
        </is>
      </c>
      <c r="L1170" s="3"/>
    </row>
    <row r="1171">
      <c r="A1171" s="3" t="inlineStr">
        <is>
          <t xml:space="preserve">#1862</t>
        </is>
      </c>
      <c r="B1171" s="3" t="inlineStr">
        <is>
          <t xml:space="preserve">2026-10-08</t>
        </is>
      </c>
      <c r="C1171" s="3" t="inlineStr">
        <is>
          <t xml:space="preserve">SKU-A</t>
        </is>
      </c>
      <c r="D1171" s="3" t="inlineStr">
        <is>
          <t xml:space="preserve">Renewal Serum</t>
        </is>
      </c>
      <c r="E1171" s="6">
        <f>IF('Settings'!$B$11="Scenario",IFERROR(INDEX('Catalogue'!$E$3:$E$100,MATCH(C1171,'Catalogue'!$B$3:$B$100,0)),F1171),F1171)</f>
        <v>69.9</v>
      </c>
      <c r="F1171" s="8">
        <v>69.9</v>
      </c>
      <c r="G1171" s="3">
        <v>1</v>
      </c>
      <c r="H1171" s="6">
        <f>IF('Settings'!$B$11="Scenario",ROUND(E1171*G1171*IFERROR(SUMIF('Pricing &amp; promotions'!$A$6:$A$8,L1171,'Pricing &amp; promotions'!$B$6:$B$8)/100,0),2),J1171)</f>
        <v>0.0</v>
      </c>
      <c r="I1171" s="6">
        <f>ROUND((E1171*G1171-H1171)/(1+'Settings'!$B$6/100),2)</f>
        <v>57.77</v>
      </c>
      <c r="J1171" s="8">
        <v>0.0</v>
      </c>
      <c r="K1171" s="3" t="inlineStr">
        <is>
          <t xml:space="preserve">TRUE</t>
        </is>
      </c>
      <c r="L1171" s="3"/>
    </row>
    <row r="1172">
      <c r="A1172" s="3" t="inlineStr">
        <is>
          <t xml:space="preserve">#1863</t>
        </is>
      </c>
      <c r="B1172" s="3" t="inlineStr">
        <is>
          <t xml:space="preserve">2026-10-01</t>
        </is>
      </c>
      <c r="C1172" s="3" t="inlineStr">
        <is>
          <t xml:space="preserve">SKU-A</t>
        </is>
      </c>
      <c r="D1172" s="3" t="inlineStr">
        <is>
          <t xml:space="preserve">Renewal Serum</t>
        </is>
      </c>
      <c r="E1172" s="6">
        <f>IF('Settings'!$B$11="Scenario",IFERROR(INDEX('Catalogue'!$E$3:$E$100,MATCH(C1172,'Catalogue'!$B$3:$B$100,0)),F1172),F1172)</f>
        <v>69.9</v>
      </c>
      <c r="F1172" s="8">
        <v>69.9</v>
      </c>
      <c r="G1172" s="3">
        <v>1</v>
      </c>
      <c r="H1172" s="6">
        <f>IF('Settings'!$B$11="Scenario",ROUND(E1172*G1172*IFERROR(SUMIF('Pricing &amp; promotions'!$A$6:$A$8,L1172,'Pricing &amp; promotions'!$B$6:$B$8)/100,0),2),J1172)</f>
        <v>0.0</v>
      </c>
      <c r="I1172" s="6">
        <f>ROUND((E1172*G1172-H1172)/(1+'Settings'!$B$6/100),2)</f>
        <v>57.77</v>
      </c>
      <c r="J1172" s="8">
        <v>0.0</v>
      </c>
      <c r="K1172" s="3" t="inlineStr">
        <is>
          <t xml:space="preserve">TRUE</t>
        </is>
      </c>
      <c r="L1172" s="3"/>
    </row>
    <row r="1173">
      <c r="A1173" s="3" t="inlineStr">
        <is>
          <t xml:space="preserve">#1864</t>
        </is>
      </c>
      <c r="B1173" s="3" t="inlineStr">
        <is>
          <t xml:space="preserve">2026-09-24</t>
        </is>
      </c>
      <c r="C1173" s="3" t="inlineStr">
        <is>
          <t xml:space="preserve">SKU-A</t>
        </is>
      </c>
      <c r="D1173" s="3" t="inlineStr">
        <is>
          <t xml:space="preserve">Renewal Serum</t>
        </is>
      </c>
      <c r="E1173" s="6">
        <f>IF('Settings'!$B$11="Scenario",IFERROR(INDEX('Catalogue'!$E$3:$E$100,MATCH(C1173,'Catalogue'!$B$3:$B$100,0)),F1173),F1173)</f>
        <v>69.9</v>
      </c>
      <c r="F1173" s="8">
        <v>69.9</v>
      </c>
      <c r="G1173" s="3">
        <v>1</v>
      </c>
      <c r="H1173" s="6">
        <f>IF('Settings'!$B$11="Scenario",ROUND(E1173*G1173*IFERROR(SUMIF('Pricing &amp; promotions'!$A$6:$A$8,L1173,'Pricing &amp; promotions'!$B$6:$B$8)/100,0),2),J1173)</f>
        <v>0.0</v>
      </c>
      <c r="I1173" s="6">
        <f>ROUND((E1173*G1173-H1173)/(1+'Settings'!$B$6/100),2)</f>
        <v>57.77</v>
      </c>
      <c r="J1173" s="8">
        <v>0.0</v>
      </c>
      <c r="K1173" s="3" t="inlineStr">
        <is>
          <t xml:space="preserve">TRUE</t>
        </is>
      </c>
      <c r="L1173" s="3"/>
    </row>
    <row r="1174">
      <c r="A1174" s="3" t="inlineStr">
        <is>
          <t xml:space="preserve">#1865</t>
        </is>
      </c>
      <c r="B1174" s="3" t="inlineStr">
        <is>
          <t xml:space="preserve">2026-09-17</t>
        </is>
      </c>
      <c r="C1174" s="3" t="inlineStr">
        <is>
          <t xml:space="preserve">SKU-A</t>
        </is>
      </c>
      <c r="D1174" s="3" t="inlineStr">
        <is>
          <t xml:space="preserve">Renewal Serum</t>
        </is>
      </c>
      <c r="E1174" s="6">
        <f>IF('Settings'!$B$11="Scenario",IFERROR(INDEX('Catalogue'!$E$3:$E$100,MATCH(C1174,'Catalogue'!$B$3:$B$100,0)),F1174),F1174)</f>
        <v>69.9</v>
      </c>
      <c r="F1174" s="8">
        <v>69.9</v>
      </c>
      <c r="G1174" s="3">
        <v>1</v>
      </c>
      <c r="H1174" s="6">
        <f>IF('Settings'!$B$11="Scenario",ROUND(E1174*G1174*IFERROR(SUMIF('Pricing &amp; promotions'!$A$6:$A$8,L1174,'Pricing &amp; promotions'!$B$6:$B$8)/100,0),2),J1174)</f>
        <v>0.0</v>
      </c>
      <c r="I1174" s="6">
        <f>ROUND((E1174*G1174-H1174)/(1+'Settings'!$B$6/100),2)</f>
        <v>57.77</v>
      </c>
      <c r="J1174" s="8">
        <v>0.0</v>
      </c>
      <c r="K1174" s="3" t="inlineStr">
        <is>
          <t xml:space="preserve">TRUE</t>
        </is>
      </c>
      <c r="L1174" s="3"/>
    </row>
    <row r="1175">
      <c r="A1175" s="3" t="inlineStr">
        <is>
          <t xml:space="preserve">#1866</t>
        </is>
      </c>
      <c r="B1175" s="3" t="inlineStr">
        <is>
          <t xml:space="preserve">2026-09-10</t>
        </is>
      </c>
      <c r="C1175" s="3" t="inlineStr">
        <is>
          <t xml:space="preserve">SKU-A</t>
        </is>
      </c>
      <c r="D1175" s="3" t="inlineStr">
        <is>
          <t xml:space="preserve">Renewal Serum</t>
        </is>
      </c>
      <c r="E1175" s="6">
        <f>IF('Settings'!$B$11="Scenario",IFERROR(INDEX('Catalogue'!$E$3:$E$100,MATCH(C1175,'Catalogue'!$B$3:$B$100,0)),F1175),F1175)</f>
        <v>69.9</v>
      </c>
      <c r="F1175" s="8">
        <v>69.9</v>
      </c>
      <c r="G1175" s="3">
        <v>1</v>
      </c>
      <c r="H1175" s="6">
        <f>IF('Settings'!$B$11="Scenario",ROUND(E1175*G1175*IFERROR(SUMIF('Pricing &amp; promotions'!$A$6:$A$8,L1175,'Pricing &amp; promotions'!$B$6:$B$8)/100,0),2),J1175)</f>
        <v>0.0</v>
      </c>
      <c r="I1175" s="6">
        <f>ROUND((E1175*G1175-H1175)/(1+'Settings'!$B$6/100),2)</f>
        <v>57.77</v>
      </c>
      <c r="J1175" s="8">
        <v>0.0</v>
      </c>
      <c r="K1175" s="3" t="inlineStr">
        <is>
          <t xml:space="preserve">TRUE</t>
        </is>
      </c>
      <c r="L1175" s="3"/>
    </row>
    <row r="1176">
      <c r="A1176" s="3" t="inlineStr">
        <is>
          <t xml:space="preserve">#1867</t>
        </is>
      </c>
      <c r="B1176" s="3" t="inlineStr">
        <is>
          <t xml:space="preserve">2026-09-03</t>
        </is>
      </c>
      <c r="C1176" s="3" t="inlineStr">
        <is>
          <t xml:space="preserve">SKU-A</t>
        </is>
      </c>
      <c r="D1176" s="3" t="inlineStr">
        <is>
          <t xml:space="preserve">Renewal Serum</t>
        </is>
      </c>
      <c r="E1176" s="6">
        <f>IF('Settings'!$B$11="Scenario",IFERROR(INDEX('Catalogue'!$E$3:$E$100,MATCH(C1176,'Catalogue'!$B$3:$B$100,0)),F1176),F1176)</f>
        <v>69.9</v>
      </c>
      <c r="F1176" s="8">
        <v>69.9</v>
      </c>
      <c r="G1176" s="3">
        <v>1</v>
      </c>
      <c r="H1176" s="6">
        <f>IF('Settings'!$B$11="Scenario",ROUND(E1176*G1176*IFERROR(SUMIF('Pricing &amp; promotions'!$A$6:$A$8,L1176,'Pricing &amp; promotions'!$B$6:$B$8)/100,0),2),J1176)</f>
        <v>0.0</v>
      </c>
      <c r="I1176" s="6">
        <f>ROUND((E1176*G1176-H1176)/(1+'Settings'!$B$6/100),2)</f>
        <v>57.77</v>
      </c>
      <c r="J1176" s="8">
        <v>0.0</v>
      </c>
      <c r="K1176" s="3" t="inlineStr">
        <is>
          <t xml:space="preserve">TRUE</t>
        </is>
      </c>
      <c r="L1176" s="3"/>
    </row>
    <row r="1177">
      <c r="A1177" s="3" t="inlineStr">
        <is>
          <t xml:space="preserve">#1868</t>
        </is>
      </c>
      <c r="B1177" s="3" t="inlineStr">
        <is>
          <t xml:space="preserve">2026-08-27</t>
        </is>
      </c>
      <c r="C1177" s="3" t="inlineStr">
        <is>
          <t xml:space="preserve">SKU-A</t>
        </is>
      </c>
      <c r="D1177" s="3" t="inlineStr">
        <is>
          <t xml:space="preserve">Renewal Serum</t>
        </is>
      </c>
      <c r="E1177" s="6">
        <f>IF('Settings'!$B$11="Scenario",IFERROR(INDEX('Catalogue'!$E$3:$E$100,MATCH(C1177,'Catalogue'!$B$3:$B$100,0)),F1177),F1177)</f>
        <v>69.9</v>
      </c>
      <c r="F1177" s="8">
        <v>69.9</v>
      </c>
      <c r="G1177" s="3">
        <v>1</v>
      </c>
      <c r="H1177" s="6">
        <f>IF('Settings'!$B$11="Scenario",ROUND(E1177*G1177*IFERROR(SUMIF('Pricing &amp; promotions'!$A$6:$A$8,L1177,'Pricing &amp; promotions'!$B$6:$B$8)/100,0),2),J1177)</f>
        <v>0.0</v>
      </c>
      <c r="I1177" s="6">
        <f>ROUND((E1177*G1177-H1177)/(1+'Settings'!$B$6/100),2)</f>
        <v>57.77</v>
      </c>
      <c r="J1177" s="8">
        <v>0.0</v>
      </c>
      <c r="K1177" s="3" t="inlineStr">
        <is>
          <t xml:space="preserve">TRUE</t>
        </is>
      </c>
      <c r="L1177" s="3"/>
    </row>
    <row r="1178">
      <c r="A1178" s="3" t="inlineStr">
        <is>
          <t xml:space="preserve">#1869</t>
        </is>
      </c>
      <c r="B1178" s="3" t="inlineStr">
        <is>
          <t xml:space="preserve">2026-08-20</t>
        </is>
      </c>
      <c r="C1178" s="3" t="inlineStr">
        <is>
          <t xml:space="preserve">SKU-A</t>
        </is>
      </c>
      <c r="D1178" s="3" t="inlineStr">
        <is>
          <t xml:space="preserve">Renewal Serum</t>
        </is>
      </c>
      <c r="E1178" s="6">
        <f>IF('Settings'!$B$11="Scenario",IFERROR(INDEX('Catalogue'!$E$3:$E$100,MATCH(C1178,'Catalogue'!$B$3:$B$100,0)),F1178),F1178)</f>
        <v>69.9</v>
      </c>
      <c r="F1178" s="8">
        <v>69.9</v>
      </c>
      <c r="G1178" s="3">
        <v>1</v>
      </c>
      <c r="H1178" s="6">
        <f>IF('Settings'!$B$11="Scenario",ROUND(E1178*G1178*IFERROR(SUMIF('Pricing &amp; promotions'!$A$6:$A$8,L1178,'Pricing &amp; promotions'!$B$6:$B$8)/100,0),2),J1178)</f>
        <v>0.0</v>
      </c>
      <c r="I1178" s="6">
        <f>ROUND((E1178*G1178-H1178)/(1+'Settings'!$B$6/100),2)</f>
        <v>57.77</v>
      </c>
      <c r="J1178" s="8">
        <v>0.0</v>
      </c>
      <c r="K1178" s="3" t="inlineStr">
        <is>
          <t xml:space="preserve">TRUE</t>
        </is>
      </c>
      <c r="L1178" s="3"/>
    </row>
    <row r="1179">
      <c r="A1179" s="3" t="inlineStr">
        <is>
          <t xml:space="preserve">#1870</t>
        </is>
      </c>
      <c r="B1179" s="3" t="inlineStr">
        <is>
          <t xml:space="preserve">2026-08-13</t>
        </is>
      </c>
      <c r="C1179" s="3" t="inlineStr">
        <is>
          <t xml:space="preserve">SKU-A</t>
        </is>
      </c>
      <c r="D1179" s="3" t="inlineStr">
        <is>
          <t xml:space="preserve">Renewal Serum</t>
        </is>
      </c>
      <c r="E1179" s="6">
        <f>IF('Settings'!$B$11="Scenario",IFERROR(INDEX('Catalogue'!$E$3:$E$100,MATCH(C1179,'Catalogue'!$B$3:$B$100,0)),F1179),F1179)</f>
        <v>69.9</v>
      </c>
      <c r="F1179" s="8">
        <v>69.9</v>
      </c>
      <c r="G1179" s="3">
        <v>1</v>
      </c>
      <c r="H1179" s="6">
        <f>IF('Settings'!$B$11="Scenario",ROUND(E1179*G1179*IFERROR(SUMIF('Pricing &amp; promotions'!$A$6:$A$8,L1179,'Pricing &amp; promotions'!$B$6:$B$8)/100,0),2),J1179)</f>
        <v>0.0</v>
      </c>
      <c r="I1179" s="6">
        <f>ROUND((E1179*G1179-H1179)/(1+'Settings'!$B$6/100),2)</f>
        <v>57.77</v>
      </c>
      <c r="J1179" s="8">
        <v>0.0</v>
      </c>
      <c r="K1179" s="3" t="inlineStr">
        <is>
          <t xml:space="preserve">TRUE</t>
        </is>
      </c>
      <c r="L1179" s="3"/>
    </row>
    <row r="1180">
      <c r="A1180" s="3" t="inlineStr">
        <is>
          <t xml:space="preserve">#1871</t>
        </is>
      </c>
      <c r="B1180" s="3" t="inlineStr">
        <is>
          <t xml:space="preserve">2026-08-06</t>
        </is>
      </c>
      <c r="C1180" s="3" t="inlineStr">
        <is>
          <t xml:space="preserve">SKU-A</t>
        </is>
      </c>
      <c r="D1180" s="3" t="inlineStr">
        <is>
          <t xml:space="preserve">Renewal Serum</t>
        </is>
      </c>
      <c r="E1180" s="6">
        <f>IF('Settings'!$B$11="Scenario",IFERROR(INDEX('Catalogue'!$E$3:$E$100,MATCH(C1180,'Catalogue'!$B$3:$B$100,0)),F1180),F1180)</f>
        <v>69.9</v>
      </c>
      <c r="F1180" s="8">
        <v>69.9</v>
      </c>
      <c r="G1180" s="3">
        <v>1</v>
      </c>
      <c r="H1180" s="6">
        <f>IF('Settings'!$B$11="Scenario",ROUND(E1180*G1180*IFERROR(SUMIF('Pricing &amp; promotions'!$A$6:$A$8,L1180,'Pricing &amp; promotions'!$B$6:$B$8)/100,0),2),J1180)</f>
        <v>0.0</v>
      </c>
      <c r="I1180" s="6">
        <f>ROUND((E1180*G1180-H1180)/(1+'Settings'!$B$6/100),2)</f>
        <v>57.77</v>
      </c>
      <c r="J1180" s="8">
        <v>0.0</v>
      </c>
      <c r="K1180" s="3" t="inlineStr">
        <is>
          <t xml:space="preserve">TRUE</t>
        </is>
      </c>
      <c r="L1180" s="3"/>
    </row>
    <row r="1181">
      <c r="A1181" s="3" t="inlineStr">
        <is>
          <t xml:space="preserve">#1872</t>
        </is>
      </c>
      <c r="B1181" s="3" t="inlineStr">
        <is>
          <t xml:space="preserve">2026-07-30</t>
        </is>
      </c>
      <c r="C1181" s="3" t="inlineStr">
        <is>
          <t xml:space="preserve">SKU-A</t>
        </is>
      </c>
      <c r="D1181" s="3" t="inlineStr">
        <is>
          <t xml:space="preserve">Renewal Serum</t>
        </is>
      </c>
      <c r="E1181" s="6">
        <f>IF('Settings'!$B$11="Scenario",IFERROR(INDEX('Catalogue'!$E$3:$E$100,MATCH(C1181,'Catalogue'!$B$3:$B$100,0)),F1181),F1181)</f>
        <v>69.9</v>
      </c>
      <c r="F1181" s="8">
        <v>69.9</v>
      </c>
      <c r="G1181" s="3">
        <v>1</v>
      </c>
      <c r="H1181" s="6">
        <f>IF('Settings'!$B$11="Scenario",ROUND(E1181*G1181*IFERROR(SUMIF('Pricing &amp; promotions'!$A$6:$A$8,L1181,'Pricing &amp; promotions'!$B$6:$B$8)/100,0),2),J1181)</f>
        <v>0.0</v>
      </c>
      <c r="I1181" s="6">
        <f>ROUND((E1181*G1181-H1181)/(1+'Settings'!$B$6/100),2)</f>
        <v>57.77</v>
      </c>
      <c r="J1181" s="8">
        <v>0.0</v>
      </c>
      <c r="K1181" s="3" t="inlineStr">
        <is>
          <t xml:space="preserve">TRUE</t>
        </is>
      </c>
      <c r="L1181" s="3"/>
    </row>
    <row r="1182">
      <c r="A1182" s="3" t="inlineStr">
        <is>
          <t xml:space="preserve">#1873</t>
        </is>
      </c>
      <c r="B1182" s="3" t="inlineStr">
        <is>
          <t xml:space="preserve">2026-10-21</t>
        </is>
      </c>
      <c r="C1182" s="3" t="inlineStr">
        <is>
          <t xml:space="preserve">SKU-A</t>
        </is>
      </c>
      <c r="D1182" s="3" t="inlineStr">
        <is>
          <t xml:space="preserve">Renewal Serum</t>
        </is>
      </c>
      <c r="E1182" s="6">
        <f>IF('Settings'!$B$11="Scenario",IFERROR(INDEX('Catalogue'!$E$3:$E$100,MATCH(C1182,'Catalogue'!$B$3:$B$100,0)),F1182),F1182)</f>
        <v>69.9</v>
      </c>
      <c r="F1182" s="8">
        <v>69.9</v>
      </c>
      <c r="G1182" s="3">
        <v>1</v>
      </c>
      <c r="H1182" s="6">
        <f>IF('Settings'!$B$11="Scenario",ROUND(E1182*G1182*IFERROR(SUMIF('Pricing &amp; promotions'!$A$6:$A$8,L1182,'Pricing &amp; promotions'!$B$6:$B$8)/100,0),2),J1182)</f>
        <v>0.0</v>
      </c>
      <c r="I1182" s="6">
        <f>ROUND((E1182*G1182-H1182)/(1+'Settings'!$B$6/100),2)</f>
        <v>57.77</v>
      </c>
      <c r="J1182" s="8">
        <v>0.0</v>
      </c>
      <c r="K1182" s="3" t="inlineStr">
        <is>
          <t xml:space="preserve">TRUE</t>
        </is>
      </c>
      <c r="L1182" s="3"/>
    </row>
    <row r="1183">
      <c r="A1183" s="3" t="inlineStr">
        <is>
          <t xml:space="preserve">#1874</t>
        </is>
      </c>
      <c r="B1183" s="3" t="inlineStr">
        <is>
          <t xml:space="preserve">2026-10-14</t>
        </is>
      </c>
      <c r="C1183" s="3" t="inlineStr">
        <is>
          <t xml:space="preserve">SKU-A</t>
        </is>
      </c>
      <c r="D1183" s="3" t="inlineStr">
        <is>
          <t xml:space="preserve">Renewal Serum</t>
        </is>
      </c>
      <c r="E1183" s="6">
        <f>IF('Settings'!$B$11="Scenario",IFERROR(INDEX('Catalogue'!$E$3:$E$100,MATCH(C1183,'Catalogue'!$B$3:$B$100,0)),F1183),F1183)</f>
        <v>69.9</v>
      </c>
      <c r="F1183" s="8">
        <v>69.9</v>
      </c>
      <c r="G1183" s="3">
        <v>1</v>
      </c>
      <c r="H1183" s="6">
        <f>IF('Settings'!$B$11="Scenario",ROUND(E1183*G1183*IFERROR(SUMIF('Pricing &amp; promotions'!$A$6:$A$8,L1183,'Pricing &amp; promotions'!$B$6:$B$8)/100,0),2),J1183)</f>
        <v>0.0</v>
      </c>
      <c r="I1183" s="6">
        <f>ROUND((E1183*G1183-H1183)/(1+'Settings'!$B$6/100),2)</f>
        <v>57.77</v>
      </c>
      <c r="J1183" s="8">
        <v>0.0</v>
      </c>
      <c r="K1183" s="3" t="inlineStr">
        <is>
          <t xml:space="preserve">TRUE</t>
        </is>
      </c>
      <c r="L1183" s="3"/>
    </row>
    <row r="1184">
      <c r="A1184" s="3" t="inlineStr">
        <is>
          <t xml:space="preserve">#1875</t>
        </is>
      </c>
      <c r="B1184" s="3" t="inlineStr">
        <is>
          <t xml:space="preserve">2026-10-07</t>
        </is>
      </c>
      <c r="C1184" s="3" t="inlineStr">
        <is>
          <t xml:space="preserve">SKU-A</t>
        </is>
      </c>
      <c r="D1184" s="3" t="inlineStr">
        <is>
          <t xml:space="preserve">Renewal Serum</t>
        </is>
      </c>
      <c r="E1184" s="6">
        <f>IF('Settings'!$B$11="Scenario",IFERROR(INDEX('Catalogue'!$E$3:$E$100,MATCH(C1184,'Catalogue'!$B$3:$B$100,0)),F1184),F1184)</f>
        <v>69.9</v>
      </c>
      <c r="F1184" s="8">
        <v>69.9</v>
      </c>
      <c r="G1184" s="3">
        <v>1</v>
      </c>
      <c r="H1184" s="6">
        <f>IF('Settings'!$B$11="Scenario",ROUND(E1184*G1184*IFERROR(SUMIF('Pricing &amp; promotions'!$A$6:$A$8,L1184,'Pricing &amp; promotions'!$B$6:$B$8)/100,0),2),J1184)</f>
        <v>0.0</v>
      </c>
      <c r="I1184" s="6">
        <f>ROUND((E1184*G1184-H1184)/(1+'Settings'!$B$6/100),2)</f>
        <v>57.77</v>
      </c>
      <c r="J1184" s="8">
        <v>0.0</v>
      </c>
      <c r="K1184" s="3" t="inlineStr">
        <is>
          <t xml:space="preserve">TRUE</t>
        </is>
      </c>
      <c r="L1184" s="3"/>
    </row>
    <row r="1185">
      <c r="A1185" s="3" t="inlineStr">
        <is>
          <t xml:space="preserve">#1876</t>
        </is>
      </c>
      <c r="B1185" s="3" t="inlineStr">
        <is>
          <t xml:space="preserve">2026-09-30</t>
        </is>
      </c>
      <c r="C1185" s="3" t="inlineStr">
        <is>
          <t xml:space="preserve">SKU-A</t>
        </is>
      </c>
      <c r="D1185" s="3" t="inlineStr">
        <is>
          <t xml:space="preserve">Renewal Serum</t>
        </is>
      </c>
      <c r="E1185" s="6">
        <f>IF('Settings'!$B$11="Scenario",IFERROR(INDEX('Catalogue'!$E$3:$E$100,MATCH(C1185,'Catalogue'!$B$3:$B$100,0)),F1185),F1185)</f>
        <v>69.9</v>
      </c>
      <c r="F1185" s="8">
        <v>69.9</v>
      </c>
      <c r="G1185" s="3">
        <v>1</v>
      </c>
      <c r="H1185" s="6">
        <f>IF('Settings'!$B$11="Scenario",ROUND(E1185*G1185*IFERROR(SUMIF('Pricing &amp; promotions'!$A$6:$A$8,L1185,'Pricing &amp; promotions'!$B$6:$B$8)/100,0),2),J1185)</f>
        <v>0.0</v>
      </c>
      <c r="I1185" s="6">
        <f>ROUND((E1185*G1185-H1185)/(1+'Settings'!$B$6/100),2)</f>
        <v>57.77</v>
      </c>
      <c r="J1185" s="8">
        <v>0.0</v>
      </c>
      <c r="K1185" s="3" t="inlineStr">
        <is>
          <t xml:space="preserve">TRUE</t>
        </is>
      </c>
      <c r="L1185" s="3"/>
    </row>
    <row r="1186">
      <c r="A1186" s="3" t="inlineStr">
        <is>
          <t xml:space="preserve">#1877</t>
        </is>
      </c>
      <c r="B1186" s="3" t="inlineStr">
        <is>
          <t xml:space="preserve">2026-09-23</t>
        </is>
      </c>
      <c r="C1186" s="3" t="inlineStr">
        <is>
          <t xml:space="preserve">SKU-A</t>
        </is>
      </c>
      <c r="D1186" s="3" t="inlineStr">
        <is>
          <t xml:space="preserve">Renewal Serum</t>
        </is>
      </c>
      <c r="E1186" s="6">
        <f>IF('Settings'!$B$11="Scenario",IFERROR(INDEX('Catalogue'!$E$3:$E$100,MATCH(C1186,'Catalogue'!$B$3:$B$100,0)),F1186),F1186)</f>
        <v>69.9</v>
      </c>
      <c r="F1186" s="8">
        <v>69.9</v>
      </c>
      <c r="G1186" s="3">
        <v>1</v>
      </c>
      <c r="H1186" s="6">
        <f>IF('Settings'!$B$11="Scenario",ROUND(E1186*G1186*IFERROR(SUMIF('Pricing &amp; promotions'!$A$6:$A$8,L1186,'Pricing &amp; promotions'!$B$6:$B$8)/100,0),2),J1186)</f>
        <v>0.0</v>
      </c>
      <c r="I1186" s="6">
        <f>ROUND((E1186*G1186-H1186)/(1+'Settings'!$B$6/100),2)</f>
        <v>57.77</v>
      </c>
      <c r="J1186" s="8">
        <v>0.0</v>
      </c>
      <c r="K1186" s="3" t="inlineStr">
        <is>
          <t xml:space="preserve">TRUE</t>
        </is>
      </c>
      <c r="L1186" s="3"/>
    </row>
    <row r="1187">
      <c r="A1187" s="3" t="inlineStr">
        <is>
          <t xml:space="preserve">#1878</t>
        </is>
      </c>
      <c r="B1187" s="3" t="inlineStr">
        <is>
          <t xml:space="preserve">2026-09-16</t>
        </is>
      </c>
      <c r="C1187" s="3" t="inlineStr">
        <is>
          <t xml:space="preserve">SKU-A</t>
        </is>
      </c>
      <c r="D1187" s="3" t="inlineStr">
        <is>
          <t xml:space="preserve">Renewal Serum</t>
        </is>
      </c>
      <c r="E1187" s="6">
        <f>IF('Settings'!$B$11="Scenario",IFERROR(INDEX('Catalogue'!$E$3:$E$100,MATCH(C1187,'Catalogue'!$B$3:$B$100,0)),F1187),F1187)</f>
        <v>69.9</v>
      </c>
      <c r="F1187" s="8">
        <v>69.9</v>
      </c>
      <c r="G1187" s="3">
        <v>1</v>
      </c>
      <c r="H1187" s="6">
        <f>IF('Settings'!$B$11="Scenario",ROUND(E1187*G1187*IFERROR(SUMIF('Pricing &amp; promotions'!$A$6:$A$8,L1187,'Pricing &amp; promotions'!$B$6:$B$8)/100,0),2),J1187)</f>
        <v>0.0</v>
      </c>
      <c r="I1187" s="6">
        <f>ROUND((E1187*G1187-H1187)/(1+'Settings'!$B$6/100),2)</f>
        <v>57.77</v>
      </c>
      <c r="J1187" s="8">
        <v>0.0</v>
      </c>
      <c r="K1187" s="3" t="inlineStr">
        <is>
          <t xml:space="preserve">TRUE</t>
        </is>
      </c>
      <c r="L1187" s="3"/>
    </row>
    <row r="1188">
      <c r="A1188" s="3" t="inlineStr">
        <is>
          <t xml:space="preserve">#1879</t>
        </is>
      </c>
      <c r="B1188" s="3" t="inlineStr">
        <is>
          <t xml:space="preserve">2026-09-09</t>
        </is>
      </c>
      <c r="C1188" s="3" t="inlineStr">
        <is>
          <t xml:space="preserve">SKU-A</t>
        </is>
      </c>
      <c r="D1188" s="3" t="inlineStr">
        <is>
          <t xml:space="preserve">Renewal Serum</t>
        </is>
      </c>
      <c r="E1188" s="6">
        <f>IF('Settings'!$B$11="Scenario",IFERROR(INDEX('Catalogue'!$E$3:$E$100,MATCH(C1188,'Catalogue'!$B$3:$B$100,0)),F1188),F1188)</f>
        <v>69.9</v>
      </c>
      <c r="F1188" s="8">
        <v>69.9</v>
      </c>
      <c r="G1188" s="3">
        <v>1</v>
      </c>
      <c r="H1188" s="6">
        <f>IF('Settings'!$B$11="Scenario",ROUND(E1188*G1188*IFERROR(SUMIF('Pricing &amp; promotions'!$A$6:$A$8,L1188,'Pricing &amp; promotions'!$B$6:$B$8)/100,0),2),J1188)</f>
        <v>0.0</v>
      </c>
      <c r="I1188" s="6">
        <f>ROUND((E1188*G1188-H1188)/(1+'Settings'!$B$6/100),2)</f>
        <v>57.77</v>
      </c>
      <c r="J1188" s="8">
        <v>0.0</v>
      </c>
      <c r="K1188" s="3" t="inlineStr">
        <is>
          <t xml:space="preserve">TRUE</t>
        </is>
      </c>
      <c r="L1188" s="3"/>
    </row>
    <row r="1189">
      <c r="A1189" s="3" t="inlineStr">
        <is>
          <t xml:space="preserve">#1880</t>
        </is>
      </c>
      <c r="B1189" s="3" t="inlineStr">
        <is>
          <t xml:space="preserve">2026-09-02</t>
        </is>
      </c>
      <c r="C1189" s="3" t="inlineStr">
        <is>
          <t xml:space="preserve">SKU-A</t>
        </is>
      </c>
      <c r="D1189" s="3" t="inlineStr">
        <is>
          <t xml:space="preserve">Renewal Serum</t>
        </is>
      </c>
      <c r="E1189" s="6">
        <f>IF('Settings'!$B$11="Scenario",IFERROR(INDEX('Catalogue'!$E$3:$E$100,MATCH(C1189,'Catalogue'!$B$3:$B$100,0)),F1189),F1189)</f>
        <v>69.9</v>
      </c>
      <c r="F1189" s="8">
        <v>69.9</v>
      </c>
      <c r="G1189" s="3">
        <v>1</v>
      </c>
      <c r="H1189" s="6">
        <f>IF('Settings'!$B$11="Scenario",ROUND(E1189*G1189*IFERROR(SUMIF('Pricing &amp; promotions'!$A$6:$A$8,L1189,'Pricing &amp; promotions'!$B$6:$B$8)/100,0),2),J1189)</f>
        <v>0.0</v>
      </c>
      <c r="I1189" s="6">
        <f>ROUND((E1189*G1189-H1189)/(1+'Settings'!$B$6/100),2)</f>
        <v>57.77</v>
      </c>
      <c r="J1189" s="8">
        <v>0.0</v>
      </c>
      <c r="K1189" s="3" t="inlineStr">
        <is>
          <t xml:space="preserve">TRUE</t>
        </is>
      </c>
      <c r="L1189" s="3"/>
    </row>
    <row r="1190">
      <c r="A1190" s="3" t="inlineStr">
        <is>
          <t xml:space="preserve">#1881</t>
        </is>
      </c>
      <c r="B1190" s="3" t="inlineStr">
        <is>
          <t xml:space="preserve">2026-08-26</t>
        </is>
      </c>
      <c r="C1190" s="3" t="inlineStr">
        <is>
          <t xml:space="preserve">SKU-A</t>
        </is>
      </c>
      <c r="D1190" s="3" t="inlineStr">
        <is>
          <t xml:space="preserve">Renewal Serum</t>
        </is>
      </c>
      <c r="E1190" s="6">
        <f>IF('Settings'!$B$11="Scenario",IFERROR(INDEX('Catalogue'!$E$3:$E$100,MATCH(C1190,'Catalogue'!$B$3:$B$100,0)),F1190),F1190)</f>
        <v>69.9</v>
      </c>
      <c r="F1190" s="8">
        <v>69.9</v>
      </c>
      <c r="G1190" s="3">
        <v>1</v>
      </c>
      <c r="H1190" s="6">
        <f>IF('Settings'!$B$11="Scenario",ROUND(E1190*G1190*IFERROR(SUMIF('Pricing &amp; promotions'!$A$6:$A$8,L1190,'Pricing &amp; promotions'!$B$6:$B$8)/100,0),2),J1190)</f>
        <v>0.0</v>
      </c>
      <c r="I1190" s="6">
        <f>ROUND((E1190*G1190-H1190)/(1+'Settings'!$B$6/100),2)</f>
        <v>57.77</v>
      </c>
      <c r="J1190" s="8">
        <v>0.0</v>
      </c>
      <c r="K1190" s="3" t="inlineStr">
        <is>
          <t xml:space="preserve">TRUE</t>
        </is>
      </c>
      <c r="L1190" s="3"/>
    </row>
    <row r="1191">
      <c r="A1191" s="3" t="inlineStr">
        <is>
          <t xml:space="preserve">#1882</t>
        </is>
      </c>
      <c r="B1191" s="3" t="inlineStr">
        <is>
          <t xml:space="preserve">2026-08-19</t>
        </is>
      </c>
      <c r="C1191" s="3" t="inlineStr">
        <is>
          <t xml:space="preserve">SKU-A</t>
        </is>
      </c>
      <c r="D1191" s="3" t="inlineStr">
        <is>
          <t xml:space="preserve">Renewal Serum</t>
        </is>
      </c>
      <c r="E1191" s="6">
        <f>IF('Settings'!$B$11="Scenario",IFERROR(INDEX('Catalogue'!$E$3:$E$100,MATCH(C1191,'Catalogue'!$B$3:$B$100,0)),F1191),F1191)</f>
        <v>69.9</v>
      </c>
      <c r="F1191" s="8">
        <v>69.9</v>
      </c>
      <c r="G1191" s="3">
        <v>1</v>
      </c>
      <c r="H1191" s="6">
        <f>IF('Settings'!$B$11="Scenario",ROUND(E1191*G1191*IFERROR(SUMIF('Pricing &amp; promotions'!$A$6:$A$8,L1191,'Pricing &amp; promotions'!$B$6:$B$8)/100,0),2),J1191)</f>
        <v>0.0</v>
      </c>
      <c r="I1191" s="6">
        <f>ROUND((E1191*G1191-H1191)/(1+'Settings'!$B$6/100),2)</f>
        <v>57.77</v>
      </c>
      <c r="J1191" s="8">
        <v>0.0</v>
      </c>
      <c r="K1191" s="3" t="inlineStr">
        <is>
          <t xml:space="preserve">TRUE</t>
        </is>
      </c>
      <c r="L1191" s="3"/>
    </row>
    <row r="1192">
      <c r="A1192" s="3" t="inlineStr">
        <is>
          <t xml:space="preserve">#1883</t>
        </is>
      </c>
      <c r="B1192" s="3" t="inlineStr">
        <is>
          <t xml:space="preserve">2026-08-12</t>
        </is>
      </c>
      <c r="C1192" s="3" t="inlineStr">
        <is>
          <t xml:space="preserve">SKU-A</t>
        </is>
      </c>
      <c r="D1192" s="3" t="inlineStr">
        <is>
          <t xml:space="preserve">Renewal Serum</t>
        </is>
      </c>
      <c r="E1192" s="6">
        <f>IF('Settings'!$B$11="Scenario",IFERROR(INDEX('Catalogue'!$E$3:$E$100,MATCH(C1192,'Catalogue'!$B$3:$B$100,0)),F1192),F1192)</f>
        <v>69.9</v>
      </c>
      <c r="F1192" s="8">
        <v>69.9</v>
      </c>
      <c r="G1192" s="3">
        <v>1</v>
      </c>
      <c r="H1192" s="6">
        <f>IF('Settings'!$B$11="Scenario",ROUND(E1192*G1192*IFERROR(SUMIF('Pricing &amp; promotions'!$A$6:$A$8,L1192,'Pricing &amp; promotions'!$B$6:$B$8)/100,0),2),J1192)</f>
        <v>0.0</v>
      </c>
      <c r="I1192" s="6">
        <f>ROUND((E1192*G1192-H1192)/(1+'Settings'!$B$6/100),2)</f>
        <v>57.77</v>
      </c>
      <c r="J1192" s="8">
        <v>0.0</v>
      </c>
      <c r="K1192" s="3" t="inlineStr">
        <is>
          <t xml:space="preserve">TRUE</t>
        </is>
      </c>
      <c r="L1192" s="3"/>
    </row>
    <row r="1193">
      <c r="A1193" s="3" t="inlineStr">
        <is>
          <t xml:space="preserve">#1884</t>
        </is>
      </c>
      <c r="B1193" s="3" t="inlineStr">
        <is>
          <t xml:space="preserve">2026-08-05</t>
        </is>
      </c>
      <c r="C1193" s="3" t="inlineStr">
        <is>
          <t xml:space="preserve">SKU-A</t>
        </is>
      </c>
      <c r="D1193" s="3" t="inlineStr">
        <is>
          <t xml:space="preserve">Renewal Serum</t>
        </is>
      </c>
      <c r="E1193" s="6">
        <f>IF('Settings'!$B$11="Scenario",IFERROR(INDEX('Catalogue'!$E$3:$E$100,MATCH(C1193,'Catalogue'!$B$3:$B$100,0)),F1193),F1193)</f>
        <v>69.9</v>
      </c>
      <c r="F1193" s="8">
        <v>69.9</v>
      </c>
      <c r="G1193" s="3">
        <v>1</v>
      </c>
      <c r="H1193" s="6">
        <f>IF('Settings'!$B$11="Scenario",ROUND(E1193*G1193*IFERROR(SUMIF('Pricing &amp; promotions'!$A$6:$A$8,L1193,'Pricing &amp; promotions'!$B$6:$B$8)/100,0),2),J1193)</f>
        <v>0.0</v>
      </c>
      <c r="I1193" s="6">
        <f>ROUND((E1193*G1193-H1193)/(1+'Settings'!$B$6/100),2)</f>
        <v>57.77</v>
      </c>
      <c r="J1193" s="8">
        <v>0.0</v>
      </c>
      <c r="K1193" s="3" t="inlineStr">
        <is>
          <t xml:space="preserve">TRUE</t>
        </is>
      </c>
      <c r="L1193" s="3"/>
    </row>
    <row r="1194">
      <c r="A1194" s="3" t="inlineStr">
        <is>
          <t xml:space="preserve">#1885</t>
        </is>
      </c>
      <c r="B1194" s="3" t="inlineStr">
        <is>
          <t xml:space="preserve">2026-07-29</t>
        </is>
      </c>
      <c r="C1194" s="3" t="inlineStr">
        <is>
          <t xml:space="preserve">SKU-A</t>
        </is>
      </c>
      <c r="D1194" s="3" t="inlineStr">
        <is>
          <t xml:space="preserve">Renewal Serum</t>
        </is>
      </c>
      <c r="E1194" s="6">
        <f>IF('Settings'!$B$11="Scenario",IFERROR(INDEX('Catalogue'!$E$3:$E$100,MATCH(C1194,'Catalogue'!$B$3:$B$100,0)),F1194),F1194)</f>
        <v>69.9</v>
      </c>
      <c r="F1194" s="8">
        <v>69.9</v>
      </c>
      <c r="G1194" s="3">
        <v>1</v>
      </c>
      <c r="H1194" s="6">
        <f>IF('Settings'!$B$11="Scenario",ROUND(E1194*G1194*IFERROR(SUMIF('Pricing &amp; promotions'!$A$6:$A$8,L1194,'Pricing &amp; promotions'!$B$6:$B$8)/100,0),2),J1194)</f>
        <v>0.0</v>
      </c>
      <c r="I1194" s="6">
        <f>ROUND((E1194*G1194-H1194)/(1+'Settings'!$B$6/100),2)</f>
        <v>57.77</v>
      </c>
      <c r="J1194" s="8">
        <v>0.0</v>
      </c>
      <c r="K1194" s="3" t="inlineStr">
        <is>
          <t xml:space="preserve">TRUE</t>
        </is>
      </c>
      <c r="L1194" s="3"/>
    </row>
    <row r="1195">
      <c r="A1195" s="3" t="inlineStr">
        <is>
          <t xml:space="preserve">#1886</t>
        </is>
      </c>
      <c r="B1195" s="3" t="inlineStr">
        <is>
          <t xml:space="preserve">2026-10-20</t>
        </is>
      </c>
      <c r="C1195" s="3" t="inlineStr">
        <is>
          <t xml:space="preserve">SKU-A</t>
        </is>
      </c>
      <c r="D1195" s="3" t="inlineStr">
        <is>
          <t xml:space="preserve">Renewal Serum</t>
        </is>
      </c>
      <c r="E1195" s="6">
        <f>IF('Settings'!$B$11="Scenario",IFERROR(INDEX('Catalogue'!$E$3:$E$100,MATCH(C1195,'Catalogue'!$B$3:$B$100,0)),F1195),F1195)</f>
        <v>69.9</v>
      </c>
      <c r="F1195" s="8">
        <v>69.9</v>
      </c>
      <c r="G1195" s="3">
        <v>1</v>
      </c>
      <c r="H1195" s="6">
        <f>IF('Settings'!$B$11="Scenario",ROUND(E1195*G1195*IFERROR(SUMIF('Pricing &amp; promotions'!$A$6:$A$8,L1195,'Pricing &amp; promotions'!$B$6:$B$8)/100,0),2),J1195)</f>
        <v>0.0</v>
      </c>
      <c r="I1195" s="6">
        <f>ROUND((E1195*G1195-H1195)/(1+'Settings'!$B$6/100),2)</f>
        <v>57.77</v>
      </c>
      <c r="J1195" s="8">
        <v>0.0</v>
      </c>
      <c r="K1195" s="3" t="inlineStr">
        <is>
          <t xml:space="preserve">TRUE</t>
        </is>
      </c>
      <c r="L1195" s="3"/>
    </row>
    <row r="1196">
      <c r="A1196" s="3" t="inlineStr">
        <is>
          <t xml:space="preserve">#1887</t>
        </is>
      </c>
      <c r="B1196" s="3" t="inlineStr">
        <is>
          <t xml:space="preserve">2026-10-13</t>
        </is>
      </c>
      <c r="C1196" s="3" t="inlineStr">
        <is>
          <t xml:space="preserve">SKU-A</t>
        </is>
      </c>
      <c r="D1196" s="3" t="inlineStr">
        <is>
          <t xml:space="preserve">Renewal Serum</t>
        </is>
      </c>
      <c r="E1196" s="6">
        <f>IF('Settings'!$B$11="Scenario",IFERROR(INDEX('Catalogue'!$E$3:$E$100,MATCH(C1196,'Catalogue'!$B$3:$B$100,0)),F1196),F1196)</f>
        <v>69.9</v>
      </c>
      <c r="F1196" s="8">
        <v>69.9</v>
      </c>
      <c r="G1196" s="3">
        <v>1</v>
      </c>
      <c r="H1196" s="6">
        <f>IF('Settings'!$B$11="Scenario",ROUND(E1196*G1196*IFERROR(SUMIF('Pricing &amp; promotions'!$A$6:$A$8,L1196,'Pricing &amp; promotions'!$B$6:$B$8)/100,0),2),J1196)</f>
        <v>0.0</v>
      </c>
      <c r="I1196" s="6">
        <f>ROUND((E1196*G1196-H1196)/(1+'Settings'!$B$6/100),2)</f>
        <v>57.77</v>
      </c>
      <c r="J1196" s="8">
        <v>0.0</v>
      </c>
      <c r="K1196" s="3" t="inlineStr">
        <is>
          <t xml:space="preserve">TRUE</t>
        </is>
      </c>
      <c r="L1196" s="3"/>
    </row>
    <row r="1197">
      <c r="A1197" s="3" t="inlineStr">
        <is>
          <t xml:space="preserve">#1888</t>
        </is>
      </c>
      <c r="B1197" s="3" t="inlineStr">
        <is>
          <t xml:space="preserve">2026-10-06</t>
        </is>
      </c>
      <c r="C1197" s="3" t="inlineStr">
        <is>
          <t xml:space="preserve">SKU-B</t>
        </is>
      </c>
      <c r="D1197" s="3" t="inlineStr">
        <is>
          <t xml:space="preserve">Barrier Balm</t>
        </is>
      </c>
      <c r="E1197" s="6">
        <f>IF('Settings'!$B$11="Scenario",IFERROR(INDEX('Catalogue'!$E$3:$E$100,MATCH(C1197,'Catalogue'!$B$3:$B$100,0)),F1197),F1197)</f>
        <v>19</v>
      </c>
      <c r="F1197" s="8">
        <v>19</v>
      </c>
      <c r="G1197" s="3">
        <v>1</v>
      </c>
      <c r="H1197" s="6">
        <f>IF('Settings'!$B$11="Scenario",ROUND(E1197*G1197*IFERROR(SUMIF('Pricing &amp; promotions'!$A$6:$A$8,L1197,'Pricing &amp; promotions'!$B$6:$B$8)/100,0),2),J1197)</f>
        <v>0.0</v>
      </c>
      <c r="I1197" s="6">
        <f>ROUND((E1197*G1197-H1197)/(1+'Settings'!$B$6/100),2)</f>
        <v>15.7</v>
      </c>
      <c r="J1197" s="8">
        <v>0.0</v>
      </c>
      <c r="K1197" s="3" t="inlineStr">
        <is>
          <t xml:space="preserve">TRUE</t>
        </is>
      </c>
      <c r="L1197" s="3"/>
    </row>
    <row r="1198">
      <c r="A1198" s="3" t="inlineStr">
        <is>
          <t xml:space="preserve">#1889</t>
        </is>
      </c>
      <c r="B1198" s="3" t="inlineStr">
        <is>
          <t xml:space="preserve">2026-09-29</t>
        </is>
      </c>
      <c r="C1198" s="3" t="inlineStr">
        <is>
          <t xml:space="preserve">SKU-B</t>
        </is>
      </c>
      <c r="D1198" s="3" t="inlineStr">
        <is>
          <t xml:space="preserve">Barrier Balm</t>
        </is>
      </c>
      <c r="E1198" s="6">
        <f>IF('Settings'!$B$11="Scenario",IFERROR(INDEX('Catalogue'!$E$3:$E$100,MATCH(C1198,'Catalogue'!$B$3:$B$100,0)),F1198),F1198)</f>
        <v>19</v>
      </c>
      <c r="F1198" s="8">
        <v>19</v>
      </c>
      <c r="G1198" s="3">
        <v>1</v>
      </c>
      <c r="H1198" s="6">
        <f>IF('Settings'!$B$11="Scenario",ROUND(E1198*G1198*IFERROR(SUMIF('Pricing &amp; promotions'!$A$6:$A$8,L1198,'Pricing &amp; promotions'!$B$6:$B$8)/100,0),2),J1198)</f>
        <v>0.0</v>
      </c>
      <c r="I1198" s="6">
        <f>ROUND((E1198*G1198-H1198)/(1+'Settings'!$B$6/100),2)</f>
        <v>15.7</v>
      </c>
      <c r="J1198" s="8">
        <v>0.0</v>
      </c>
      <c r="K1198" s="3" t="inlineStr">
        <is>
          <t xml:space="preserve">TRUE</t>
        </is>
      </c>
      <c r="L1198" s="3"/>
    </row>
    <row r="1199">
      <c r="A1199" s="3" t="inlineStr">
        <is>
          <t xml:space="preserve">#1890</t>
        </is>
      </c>
      <c r="B1199" s="3" t="inlineStr">
        <is>
          <t xml:space="preserve">2026-09-22</t>
        </is>
      </c>
      <c r="C1199" s="3" t="inlineStr">
        <is>
          <t xml:space="preserve">SKU-B</t>
        </is>
      </c>
      <c r="D1199" s="3" t="inlineStr">
        <is>
          <t xml:space="preserve">Barrier Balm</t>
        </is>
      </c>
      <c r="E1199" s="6">
        <f>IF('Settings'!$B$11="Scenario",IFERROR(INDEX('Catalogue'!$E$3:$E$100,MATCH(C1199,'Catalogue'!$B$3:$B$100,0)),F1199),F1199)</f>
        <v>19</v>
      </c>
      <c r="F1199" s="8">
        <v>19</v>
      </c>
      <c r="G1199" s="3">
        <v>1</v>
      </c>
      <c r="H1199" s="6">
        <f>IF('Settings'!$B$11="Scenario",ROUND(E1199*G1199*IFERROR(SUMIF('Pricing &amp; promotions'!$A$6:$A$8,L1199,'Pricing &amp; promotions'!$B$6:$B$8)/100,0),2),J1199)</f>
        <v>1.9</v>
      </c>
      <c r="I1199" s="6">
        <f>ROUND((E1199*G1199-H1199)/(1+'Settings'!$B$6/100),2)</f>
        <v>14.13</v>
      </c>
      <c r="J1199" s="8">
        <v>1.9</v>
      </c>
      <c r="K1199" s="3" t="inlineStr">
        <is>
          <t xml:space="preserve">TRUE</t>
        </is>
      </c>
      <c r="L1199" s="3" t="inlineStr">
        <is>
          <t xml:space="preserve">WELCOME10</t>
        </is>
      </c>
    </row>
    <row r="1200">
      <c r="A1200" s="3" t="inlineStr">
        <is>
          <t xml:space="preserve">#1891</t>
        </is>
      </c>
      <c r="B1200" s="3" t="inlineStr">
        <is>
          <t xml:space="preserve">2026-09-15</t>
        </is>
      </c>
      <c r="C1200" s="3" t="inlineStr">
        <is>
          <t xml:space="preserve">SKU-C</t>
        </is>
      </c>
      <c r="D1200" s="3" t="inlineStr">
        <is>
          <t xml:space="preserve">Contour Stone</t>
        </is>
      </c>
      <c r="E1200" s="6">
        <f>IF('Settings'!$B$11="Scenario",IFERROR(INDEX('Catalogue'!$E$3:$E$100,MATCH(C1200,'Catalogue'!$B$3:$B$100,0)),F1200),F1200)</f>
        <v>29</v>
      </c>
      <c r="F1200" s="8">
        <v>29</v>
      </c>
      <c r="G1200" s="3">
        <v>1</v>
      </c>
      <c r="H1200" s="6">
        <f>IF('Settings'!$B$11="Scenario",ROUND(E1200*G1200*IFERROR(SUMIF('Pricing &amp; promotions'!$A$6:$A$8,L1200,'Pricing &amp; promotions'!$B$6:$B$8)/100,0),2),J1200)</f>
        <v>4.35</v>
      </c>
      <c r="I1200" s="6">
        <f>ROUND((E1200*G1200-H1200)/(1+'Settings'!$B$6/100),2)</f>
        <v>20.37</v>
      </c>
      <c r="J1200" s="8">
        <v>4.35</v>
      </c>
      <c r="K1200" s="3" t="inlineStr">
        <is>
          <t xml:space="preserve">TRUE</t>
        </is>
      </c>
      <c r="L1200" s="3" t="inlineStr">
        <is>
          <t xml:space="preserve">SUMMER15</t>
        </is>
      </c>
    </row>
  </sheetData>
</worksheet>
</file>